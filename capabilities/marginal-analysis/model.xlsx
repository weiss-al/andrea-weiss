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abor" sheetId="2" state="visible" r:id="rId2"/>
    <sheet name="Optimize" sheetId="3" state="visible" r:id="rId3"/>
    <sheet name="P&amp;L" sheetId="4" state="visible" r:id="rId4"/>
    <sheet name="Checks" sheetId="5" state="visible" r:id="rId5"/>
  </sheets>
  <definedNames>
    <definedName name="WEEKS">Inputs!$B$7</definedName>
    <definedName name="FIXED_COSTS">Inputs!$B$8</definedName>
    <definedName name="TOTAL_BEDS">Inputs!$B$9</definedName>
    <definedName name="FARMER_SALARY">Inputs!$B$10</definedName>
    <definedName name="FARMER_FIELD_HRS">Inputs!$B$11</definedName>
    <definedName name="FARMER_FULL_HRS">Inputs!$B$12</definedName>
    <definedName name="TEMP_MAX">Inputs!$B$13</definedName>
    <definedName name="TEMP_COST">Inputs!$B$14</definedName>
    <definedName name="TEMP_HRS">Inputs!$B$15</definedName>
    <definedName name="FARMER_RATE">Inputs!$B$16</definedName>
    <definedName name="TEMP_RATE">Inputs!$B$17</definedName>
    <definedName name="MAXBED_TOM">Inputs!$B$21</definedName>
    <definedName name="MAXBED_CAR">Inputs!$C$21</definedName>
    <definedName name="MAXBED_MES">Inputs!$D$21</definedName>
    <definedName name="PRICE_TOM">Inputs!$B$22</definedName>
    <definedName name="PRICE_CAR">Inputs!$C$22</definedName>
    <definedName name="PRICE_MES">Inputs!$D$22</definedName>
    <definedName name="HRS_WK_BED_TOM">Inputs!$B$23</definedName>
    <definedName name="HRS_WK_BED_CAR">Inputs!$C$23</definedName>
    <definedName name="HRS_WK_BED_MES">Inputs!$D$23</definedName>
    <definedName name="FERT_TOM">Inputs!$B$24</definedName>
    <definedName name="FERT_CAR">Inputs!$C$24</definedName>
    <definedName name="FERT_MES">Inputs!$D$24</definedName>
    <definedName name="DIM_TOM">Inputs!$B$25</definedName>
    <definedName name="DIM_CAR">Inputs!$C$25</definedName>
    <definedName name="DIM_MES">Inputs!$D$25</definedName>
    <definedName name="SEASON_HRS_TOM">Labor!$C$5</definedName>
    <definedName name="STOP_TOM">Labor!$C$27</definedName>
    <definedName name="STOPHRS_TOM">Labor!$C$28</definedName>
    <definedName name="SEASON_HRS_CAR">Labor!$C$31</definedName>
    <definedName name="STOP_CAR">Labor!$C$53</definedName>
    <definedName name="STOPHRS_CAR">Labor!$C$54</definedName>
    <definedName name="SEASON_HRS_MES">Labor!$C$57</definedName>
    <definedName name="STOP_MES">Labor!$C$89</definedName>
    <definedName name="STOPHRS_MES">Labor!$C$90</definedName>
    <definedName name="OPT_NTEMP_RNG">Optimize!$B$5:$F$5</definedName>
    <definedName name="OPT_QTOM_RNG">Optimize!$B$6:$F$6</definedName>
    <definedName name="OPT_QCAR_RNG">Optimize!$B$7:$F$7</definedName>
    <definedName name="OPT_QMES_RNG">Optimize!$B$8:$F$8</definedName>
    <definedName name="OPT_PROFIT_RNG">Optimize!$B$21:$F$21</definedName>
    <definedName name="OPT_BEDSUSED_RNG">Optimize!$B$10:$F$10</definedName>
    <definedName name="OPT_LABORSLACK_RNG">Optimize!$B$15:$F$15</definedName>
    <definedName name="WINIDX">Optimize!$B$25</definedName>
    <definedName name="REC_NTEMP">Optimize!$G$5</definedName>
    <definedName name="REC_QTOM">Optimize!$G$6</definedName>
    <definedName name="REC_QCAR">Optimize!$G$7</definedName>
    <definedName name="REC_QMES">Optimize!$G$8</definedName>
    <definedName name="REC_PROFIT">Optimize!$G$21</definedName>
    <definedName name="REC_BEDSUSED">Optimize!$G$10</definedName>
    <definedName name="REC_LABORSLACK">Optimize!$G$15</definedName>
    <definedName name="PNL_PROFIT">'P&amp;L'!$B$30</definedName>
  </definedNames>
  <calcPr calcId="124519" fullCalcOnLoad="1"/>
</workbook>
</file>

<file path=xl/styles.xml><?xml version="1.0" encoding="utf-8"?>
<styleSheet xmlns="http://schemas.openxmlformats.org/spreadsheetml/2006/main">
  <numFmts count="5">
    <numFmt numFmtId="164" formatCode="$#,##0;($#,##0);&quot;-&quot;"/>
    <numFmt numFmtId="165" formatCode="0.0000"/>
    <numFmt numFmtId="166" formatCode="#,##0;(#,##0);&quot;-&quot;"/>
    <numFmt numFmtId="167" formatCode="$#,##0.00;($#,##0.00);&quot;-&quot;"/>
    <numFmt numFmtId="168" formatCode="#,##0.00;(#,##0.00);&quot;-&quot;"/>
  </numFmts>
  <fonts count="10">
    <font>
      <name val="Calibri"/>
      <family val="2"/>
      <color theme="1"/>
      <sz val="11"/>
      <scheme val="minor"/>
    </font>
    <font>
      <name val="Arial"/>
      <b val="1"/>
      <sz val="14"/>
    </font>
    <font>
      <name val="Arial"/>
      <b val="1"/>
      <sz val="11"/>
    </font>
    <font>
      <name val="Arial"/>
      <i val="1"/>
      <color rgb="00595959"/>
      <sz val="9"/>
    </font>
    <font>
      <name val="Arial"/>
      <b val="1"/>
      <color rgb="00FFFFFF"/>
    </font>
    <font>
      <name val="Arial"/>
      <color rgb="00000000"/>
    </font>
    <font>
      <name val="Arial"/>
      <color rgb="000000FF"/>
    </font>
    <font>
      <name val="Arial"/>
      <b val="1"/>
      <color rgb="00000000"/>
    </font>
    <font>
      <name val="Arial"/>
      <b val="1"/>
      <color rgb="000000FF"/>
    </font>
    <font>
      <name val="Arial"/>
      <b val="1"/>
      <sz val="13"/>
    </font>
  </fonts>
  <fills count="4">
    <fill>
      <patternFill/>
    </fill>
    <fill>
      <patternFill patternType="gray125"/>
    </fill>
    <fill>
      <patternFill patternType="solid">
        <fgColor rgb="001F4E3D"/>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wrapText="1"/>
    </xf>
    <xf numFmtId="0" fontId="5" fillId="0" borderId="1" pivotButton="0" quotePrefix="0" xfId="0"/>
    <xf numFmtId="166" fontId="6" fillId="0" borderId="1" pivotButton="0" quotePrefix="0" xfId="0"/>
    <xf numFmtId="0" fontId="3" fillId="0" borderId="1" pivotButton="0" quotePrefix="0" xfId="0"/>
    <xf numFmtId="164" fontId="6" fillId="0" borderId="1" pivotButton="0" quotePrefix="0" xfId="0"/>
    <xf numFmtId="167" fontId="5" fillId="0" borderId="1" pivotButton="0" quotePrefix="0" xfId="0"/>
    <xf numFmtId="49" fontId="5" fillId="0" borderId="1" pivotButton="0" quotePrefix="0" xfId="0"/>
    <xf numFmtId="165" fontId="6" fillId="0" borderId="1" pivotButton="0" quotePrefix="0" xfId="0"/>
    <xf numFmtId="165" fontId="5" fillId="0" borderId="1" pivotButton="0" quotePrefix="0" xfId="0"/>
    <xf numFmtId="10" fontId="6" fillId="0" borderId="1" pivotButton="0" quotePrefix="0" xfId="0"/>
    <xf numFmtId="0" fontId="3" fillId="0" borderId="0" applyAlignment="1" pivotButton="0" quotePrefix="0" xfId="0">
      <alignment vertical="top" wrapText="1"/>
    </xf>
    <xf numFmtId="0" fontId="5" fillId="0" borderId="0" pivotButton="0" quotePrefix="0" xfId="0"/>
    <xf numFmtId="168" fontId="5" fillId="0" borderId="0" pivotButton="0" quotePrefix="0" xfId="0"/>
    <xf numFmtId="0" fontId="5" fillId="0" borderId="1" applyAlignment="1" pivotButton="0" quotePrefix="0" xfId="0">
      <alignment horizontal="center"/>
    </xf>
    <xf numFmtId="168" fontId="0" fillId="0" borderId="1" pivotButton="0" quotePrefix="0" xfId="0"/>
    <xf numFmtId="167" fontId="0" fillId="0" borderId="1" pivotButton="0" quotePrefix="0" xfId="0"/>
    <xf numFmtId="166" fontId="7" fillId="0" borderId="0" pivotButton="0" quotePrefix="0" xfId="0"/>
    <xf numFmtId="0" fontId="2" fillId="3" borderId="0" pivotButton="0" quotePrefix="0" xfId="0"/>
    <xf numFmtId="0" fontId="7" fillId="0" borderId="0" pivotButton="0" quotePrefix="0" xfId="0"/>
    <xf numFmtId="166" fontId="8" fillId="0" borderId="1" applyAlignment="1" pivotButton="0" quotePrefix="0" xfId="0">
      <alignment horizontal="center"/>
    </xf>
    <xf numFmtId="166" fontId="5" fillId="3" borderId="1" pivotButton="0" quotePrefix="0" xfId="0"/>
    <xf numFmtId="166" fontId="0" fillId="0" borderId="1" pivotButton="0" quotePrefix="0" xfId="0"/>
    <xf numFmtId="168" fontId="5" fillId="3" borderId="1" pivotButton="0" quotePrefix="0" xfId="0"/>
    <xf numFmtId="164" fontId="0" fillId="0" borderId="1" pivotButton="0" quotePrefix="0" xfId="0"/>
    <xf numFmtId="164" fontId="7" fillId="0" borderId="1" pivotButton="0" quotePrefix="0" xfId="0"/>
    <xf numFmtId="164" fontId="7" fillId="3" borderId="1" pivotButton="0" quotePrefix="0" xfId="0"/>
    <xf numFmtId="0" fontId="0" fillId="0" borderId="1" applyAlignment="1" pivotButton="0" quotePrefix="0" xfId="0">
      <alignment horizontal="center"/>
    </xf>
    <xf numFmtId="166" fontId="3" fillId="0" borderId="0" pivotButton="0" quotePrefix="0" xfId="0"/>
    <xf numFmtId="167" fontId="0" fillId="0" borderId="0" pivotButton="0" quotePrefix="0" xfId="0"/>
    <xf numFmtId="166" fontId="0" fillId="0" borderId="0" pivotButton="0" quotePrefix="0" xfId="0"/>
    <xf numFmtId="164" fontId="0" fillId="0" borderId="0" pivotButton="0" quotePrefix="0" xfId="0"/>
    <xf numFmtId="164" fontId="7" fillId="0" borderId="0" pivotButton="0" quotePrefix="0" xfId="0"/>
    <xf numFmtId="0" fontId="9" fillId="0" borderId="0" pivotButton="0" quotePrefix="0" xfId="0"/>
    <xf numFmtId="164" fontId="9" fillId="3" borderId="0" pivotButton="0" quotePrefix="0" xfId="0"/>
    <xf numFmtId="0" fontId="5" fillId="0" borderId="1" applyAlignment="1" pivotButton="0" quotePrefix="0" xfId="0">
      <alignment vertical="top" wrapText="1"/>
    </xf>
    <xf numFmtId="0" fontId="7" fillId="0" borderId="1" pivotButton="0" quotePrefix="0" xfId="0"/>
    <xf numFmtId="0" fontId="3"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Model</author>
  </authors>
  <commentList>
    <comment ref="B6" authorId="0" shapeId="0">
      <text>
        <t>Decision variable — Solver's 'changing cell'. Pre-filled with the exhaustive-search optimum for this N_TEMP.</t>
      </text>
    </comment>
    <comment ref="C6" authorId="0" shapeId="0">
      <text>
        <t>Decision variable — Solver's 'changing cell'. Pre-filled with the exhaustive-search optimum for this N_TEMP.</t>
      </text>
    </comment>
    <comment ref="D6" authorId="0" shapeId="0">
      <text>
        <t>Decision variable — Solver's 'changing cell'. Pre-filled with the exhaustive-search optimum for this N_TEMP.</t>
      </text>
    </comment>
    <comment ref="E6" authorId="0" shapeId="0">
      <text>
        <t>Decision variable — Solver's 'changing cell'. Pre-filled with the exhaustive-search optimum for this N_TEMP.</t>
      </text>
    </comment>
    <comment ref="F6" authorId="0" shapeId="0">
      <text>
        <t>Decision variable — Solver's 'changing cell'. Pre-filled with the exhaustive-search optimum for this N_TEMP.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4E3D"/>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16" customWidth="1" min="3" max="3"/>
    <col width="24" customWidth="1" min="4" max="4"/>
    <col width="50" customWidth="1" min="5" max="5"/>
  </cols>
  <sheetData>
    <row r="1">
      <c r="A1" s="1" t="inlineStr">
        <is>
          <t>Marginal Analysis — Perfect Competition (Garden)</t>
        </is>
      </c>
    </row>
    <row r="2">
      <c r="A2" s="2" t="inlineStr">
        <is>
          <t>Inputs — the named contract</t>
        </is>
      </c>
    </row>
    <row r="3">
      <c r="A3" s="3" t="inlineStr">
        <is>
          <t>Blue = hardcoded input. Black = computed rate, entered as a formula, never as a rounded literal.</t>
        </is>
      </c>
    </row>
    <row r="5">
      <c r="A5" s="2" t="inlineStr">
        <is>
          <t>Scenario-wide</t>
        </is>
      </c>
    </row>
    <row r="6">
      <c r="A6" s="4" t="inlineStr">
        <is>
          <t>Name</t>
        </is>
      </c>
      <c r="B6" s="4" t="inlineStr">
        <is>
          <t>Value</t>
        </is>
      </c>
      <c r="C6" s="4" t="inlineStr">
        <is>
          <t>Unit</t>
        </is>
      </c>
      <c r="D6" s="4" t="inlineStr">
        <is>
          <t>Source</t>
        </is>
      </c>
    </row>
    <row r="7">
      <c r="A7" s="5" t="inlineStr">
        <is>
          <t>WEEKS</t>
        </is>
      </c>
      <c r="B7" s="6" t="n">
        <v>36</v>
      </c>
      <c r="C7" s="5" t="inlineStr">
        <is>
          <t>weeks per season</t>
        </is>
      </c>
      <c r="D7" s="7" t="inlineStr">
        <is>
          <t>Case scenario, header line</t>
        </is>
      </c>
    </row>
    <row r="8">
      <c r="A8" s="5" t="inlineStr">
        <is>
          <t>FIXED_COSTS</t>
        </is>
      </c>
      <c r="B8" s="8" t="n">
        <v>20000</v>
      </c>
      <c r="C8" s="5" t="inlineStr">
        <is>
          <t>USD per season</t>
        </is>
      </c>
      <c r="D8" s="7" t="inlineStr">
        <is>
          <t>Case scenario, header line</t>
        </is>
      </c>
    </row>
    <row r="9">
      <c r="A9" s="5" t="inlineStr">
        <is>
          <t>TOTAL_BEDS</t>
        </is>
      </c>
      <c r="B9" s="6" t="n">
        <v>64</v>
      </c>
      <c r="C9" s="5" t="inlineStr">
        <is>
          <t>beds (16 beds x 4 plots)</t>
        </is>
      </c>
      <c r="D9" s="7" t="inlineStr">
        <is>
          <t>Case scenario, header line</t>
        </is>
      </c>
    </row>
    <row r="10">
      <c r="A10" s="5" t="inlineStr">
        <is>
          <t>FARMER_SALARY</t>
        </is>
      </c>
      <c r="B10" s="8" t="n">
        <v>50000</v>
      </c>
      <c r="C10" s="5" t="inlineStr">
        <is>
          <t>USD per season</t>
        </is>
      </c>
      <c r="D10" s="7" t="inlineStr">
        <is>
          <t>Case scenario, header line</t>
        </is>
      </c>
    </row>
    <row r="11">
      <c r="A11" s="5" t="inlineStr">
        <is>
          <t>FARMER_FIELD_HRS</t>
        </is>
      </c>
      <c r="B11" s="6" t="n">
        <v>720</v>
      </c>
      <c r="C11" s="5" t="inlineStr">
        <is>
          <t>hours per season</t>
        </is>
      </c>
      <c r="D11" s="7" t="inlineStr">
        <is>
          <t>Case scenario, header line. Her actual field-time contribution to LABOR_SUPPLY — half her working time.</t>
        </is>
      </c>
    </row>
    <row r="12">
      <c r="A12" s="5" t="inlineStr">
        <is>
          <t>FARMER_FULL_HRS</t>
        </is>
      </c>
      <c r="B12" s="6" t="n">
        <v>1440</v>
      </c>
      <c r="C12" s="5" t="inlineStr">
        <is>
          <t>hours per season</t>
        </is>
      </c>
      <c r="D12" s="7" t="inlineStr">
        <is>
          <t>Case scenario, header line (implied). A separate, full-time-equivalent hour basis — the same 1440 hours used for a temp's season — that the case's own displayed $34.72/hr figure is built on (50,000/1,440), not her 720 actual field hours (50,000/720 = $69.44/hr). Used only to compute FARMER_RATE below; LABOR_SUPPLY correctly uses FARMER_FIELD_HRS, not this.</t>
        </is>
      </c>
    </row>
    <row r="13">
      <c r="A13" s="5" t="inlineStr">
        <is>
          <t>TEMP_MAX</t>
        </is>
      </c>
      <c r="B13" s="6" t="n">
        <v>4</v>
      </c>
      <c r="C13" s="5" t="inlineStr">
        <is>
          <t>workers</t>
        </is>
      </c>
      <c r="D13" s="7" t="inlineStr">
        <is>
          <t>Case scenario, header line</t>
        </is>
      </c>
    </row>
    <row r="14">
      <c r="A14" s="5" t="inlineStr">
        <is>
          <t>TEMP_COST</t>
        </is>
      </c>
      <c r="B14" s="8" t="n">
        <v>25000</v>
      </c>
      <c r="C14" s="5" t="inlineStr">
        <is>
          <t>USD per worker per season</t>
        </is>
      </c>
      <c r="D14" s="7" t="inlineStr">
        <is>
          <t>Case scenario, header line</t>
        </is>
      </c>
    </row>
    <row r="15">
      <c r="A15" s="5" t="inlineStr">
        <is>
          <t>TEMP_HRS</t>
        </is>
      </c>
      <c r="B15" s="6" t="n">
        <v>1440</v>
      </c>
      <c r="C15" s="5" t="inlineStr">
        <is>
          <t>hours per worker per season</t>
        </is>
      </c>
      <c r="D15" s="7" t="inlineStr">
        <is>
          <t>Case scenario, header line</t>
        </is>
      </c>
    </row>
    <row r="16">
      <c r="A16" s="5" t="inlineStr">
        <is>
          <t>FARMER_RATE</t>
        </is>
      </c>
      <c r="B16" s="9">
        <f>Inputs!$B$10/Inputs!$B$12</f>
        <v/>
      </c>
      <c r="C16" s="5" t="inlineStr">
        <is>
          <t>USD per hour</t>
        </is>
      </c>
      <c r="D16" s="7" t="inlineStr">
        <is>
          <t>Computed: FARMER_SALARY / FARMER_FULL_HRS = 50000/1440. Never entered as the rounded $34.72 the case displays, and never divided by FARMER_FIELD_HRS (720) — that would give $69.44, not the case's figure.</t>
        </is>
      </c>
    </row>
    <row r="17">
      <c r="A17" s="5" t="inlineStr">
        <is>
          <t>TEMP_RATE</t>
        </is>
      </c>
      <c r="B17" s="9">
        <f>Inputs!$B$14/Inputs!$B$15</f>
        <v/>
      </c>
      <c r="C17" s="5" t="inlineStr">
        <is>
          <t>USD per hour</t>
        </is>
      </c>
      <c r="D17" s="7" t="inlineStr">
        <is>
          <t>Computed: TEMP_COST / TEMP_HRS. Never entered as the rounded $17.36 the case displays.</t>
        </is>
      </c>
    </row>
    <row r="19">
      <c r="A19" s="2" t="inlineStr">
        <is>
          <t>Per crop</t>
        </is>
      </c>
    </row>
    <row r="20">
      <c r="A20" s="4" t="inlineStr">
        <is>
          <t>Metric</t>
        </is>
      </c>
      <c r="B20" s="4" t="inlineStr">
        <is>
          <t>Tomatoes</t>
        </is>
      </c>
      <c r="C20" s="4" t="inlineStr">
        <is>
          <t>Carrots</t>
        </is>
      </c>
      <c r="D20" s="4" t="inlineStr">
        <is>
          <t>Mesclun</t>
        </is>
      </c>
      <c r="E20" s="4" t="inlineStr">
        <is>
          <t>Unit</t>
        </is>
      </c>
      <c r="F20" s="4" t="inlineStr">
        <is>
          <t>Source</t>
        </is>
      </c>
    </row>
    <row r="21">
      <c r="A21" s="5" t="inlineStr">
        <is>
          <t>MAXBED</t>
        </is>
      </c>
      <c r="B21" s="6" t="n">
        <v>20</v>
      </c>
      <c r="C21" s="6" t="n">
        <v>20</v>
      </c>
      <c r="D21" s="6" t="n">
        <v>30</v>
      </c>
      <c r="E21" s="10" t="inlineStr">
        <is>
          <t>beds</t>
        </is>
      </c>
      <c r="F21" s="7" t="inlineStr">
        <is>
          <t>Case scenario, crop table</t>
        </is>
      </c>
    </row>
    <row r="22">
      <c r="A22" s="5" t="inlineStr">
        <is>
          <t>PRICE</t>
        </is>
      </c>
      <c r="B22" s="8" t="n">
        <v>8800</v>
      </c>
      <c r="C22" s="8" t="n">
        <v>2094</v>
      </c>
      <c r="D22" s="8" t="n">
        <v>2700</v>
      </c>
      <c r="E22" s="10" t="inlineStr">
        <is>
          <t>USD per bed</t>
        </is>
      </c>
      <c r="F22" s="7" t="inlineStr">
        <is>
          <t>Case scenario, crop table</t>
        </is>
      </c>
    </row>
    <row r="23">
      <c r="A23" s="5" t="inlineStr">
        <is>
          <t>HRS_WK_BED</t>
        </is>
      </c>
      <c r="B23" s="11" t="n">
        <v>2.5</v>
      </c>
      <c r="C23" s="12">
        <f>5/6</f>
        <v/>
      </c>
      <c r="D23" s="11" t="n">
        <v>1.25</v>
      </c>
      <c r="E23" s="10" t="inlineStr">
        <is>
          <t>hours per week per bed</t>
        </is>
      </c>
      <c r="F23" s="7" t="inlineStr">
        <is>
          <t>Case scenario, crop table. Carrots entered as 5/6, the ratio the case's displayed 0.833 rounds.</t>
        </is>
      </c>
    </row>
    <row r="24">
      <c r="A24" s="5" t="inlineStr">
        <is>
          <t>FERT</t>
        </is>
      </c>
      <c r="B24" s="8" t="n">
        <v>880</v>
      </c>
      <c r="C24" s="8" t="n">
        <v>440</v>
      </c>
      <c r="D24" s="8" t="n">
        <v>880</v>
      </c>
      <c r="E24" s="10" t="inlineStr">
        <is>
          <t>USD per bed</t>
        </is>
      </c>
      <c r="F24" s="7" t="inlineStr">
        <is>
          <t>Case scenario, crop table</t>
        </is>
      </c>
    </row>
    <row r="25">
      <c r="A25" s="5" t="inlineStr">
        <is>
          <t>DIM</t>
        </is>
      </c>
      <c r="B25" s="13" t="n">
        <v>0.1</v>
      </c>
      <c r="C25" s="13" t="n">
        <v>0.025</v>
      </c>
      <c r="D25" s="13" t="n">
        <v>0.0125</v>
      </c>
      <c r="E25" s="10" t="inlineStr">
        <is>
          <t>per additional bed</t>
        </is>
      </c>
      <c r="F25" s="7" t="inlineStr">
        <is>
          <t>Case scenario, crop table</t>
        </is>
      </c>
    </row>
    <row r="28">
      <c r="A28" s="14" t="inlineStr">
        <is>
          <t>PRICE_c is revenue per bed — the case has already collapsed price per unit and yield per bed into one figure, so yield is not modeled separately and per-bed revenue does not decline with scale. Every nonlinearity in this model lives in labor hours (see the Labor sheet). Diminishing returns compound on the whole crop, not incrementally per bed: every one of the q beds planted of a crop is charged the same (1+DIM)^q multiplier — see Labor sheet.</t>
        </is>
      </c>
    </row>
    <row r="29"/>
    <row r="30"/>
    <row r="31"/>
  </sheetData>
  <mergeCells count="1">
    <mergeCell ref="A28:F31"/>
  </mergeCells>
  <pageMargins left="0.75" right="0.75" top="1" bottom="1" header="0.5" footer="0.5"/>
</worksheet>
</file>

<file path=xl/worksheets/sheet2.xml><?xml version="1.0" encoding="utf-8"?>
<worksheet xmlns="http://schemas.openxmlformats.org/spreadsheetml/2006/main">
  <sheetPr>
    <tabColor rgb="002E5F4E"/>
    <outlinePr summaryBelow="1" summaryRight="1"/>
    <pageSetUpPr/>
  </sheetPr>
  <dimension ref="A1:E90"/>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16" customWidth="1" min="3" max="3"/>
    <col width="16" customWidth="1" min="4" max="4"/>
    <col width="20" customWidth="1" min="5" max="5"/>
  </cols>
  <sheetData>
    <row r="1">
      <c r="A1" s="1" t="inlineStr">
        <is>
          <t>Labor — marginal hours, marginal cost, and marginal contribution by bed</t>
        </is>
      </c>
    </row>
    <row r="2">
      <c r="A2" s="3" t="inlineStr">
        <is>
          <t>LABOR_HRS_c(q) = SEASON_HRS_PER_BED_c x q x (1+DIM_c)^q   |   MARGINAL_LABOR_HRS_c(q) = SEASON_HRS_PER_BED_c x (1+DIM_c)^(q-1) x (1+q x DIM_c)   |   MC_c(q) = MARGINAL_LABOR_HRS_c(q) x TEMP_RATE + FERT_c</t>
        </is>
      </c>
    </row>
    <row r="4">
      <c r="A4" s="2" t="inlineStr">
        <is>
          <t>Tomatoes</t>
        </is>
      </c>
    </row>
    <row r="5">
      <c r="A5" s="15" t="inlineStr">
        <is>
          <t>Season hours/bed (pre-diminishing) =</t>
        </is>
      </c>
      <c r="C5" s="16">
        <f>HRS_WK_BED_TOM*WEEKS</f>
        <v/>
      </c>
    </row>
    <row r="6">
      <c r="A6" s="4" t="inlineStr">
        <is>
          <t>Bed (q)</t>
        </is>
      </c>
      <c r="B6" s="4" t="inlineStr">
        <is>
          <t>Marginal Hours</t>
        </is>
      </c>
      <c r="C6" s="4" t="inlineStr">
        <is>
          <t>Cumulative Hours</t>
        </is>
      </c>
      <c r="D6" s="4" t="inlineStr">
        <is>
          <t>Marginal Cost ($)</t>
        </is>
      </c>
      <c r="E6" s="4" t="inlineStr">
        <is>
          <t>Marginal Contribution ($)</t>
        </is>
      </c>
    </row>
    <row r="7">
      <c r="A7" s="17" t="n">
        <v>1</v>
      </c>
      <c r="B7" s="18">
        <f>SEASON_HRS_TOM*(1+DIM_TOM)^(A7-1)*(1+A7*DIM_TOM)</f>
        <v/>
      </c>
      <c r="C7" s="18">
        <f>SEASON_HRS_TOM*A7*(1+DIM_TOM)^A7</f>
        <v/>
      </c>
      <c r="D7" s="19">
        <f>B7*TEMP_RATE+FERT_TOM</f>
        <v/>
      </c>
      <c r="E7" s="19">
        <f>PRICE_TOM-D7</f>
        <v/>
      </c>
    </row>
    <row r="8">
      <c r="A8" s="17" t="n">
        <v>2</v>
      </c>
      <c r="B8" s="18">
        <f>SEASON_HRS_TOM*(1+DIM_TOM)^(A8-1)*(1+A8*DIM_TOM)</f>
        <v/>
      </c>
      <c r="C8" s="18">
        <f>SEASON_HRS_TOM*A8*(1+DIM_TOM)^A8</f>
        <v/>
      </c>
      <c r="D8" s="19">
        <f>B8*TEMP_RATE+FERT_TOM</f>
        <v/>
      </c>
      <c r="E8" s="19">
        <f>PRICE_TOM-D8</f>
        <v/>
      </c>
    </row>
    <row r="9">
      <c r="A9" s="17" t="n">
        <v>3</v>
      </c>
      <c r="B9" s="18">
        <f>SEASON_HRS_TOM*(1+DIM_TOM)^(A9-1)*(1+A9*DIM_TOM)</f>
        <v/>
      </c>
      <c r="C9" s="18">
        <f>SEASON_HRS_TOM*A9*(1+DIM_TOM)^A9</f>
        <v/>
      </c>
      <c r="D9" s="19">
        <f>B9*TEMP_RATE+FERT_TOM</f>
        <v/>
      </c>
      <c r="E9" s="19">
        <f>PRICE_TOM-D9</f>
        <v/>
      </c>
    </row>
    <row r="10">
      <c r="A10" s="17" t="n">
        <v>4</v>
      </c>
      <c r="B10" s="18">
        <f>SEASON_HRS_TOM*(1+DIM_TOM)^(A10-1)*(1+A10*DIM_TOM)</f>
        <v/>
      </c>
      <c r="C10" s="18">
        <f>SEASON_HRS_TOM*A10*(1+DIM_TOM)^A10</f>
        <v/>
      </c>
      <c r="D10" s="19">
        <f>B10*TEMP_RATE+FERT_TOM</f>
        <v/>
      </c>
      <c r="E10" s="19">
        <f>PRICE_TOM-D10</f>
        <v/>
      </c>
    </row>
    <row r="11">
      <c r="A11" s="17" t="n">
        <v>5</v>
      </c>
      <c r="B11" s="18">
        <f>SEASON_HRS_TOM*(1+DIM_TOM)^(A11-1)*(1+A11*DIM_TOM)</f>
        <v/>
      </c>
      <c r="C11" s="18">
        <f>SEASON_HRS_TOM*A11*(1+DIM_TOM)^A11</f>
        <v/>
      </c>
      <c r="D11" s="19">
        <f>B11*TEMP_RATE+FERT_TOM</f>
        <v/>
      </c>
      <c r="E11" s="19">
        <f>PRICE_TOM-D11</f>
        <v/>
      </c>
    </row>
    <row r="12">
      <c r="A12" s="17" t="n">
        <v>6</v>
      </c>
      <c r="B12" s="18">
        <f>SEASON_HRS_TOM*(1+DIM_TOM)^(A12-1)*(1+A12*DIM_TOM)</f>
        <v/>
      </c>
      <c r="C12" s="18">
        <f>SEASON_HRS_TOM*A12*(1+DIM_TOM)^A12</f>
        <v/>
      </c>
      <c r="D12" s="19">
        <f>B12*TEMP_RATE+FERT_TOM</f>
        <v/>
      </c>
      <c r="E12" s="19">
        <f>PRICE_TOM-D12</f>
        <v/>
      </c>
    </row>
    <row r="13">
      <c r="A13" s="17" t="n">
        <v>7</v>
      </c>
      <c r="B13" s="18">
        <f>SEASON_HRS_TOM*(1+DIM_TOM)^(A13-1)*(1+A13*DIM_TOM)</f>
        <v/>
      </c>
      <c r="C13" s="18">
        <f>SEASON_HRS_TOM*A13*(1+DIM_TOM)^A13</f>
        <v/>
      </c>
      <c r="D13" s="19">
        <f>B13*TEMP_RATE+FERT_TOM</f>
        <v/>
      </c>
      <c r="E13" s="19">
        <f>PRICE_TOM-D13</f>
        <v/>
      </c>
    </row>
    <row r="14">
      <c r="A14" s="17" t="n">
        <v>8</v>
      </c>
      <c r="B14" s="18">
        <f>SEASON_HRS_TOM*(1+DIM_TOM)^(A14-1)*(1+A14*DIM_TOM)</f>
        <v/>
      </c>
      <c r="C14" s="18">
        <f>SEASON_HRS_TOM*A14*(1+DIM_TOM)^A14</f>
        <v/>
      </c>
      <c r="D14" s="19">
        <f>B14*TEMP_RATE+FERT_TOM</f>
        <v/>
      </c>
      <c r="E14" s="19">
        <f>PRICE_TOM-D14</f>
        <v/>
      </c>
    </row>
    <row r="15">
      <c r="A15" s="17" t="n">
        <v>9</v>
      </c>
      <c r="B15" s="18">
        <f>SEASON_HRS_TOM*(1+DIM_TOM)^(A15-1)*(1+A15*DIM_TOM)</f>
        <v/>
      </c>
      <c r="C15" s="18">
        <f>SEASON_HRS_TOM*A15*(1+DIM_TOM)^A15</f>
        <v/>
      </c>
      <c r="D15" s="19">
        <f>B15*TEMP_RATE+FERT_TOM</f>
        <v/>
      </c>
      <c r="E15" s="19">
        <f>PRICE_TOM-D15</f>
        <v/>
      </c>
    </row>
    <row r="16">
      <c r="A16" s="17" t="n">
        <v>10</v>
      </c>
      <c r="B16" s="18">
        <f>SEASON_HRS_TOM*(1+DIM_TOM)^(A16-1)*(1+A16*DIM_TOM)</f>
        <v/>
      </c>
      <c r="C16" s="18">
        <f>SEASON_HRS_TOM*A16*(1+DIM_TOM)^A16</f>
        <v/>
      </c>
      <c r="D16" s="19">
        <f>B16*TEMP_RATE+FERT_TOM</f>
        <v/>
      </c>
      <c r="E16" s="19">
        <f>PRICE_TOM-D16</f>
        <v/>
      </c>
    </row>
    <row r="17">
      <c r="A17" s="17" t="n">
        <v>11</v>
      </c>
      <c r="B17" s="18">
        <f>SEASON_HRS_TOM*(1+DIM_TOM)^(A17-1)*(1+A17*DIM_TOM)</f>
        <v/>
      </c>
      <c r="C17" s="18">
        <f>SEASON_HRS_TOM*A17*(1+DIM_TOM)^A17</f>
        <v/>
      </c>
      <c r="D17" s="19">
        <f>B17*TEMP_RATE+FERT_TOM</f>
        <v/>
      </c>
      <c r="E17" s="19">
        <f>PRICE_TOM-D17</f>
        <v/>
      </c>
    </row>
    <row r="18">
      <c r="A18" s="17" t="n">
        <v>12</v>
      </c>
      <c r="B18" s="18">
        <f>SEASON_HRS_TOM*(1+DIM_TOM)^(A18-1)*(1+A18*DIM_TOM)</f>
        <v/>
      </c>
      <c r="C18" s="18">
        <f>SEASON_HRS_TOM*A18*(1+DIM_TOM)^A18</f>
        <v/>
      </c>
      <c r="D18" s="19">
        <f>B18*TEMP_RATE+FERT_TOM</f>
        <v/>
      </c>
      <c r="E18" s="19">
        <f>PRICE_TOM-D18</f>
        <v/>
      </c>
    </row>
    <row r="19">
      <c r="A19" s="17" t="n">
        <v>13</v>
      </c>
      <c r="B19" s="18">
        <f>SEASON_HRS_TOM*(1+DIM_TOM)^(A19-1)*(1+A19*DIM_TOM)</f>
        <v/>
      </c>
      <c r="C19" s="18">
        <f>SEASON_HRS_TOM*A19*(1+DIM_TOM)^A19</f>
        <v/>
      </c>
      <c r="D19" s="19">
        <f>B19*TEMP_RATE+FERT_TOM</f>
        <v/>
      </c>
      <c r="E19" s="19">
        <f>PRICE_TOM-D19</f>
        <v/>
      </c>
    </row>
    <row r="20">
      <c r="A20" s="17" t="n">
        <v>14</v>
      </c>
      <c r="B20" s="18">
        <f>SEASON_HRS_TOM*(1+DIM_TOM)^(A20-1)*(1+A20*DIM_TOM)</f>
        <v/>
      </c>
      <c r="C20" s="18">
        <f>SEASON_HRS_TOM*A20*(1+DIM_TOM)^A20</f>
        <v/>
      </c>
      <c r="D20" s="19">
        <f>B20*TEMP_RATE+FERT_TOM</f>
        <v/>
      </c>
      <c r="E20" s="19">
        <f>PRICE_TOM-D20</f>
        <v/>
      </c>
    </row>
    <row r="21">
      <c r="A21" s="17" t="n">
        <v>15</v>
      </c>
      <c r="B21" s="18">
        <f>SEASON_HRS_TOM*(1+DIM_TOM)^(A21-1)*(1+A21*DIM_TOM)</f>
        <v/>
      </c>
      <c r="C21" s="18">
        <f>SEASON_HRS_TOM*A21*(1+DIM_TOM)^A21</f>
        <v/>
      </c>
      <c r="D21" s="19">
        <f>B21*TEMP_RATE+FERT_TOM</f>
        <v/>
      </c>
      <c r="E21" s="19">
        <f>PRICE_TOM-D21</f>
        <v/>
      </c>
    </row>
    <row r="22">
      <c r="A22" s="17" t="n">
        <v>16</v>
      </c>
      <c r="B22" s="18">
        <f>SEASON_HRS_TOM*(1+DIM_TOM)^(A22-1)*(1+A22*DIM_TOM)</f>
        <v/>
      </c>
      <c r="C22" s="18">
        <f>SEASON_HRS_TOM*A22*(1+DIM_TOM)^A22</f>
        <v/>
      </c>
      <c r="D22" s="19">
        <f>B22*TEMP_RATE+FERT_TOM</f>
        <v/>
      </c>
      <c r="E22" s="19">
        <f>PRICE_TOM-D22</f>
        <v/>
      </c>
    </row>
    <row r="23">
      <c r="A23" s="17" t="n">
        <v>17</v>
      </c>
      <c r="B23" s="18">
        <f>SEASON_HRS_TOM*(1+DIM_TOM)^(A23-1)*(1+A23*DIM_TOM)</f>
        <v/>
      </c>
      <c r="C23" s="18">
        <f>SEASON_HRS_TOM*A23*(1+DIM_TOM)^A23</f>
        <v/>
      </c>
      <c r="D23" s="19">
        <f>B23*TEMP_RATE+FERT_TOM</f>
        <v/>
      </c>
      <c r="E23" s="19">
        <f>PRICE_TOM-D23</f>
        <v/>
      </c>
    </row>
    <row r="24">
      <c r="A24" s="17" t="n">
        <v>18</v>
      </c>
      <c r="B24" s="18">
        <f>SEASON_HRS_TOM*(1+DIM_TOM)^(A24-1)*(1+A24*DIM_TOM)</f>
        <v/>
      </c>
      <c r="C24" s="18">
        <f>SEASON_HRS_TOM*A24*(1+DIM_TOM)^A24</f>
        <v/>
      </c>
      <c r="D24" s="19">
        <f>B24*TEMP_RATE+FERT_TOM</f>
        <v/>
      </c>
      <c r="E24" s="19">
        <f>PRICE_TOM-D24</f>
        <v/>
      </c>
    </row>
    <row r="25">
      <c r="A25" s="17" t="n">
        <v>19</v>
      </c>
      <c r="B25" s="18">
        <f>SEASON_HRS_TOM*(1+DIM_TOM)^(A25-1)*(1+A25*DIM_TOM)</f>
        <v/>
      </c>
      <c r="C25" s="18">
        <f>SEASON_HRS_TOM*A25*(1+DIM_TOM)^A25</f>
        <v/>
      </c>
      <c r="D25" s="19">
        <f>B25*TEMP_RATE+FERT_TOM</f>
        <v/>
      </c>
      <c r="E25" s="19">
        <f>PRICE_TOM-D25</f>
        <v/>
      </c>
    </row>
    <row r="26">
      <c r="A26" s="17" t="n">
        <v>20</v>
      </c>
      <c r="B26" s="18">
        <f>SEASON_HRS_TOM*(1+DIM_TOM)^(A26-1)*(1+A26*DIM_TOM)</f>
        <v/>
      </c>
      <c r="C26" s="18">
        <f>SEASON_HRS_TOM*A26*(1+DIM_TOM)^A26</f>
        <v/>
      </c>
      <c r="D26" s="19">
        <f>B26*TEMP_RATE+FERT_TOM</f>
        <v/>
      </c>
      <c r="E26" s="19">
        <f>PRICE_TOM-D26</f>
        <v/>
      </c>
    </row>
    <row r="27">
      <c r="A27" s="15" t="inlineStr">
        <is>
          <t>Unconstrained stop (own MC ≤ PRICE):</t>
        </is>
      </c>
      <c r="C27" s="20">
        <f>COUNTIF(D7:D26,"&lt;="&amp;PRICE_TOM)</f>
        <v/>
      </c>
    </row>
    <row r="28">
      <c r="A28" s="15" t="inlineStr">
        <is>
          <t>Hours needed at that count:</t>
        </is>
      </c>
      <c r="C28" s="16">
        <f>IF(STOP_TOM=0,0,INDEX(C7:C26,STOP_TOM))</f>
        <v/>
      </c>
    </row>
    <row r="30">
      <c r="A30" s="2" t="inlineStr">
        <is>
          <t>Carrots</t>
        </is>
      </c>
    </row>
    <row r="31">
      <c r="A31" s="15" t="inlineStr">
        <is>
          <t>Season hours/bed (pre-diminishing) =</t>
        </is>
      </c>
      <c r="C31" s="16">
        <f>HRS_WK_BED_CAR*WEEKS</f>
        <v/>
      </c>
    </row>
    <row r="32">
      <c r="A32" s="4" t="inlineStr">
        <is>
          <t>Bed (q)</t>
        </is>
      </c>
      <c r="B32" s="4" t="inlineStr">
        <is>
          <t>Marginal Hours</t>
        </is>
      </c>
      <c r="C32" s="4" t="inlineStr">
        <is>
          <t>Cumulative Hours</t>
        </is>
      </c>
      <c r="D32" s="4" t="inlineStr">
        <is>
          <t>Marginal Cost ($)</t>
        </is>
      </c>
      <c r="E32" s="4" t="inlineStr">
        <is>
          <t>Marginal Contribution ($)</t>
        </is>
      </c>
    </row>
    <row r="33">
      <c r="A33" s="17" t="n">
        <v>1</v>
      </c>
      <c r="B33" s="18">
        <f>SEASON_HRS_CAR*(1+DIM_CAR)^(A33-1)*(1+A33*DIM_CAR)</f>
        <v/>
      </c>
      <c r="C33" s="18">
        <f>SEASON_HRS_CAR*A33*(1+DIM_CAR)^A33</f>
        <v/>
      </c>
      <c r="D33" s="19">
        <f>B33*TEMP_RATE+FERT_CAR</f>
        <v/>
      </c>
      <c r="E33" s="19">
        <f>PRICE_CAR-D33</f>
        <v/>
      </c>
    </row>
    <row r="34">
      <c r="A34" s="17" t="n">
        <v>2</v>
      </c>
      <c r="B34" s="18">
        <f>SEASON_HRS_CAR*(1+DIM_CAR)^(A34-1)*(1+A34*DIM_CAR)</f>
        <v/>
      </c>
      <c r="C34" s="18">
        <f>SEASON_HRS_CAR*A34*(1+DIM_CAR)^A34</f>
        <v/>
      </c>
      <c r="D34" s="19">
        <f>B34*TEMP_RATE+FERT_CAR</f>
        <v/>
      </c>
      <c r="E34" s="19">
        <f>PRICE_CAR-D34</f>
        <v/>
      </c>
    </row>
    <row r="35">
      <c r="A35" s="17" t="n">
        <v>3</v>
      </c>
      <c r="B35" s="18">
        <f>SEASON_HRS_CAR*(1+DIM_CAR)^(A35-1)*(1+A35*DIM_CAR)</f>
        <v/>
      </c>
      <c r="C35" s="18">
        <f>SEASON_HRS_CAR*A35*(1+DIM_CAR)^A35</f>
        <v/>
      </c>
      <c r="D35" s="19">
        <f>B35*TEMP_RATE+FERT_CAR</f>
        <v/>
      </c>
      <c r="E35" s="19">
        <f>PRICE_CAR-D35</f>
        <v/>
      </c>
    </row>
    <row r="36">
      <c r="A36" s="17" t="n">
        <v>4</v>
      </c>
      <c r="B36" s="18">
        <f>SEASON_HRS_CAR*(1+DIM_CAR)^(A36-1)*(1+A36*DIM_CAR)</f>
        <v/>
      </c>
      <c r="C36" s="18">
        <f>SEASON_HRS_CAR*A36*(1+DIM_CAR)^A36</f>
        <v/>
      </c>
      <c r="D36" s="19">
        <f>B36*TEMP_RATE+FERT_CAR</f>
        <v/>
      </c>
      <c r="E36" s="19">
        <f>PRICE_CAR-D36</f>
        <v/>
      </c>
    </row>
    <row r="37">
      <c r="A37" s="17" t="n">
        <v>5</v>
      </c>
      <c r="B37" s="18">
        <f>SEASON_HRS_CAR*(1+DIM_CAR)^(A37-1)*(1+A37*DIM_CAR)</f>
        <v/>
      </c>
      <c r="C37" s="18">
        <f>SEASON_HRS_CAR*A37*(1+DIM_CAR)^A37</f>
        <v/>
      </c>
      <c r="D37" s="19">
        <f>B37*TEMP_RATE+FERT_CAR</f>
        <v/>
      </c>
      <c r="E37" s="19">
        <f>PRICE_CAR-D37</f>
        <v/>
      </c>
    </row>
    <row r="38">
      <c r="A38" s="17" t="n">
        <v>6</v>
      </c>
      <c r="B38" s="18">
        <f>SEASON_HRS_CAR*(1+DIM_CAR)^(A38-1)*(1+A38*DIM_CAR)</f>
        <v/>
      </c>
      <c r="C38" s="18">
        <f>SEASON_HRS_CAR*A38*(1+DIM_CAR)^A38</f>
        <v/>
      </c>
      <c r="D38" s="19">
        <f>B38*TEMP_RATE+FERT_CAR</f>
        <v/>
      </c>
      <c r="E38" s="19">
        <f>PRICE_CAR-D38</f>
        <v/>
      </c>
    </row>
    <row r="39">
      <c r="A39" s="17" t="n">
        <v>7</v>
      </c>
      <c r="B39" s="18">
        <f>SEASON_HRS_CAR*(1+DIM_CAR)^(A39-1)*(1+A39*DIM_CAR)</f>
        <v/>
      </c>
      <c r="C39" s="18">
        <f>SEASON_HRS_CAR*A39*(1+DIM_CAR)^A39</f>
        <v/>
      </c>
      <c r="D39" s="19">
        <f>B39*TEMP_RATE+FERT_CAR</f>
        <v/>
      </c>
      <c r="E39" s="19">
        <f>PRICE_CAR-D39</f>
        <v/>
      </c>
    </row>
    <row r="40">
      <c r="A40" s="17" t="n">
        <v>8</v>
      </c>
      <c r="B40" s="18">
        <f>SEASON_HRS_CAR*(1+DIM_CAR)^(A40-1)*(1+A40*DIM_CAR)</f>
        <v/>
      </c>
      <c r="C40" s="18">
        <f>SEASON_HRS_CAR*A40*(1+DIM_CAR)^A40</f>
        <v/>
      </c>
      <c r="D40" s="19">
        <f>B40*TEMP_RATE+FERT_CAR</f>
        <v/>
      </c>
      <c r="E40" s="19">
        <f>PRICE_CAR-D40</f>
        <v/>
      </c>
    </row>
    <row r="41">
      <c r="A41" s="17" t="n">
        <v>9</v>
      </c>
      <c r="B41" s="18">
        <f>SEASON_HRS_CAR*(1+DIM_CAR)^(A41-1)*(1+A41*DIM_CAR)</f>
        <v/>
      </c>
      <c r="C41" s="18">
        <f>SEASON_HRS_CAR*A41*(1+DIM_CAR)^A41</f>
        <v/>
      </c>
      <c r="D41" s="19">
        <f>B41*TEMP_RATE+FERT_CAR</f>
        <v/>
      </c>
      <c r="E41" s="19">
        <f>PRICE_CAR-D41</f>
        <v/>
      </c>
    </row>
    <row r="42">
      <c r="A42" s="17" t="n">
        <v>10</v>
      </c>
      <c r="B42" s="18">
        <f>SEASON_HRS_CAR*(1+DIM_CAR)^(A42-1)*(1+A42*DIM_CAR)</f>
        <v/>
      </c>
      <c r="C42" s="18">
        <f>SEASON_HRS_CAR*A42*(1+DIM_CAR)^A42</f>
        <v/>
      </c>
      <c r="D42" s="19">
        <f>B42*TEMP_RATE+FERT_CAR</f>
        <v/>
      </c>
      <c r="E42" s="19">
        <f>PRICE_CAR-D42</f>
        <v/>
      </c>
    </row>
    <row r="43">
      <c r="A43" s="17" t="n">
        <v>11</v>
      </c>
      <c r="B43" s="18">
        <f>SEASON_HRS_CAR*(1+DIM_CAR)^(A43-1)*(1+A43*DIM_CAR)</f>
        <v/>
      </c>
      <c r="C43" s="18">
        <f>SEASON_HRS_CAR*A43*(1+DIM_CAR)^A43</f>
        <v/>
      </c>
      <c r="D43" s="19">
        <f>B43*TEMP_RATE+FERT_CAR</f>
        <v/>
      </c>
      <c r="E43" s="19">
        <f>PRICE_CAR-D43</f>
        <v/>
      </c>
    </row>
    <row r="44">
      <c r="A44" s="17" t="n">
        <v>12</v>
      </c>
      <c r="B44" s="18">
        <f>SEASON_HRS_CAR*(1+DIM_CAR)^(A44-1)*(1+A44*DIM_CAR)</f>
        <v/>
      </c>
      <c r="C44" s="18">
        <f>SEASON_HRS_CAR*A44*(1+DIM_CAR)^A44</f>
        <v/>
      </c>
      <c r="D44" s="19">
        <f>B44*TEMP_RATE+FERT_CAR</f>
        <v/>
      </c>
      <c r="E44" s="19">
        <f>PRICE_CAR-D44</f>
        <v/>
      </c>
    </row>
    <row r="45">
      <c r="A45" s="17" t="n">
        <v>13</v>
      </c>
      <c r="B45" s="18">
        <f>SEASON_HRS_CAR*(1+DIM_CAR)^(A45-1)*(1+A45*DIM_CAR)</f>
        <v/>
      </c>
      <c r="C45" s="18">
        <f>SEASON_HRS_CAR*A45*(1+DIM_CAR)^A45</f>
        <v/>
      </c>
      <c r="D45" s="19">
        <f>B45*TEMP_RATE+FERT_CAR</f>
        <v/>
      </c>
      <c r="E45" s="19">
        <f>PRICE_CAR-D45</f>
        <v/>
      </c>
    </row>
    <row r="46">
      <c r="A46" s="17" t="n">
        <v>14</v>
      </c>
      <c r="B46" s="18">
        <f>SEASON_HRS_CAR*(1+DIM_CAR)^(A46-1)*(1+A46*DIM_CAR)</f>
        <v/>
      </c>
      <c r="C46" s="18">
        <f>SEASON_HRS_CAR*A46*(1+DIM_CAR)^A46</f>
        <v/>
      </c>
      <c r="D46" s="19">
        <f>B46*TEMP_RATE+FERT_CAR</f>
        <v/>
      </c>
      <c r="E46" s="19">
        <f>PRICE_CAR-D46</f>
        <v/>
      </c>
    </row>
    <row r="47">
      <c r="A47" s="17" t="n">
        <v>15</v>
      </c>
      <c r="B47" s="18">
        <f>SEASON_HRS_CAR*(1+DIM_CAR)^(A47-1)*(1+A47*DIM_CAR)</f>
        <v/>
      </c>
      <c r="C47" s="18">
        <f>SEASON_HRS_CAR*A47*(1+DIM_CAR)^A47</f>
        <v/>
      </c>
      <c r="D47" s="19">
        <f>B47*TEMP_RATE+FERT_CAR</f>
        <v/>
      </c>
      <c r="E47" s="19">
        <f>PRICE_CAR-D47</f>
        <v/>
      </c>
    </row>
    <row r="48">
      <c r="A48" s="17" t="n">
        <v>16</v>
      </c>
      <c r="B48" s="18">
        <f>SEASON_HRS_CAR*(1+DIM_CAR)^(A48-1)*(1+A48*DIM_CAR)</f>
        <v/>
      </c>
      <c r="C48" s="18">
        <f>SEASON_HRS_CAR*A48*(1+DIM_CAR)^A48</f>
        <v/>
      </c>
      <c r="D48" s="19">
        <f>B48*TEMP_RATE+FERT_CAR</f>
        <v/>
      </c>
      <c r="E48" s="19">
        <f>PRICE_CAR-D48</f>
        <v/>
      </c>
    </row>
    <row r="49">
      <c r="A49" s="17" t="n">
        <v>17</v>
      </c>
      <c r="B49" s="18">
        <f>SEASON_HRS_CAR*(1+DIM_CAR)^(A49-1)*(1+A49*DIM_CAR)</f>
        <v/>
      </c>
      <c r="C49" s="18">
        <f>SEASON_HRS_CAR*A49*(1+DIM_CAR)^A49</f>
        <v/>
      </c>
      <c r="D49" s="19">
        <f>B49*TEMP_RATE+FERT_CAR</f>
        <v/>
      </c>
      <c r="E49" s="19">
        <f>PRICE_CAR-D49</f>
        <v/>
      </c>
    </row>
    <row r="50">
      <c r="A50" s="17" t="n">
        <v>18</v>
      </c>
      <c r="B50" s="18">
        <f>SEASON_HRS_CAR*(1+DIM_CAR)^(A50-1)*(1+A50*DIM_CAR)</f>
        <v/>
      </c>
      <c r="C50" s="18">
        <f>SEASON_HRS_CAR*A50*(1+DIM_CAR)^A50</f>
        <v/>
      </c>
      <c r="D50" s="19">
        <f>B50*TEMP_RATE+FERT_CAR</f>
        <v/>
      </c>
      <c r="E50" s="19">
        <f>PRICE_CAR-D50</f>
        <v/>
      </c>
    </row>
    <row r="51">
      <c r="A51" s="17" t="n">
        <v>19</v>
      </c>
      <c r="B51" s="18">
        <f>SEASON_HRS_CAR*(1+DIM_CAR)^(A51-1)*(1+A51*DIM_CAR)</f>
        <v/>
      </c>
      <c r="C51" s="18">
        <f>SEASON_HRS_CAR*A51*(1+DIM_CAR)^A51</f>
        <v/>
      </c>
      <c r="D51" s="19">
        <f>B51*TEMP_RATE+FERT_CAR</f>
        <v/>
      </c>
      <c r="E51" s="19">
        <f>PRICE_CAR-D51</f>
        <v/>
      </c>
    </row>
    <row r="52">
      <c r="A52" s="17" t="n">
        <v>20</v>
      </c>
      <c r="B52" s="18">
        <f>SEASON_HRS_CAR*(1+DIM_CAR)^(A52-1)*(1+A52*DIM_CAR)</f>
        <v/>
      </c>
      <c r="C52" s="18">
        <f>SEASON_HRS_CAR*A52*(1+DIM_CAR)^A52</f>
        <v/>
      </c>
      <c r="D52" s="19">
        <f>B52*TEMP_RATE+FERT_CAR</f>
        <v/>
      </c>
      <c r="E52" s="19">
        <f>PRICE_CAR-D52</f>
        <v/>
      </c>
    </row>
    <row r="53">
      <c r="A53" s="15" t="inlineStr">
        <is>
          <t>Unconstrained stop (own MC ≤ PRICE):</t>
        </is>
      </c>
      <c r="C53" s="20">
        <f>COUNTIF(D33:D52,"&lt;="&amp;PRICE_CAR)</f>
        <v/>
      </c>
    </row>
    <row r="54">
      <c r="A54" s="15" t="inlineStr">
        <is>
          <t>Hours needed at that count:</t>
        </is>
      </c>
      <c r="C54" s="16">
        <f>IF(STOP_CAR=0,0,INDEX(C33:C52,STOP_CAR))</f>
        <v/>
      </c>
    </row>
    <row r="56">
      <c r="A56" s="2" t="inlineStr">
        <is>
          <t>Mesclun</t>
        </is>
      </c>
    </row>
    <row r="57">
      <c r="A57" s="15" t="inlineStr">
        <is>
          <t>Season hours/bed (pre-diminishing) =</t>
        </is>
      </c>
      <c r="C57" s="16">
        <f>HRS_WK_BED_MES*WEEKS</f>
        <v/>
      </c>
    </row>
    <row r="58">
      <c r="A58" s="4" t="inlineStr">
        <is>
          <t>Bed (q)</t>
        </is>
      </c>
      <c r="B58" s="4" t="inlineStr">
        <is>
          <t>Marginal Hours</t>
        </is>
      </c>
      <c r="C58" s="4" t="inlineStr">
        <is>
          <t>Cumulative Hours</t>
        </is>
      </c>
      <c r="D58" s="4" t="inlineStr">
        <is>
          <t>Marginal Cost ($)</t>
        </is>
      </c>
      <c r="E58" s="4" t="inlineStr">
        <is>
          <t>Marginal Contribution ($)</t>
        </is>
      </c>
    </row>
    <row r="59">
      <c r="A59" s="17" t="n">
        <v>1</v>
      </c>
      <c r="B59" s="18">
        <f>SEASON_HRS_MES*(1+DIM_MES)^(A59-1)*(1+A59*DIM_MES)</f>
        <v/>
      </c>
      <c r="C59" s="18">
        <f>SEASON_HRS_MES*A59*(1+DIM_MES)^A59</f>
        <v/>
      </c>
      <c r="D59" s="19">
        <f>B59*TEMP_RATE+FERT_MES</f>
        <v/>
      </c>
      <c r="E59" s="19">
        <f>PRICE_MES-D59</f>
        <v/>
      </c>
    </row>
    <row r="60">
      <c r="A60" s="17" t="n">
        <v>2</v>
      </c>
      <c r="B60" s="18">
        <f>SEASON_HRS_MES*(1+DIM_MES)^(A60-1)*(1+A60*DIM_MES)</f>
        <v/>
      </c>
      <c r="C60" s="18">
        <f>SEASON_HRS_MES*A60*(1+DIM_MES)^A60</f>
        <v/>
      </c>
      <c r="D60" s="19">
        <f>B60*TEMP_RATE+FERT_MES</f>
        <v/>
      </c>
      <c r="E60" s="19">
        <f>PRICE_MES-D60</f>
        <v/>
      </c>
    </row>
    <row r="61">
      <c r="A61" s="17" t="n">
        <v>3</v>
      </c>
      <c r="B61" s="18">
        <f>SEASON_HRS_MES*(1+DIM_MES)^(A61-1)*(1+A61*DIM_MES)</f>
        <v/>
      </c>
      <c r="C61" s="18">
        <f>SEASON_HRS_MES*A61*(1+DIM_MES)^A61</f>
        <v/>
      </c>
      <c r="D61" s="19">
        <f>B61*TEMP_RATE+FERT_MES</f>
        <v/>
      </c>
      <c r="E61" s="19">
        <f>PRICE_MES-D61</f>
        <v/>
      </c>
    </row>
    <row r="62">
      <c r="A62" s="17" t="n">
        <v>4</v>
      </c>
      <c r="B62" s="18">
        <f>SEASON_HRS_MES*(1+DIM_MES)^(A62-1)*(1+A62*DIM_MES)</f>
        <v/>
      </c>
      <c r="C62" s="18">
        <f>SEASON_HRS_MES*A62*(1+DIM_MES)^A62</f>
        <v/>
      </c>
      <c r="D62" s="19">
        <f>B62*TEMP_RATE+FERT_MES</f>
        <v/>
      </c>
      <c r="E62" s="19">
        <f>PRICE_MES-D62</f>
        <v/>
      </c>
    </row>
    <row r="63">
      <c r="A63" s="17" t="n">
        <v>5</v>
      </c>
      <c r="B63" s="18">
        <f>SEASON_HRS_MES*(1+DIM_MES)^(A63-1)*(1+A63*DIM_MES)</f>
        <v/>
      </c>
      <c r="C63" s="18">
        <f>SEASON_HRS_MES*A63*(1+DIM_MES)^A63</f>
        <v/>
      </c>
      <c r="D63" s="19">
        <f>B63*TEMP_RATE+FERT_MES</f>
        <v/>
      </c>
      <c r="E63" s="19">
        <f>PRICE_MES-D63</f>
        <v/>
      </c>
    </row>
    <row r="64">
      <c r="A64" s="17" t="n">
        <v>6</v>
      </c>
      <c r="B64" s="18">
        <f>SEASON_HRS_MES*(1+DIM_MES)^(A64-1)*(1+A64*DIM_MES)</f>
        <v/>
      </c>
      <c r="C64" s="18">
        <f>SEASON_HRS_MES*A64*(1+DIM_MES)^A64</f>
        <v/>
      </c>
      <c r="D64" s="19">
        <f>B64*TEMP_RATE+FERT_MES</f>
        <v/>
      </c>
      <c r="E64" s="19">
        <f>PRICE_MES-D64</f>
        <v/>
      </c>
    </row>
    <row r="65">
      <c r="A65" s="17" t="n">
        <v>7</v>
      </c>
      <c r="B65" s="18">
        <f>SEASON_HRS_MES*(1+DIM_MES)^(A65-1)*(1+A65*DIM_MES)</f>
        <v/>
      </c>
      <c r="C65" s="18">
        <f>SEASON_HRS_MES*A65*(1+DIM_MES)^A65</f>
        <v/>
      </c>
      <c r="D65" s="19">
        <f>B65*TEMP_RATE+FERT_MES</f>
        <v/>
      </c>
      <c r="E65" s="19">
        <f>PRICE_MES-D65</f>
        <v/>
      </c>
    </row>
    <row r="66">
      <c r="A66" s="17" t="n">
        <v>8</v>
      </c>
      <c r="B66" s="18">
        <f>SEASON_HRS_MES*(1+DIM_MES)^(A66-1)*(1+A66*DIM_MES)</f>
        <v/>
      </c>
      <c r="C66" s="18">
        <f>SEASON_HRS_MES*A66*(1+DIM_MES)^A66</f>
        <v/>
      </c>
      <c r="D66" s="19">
        <f>B66*TEMP_RATE+FERT_MES</f>
        <v/>
      </c>
      <c r="E66" s="19">
        <f>PRICE_MES-D66</f>
        <v/>
      </c>
    </row>
    <row r="67">
      <c r="A67" s="17" t="n">
        <v>9</v>
      </c>
      <c r="B67" s="18">
        <f>SEASON_HRS_MES*(1+DIM_MES)^(A67-1)*(1+A67*DIM_MES)</f>
        <v/>
      </c>
      <c r="C67" s="18">
        <f>SEASON_HRS_MES*A67*(1+DIM_MES)^A67</f>
        <v/>
      </c>
      <c r="D67" s="19">
        <f>B67*TEMP_RATE+FERT_MES</f>
        <v/>
      </c>
      <c r="E67" s="19">
        <f>PRICE_MES-D67</f>
        <v/>
      </c>
    </row>
    <row r="68">
      <c r="A68" s="17" t="n">
        <v>10</v>
      </c>
      <c r="B68" s="18">
        <f>SEASON_HRS_MES*(1+DIM_MES)^(A68-1)*(1+A68*DIM_MES)</f>
        <v/>
      </c>
      <c r="C68" s="18">
        <f>SEASON_HRS_MES*A68*(1+DIM_MES)^A68</f>
        <v/>
      </c>
      <c r="D68" s="19">
        <f>B68*TEMP_RATE+FERT_MES</f>
        <v/>
      </c>
      <c r="E68" s="19">
        <f>PRICE_MES-D68</f>
        <v/>
      </c>
    </row>
    <row r="69">
      <c r="A69" s="17" t="n">
        <v>11</v>
      </c>
      <c r="B69" s="18">
        <f>SEASON_HRS_MES*(1+DIM_MES)^(A69-1)*(1+A69*DIM_MES)</f>
        <v/>
      </c>
      <c r="C69" s="18">
        <f>SEASON_HRS_MES*A69*(1+DIM_MES)^A69</f>
        <v/>
      </c>
      <c r="D69" s="19">
        <f>B69*TEMP_RATE+FERT_MES</f>
        <v/>
      </c>
      <c r="E69" s="19">
        <f>PRICE_MES-D69</f>
        <v/>
      </c>
    </row>
    <row r="70">
      <c r="A70" s="17" t="n">
        <v>12</v>
      </c>
      <c r="B70" s="18">
        <f>SEASON_HRS_MES*(1+DIM_MES)^(A70-1)*(1+A70*DIM_MES)</f>
        <v/>
      </c>
      <c r="C70" s="18">
        <f>SEASON_HRS_MES*A70*(1+DIM_MES)^A70</f>
        <v/>
      </c>
      <c r="D70" s="19">
        <f>B70*TEMP_RATE+FERT_MES</f>
        <v/>
      </c>
      <c r="E70" s="19">
        <f>PRICE_MES-D70</f>
        <v/>
      </c>
    </row>
    <row r="71">
      <c r="A71" s="17" t="n">
        <v>13</v>
      </c>
      <c r="B71" s="18">
        <f>SEASON_HRS_MES*(1+DIM_MES)^(A71-1)*(1+A71*DIM_MES)</f>
        <v/>
      </c>
      <c r="C71" s="18">
        <f>SEASON_HRS_MES*A71*(1+DIM_MES)^A71</f>
        <v/>
      </c>
      <c r="D71" s="19">
        <f>B71*TEMP_RATE+FERT_MES</f>
        <v/>
      </c>
      <c r="E71" s="19">
        <f>PRICE_MES-D71</f>
        <v/>
      </c>
    </row>
    <row r="72">
      <c r="A72" s="17" t="n">
        <v>14</v>
      </c>
      <c r="B72" s="18">
        <f>SEASON_HRS_MES*(1+DIM_MES)^(A72-1)*(1+A72*DIM_MES)</f>
        <v/>
      </c>
      <c r="C72" s="18">
        <f>SEASON_HRS_MES*A72*(1+DIM_MES)^A72</f>
        <v/>
      </c>
      <c r="D72" s="19">
        <f>B72*TEMP_RATE+FERT_MES</f>
        <v/>
      </c>
      <c r="E72" s="19">
        <f>PRICE_MES-D72</f>
        <v/>
      </c>
    </row>
    <row r="73">
      <c r="A73" s="17" t="n">
        <v>15</v>
      </c>
      <c r="B73" s="18">
        <f>SEASON_HRS_MES*(1+DIM_MES)^(A73-1)*(1+A73*DIM_MES)</f>
        <v/>
      </c>
      <c r="C73" s="18">
        <f>SEASON_HRS_MES*A73*(1+DIM_MES)^A73</f>
        <v/>
      </c>
      <c r="D73" s="19">
        <f>B73*TEMP_RATE+FERT_MES</f>
        <v/>
      </c>
      <c r="E73" s="19">
        <f>PRICE_MES-D73</f>
        <v/>
      </c>
    </row>
    <row r="74">
      <c r="A74" s="17" t="n">
        <v>16</v>
      </c>
      <c r="B74" s="18">
        <f>SEASON_HRS_MES*(1+DIM_MES)^(A74-1)*(1+A74*DIM_MES)</f>
        <v/>
      </c>
      <c r="C74" s="18">
        <f>SEASON_HRS_MES*A74*(1+DIM_MES)^A74</f>
        <v/>
      </c>
      <c r="D74" s="19">
        <f>B74*TEMP_RATE+FERT_MES</f>
        <v/>
      </c>
      <c r="E74" s="19">
        <f>PRICE_MES-D74</f>
        <v/>
      </c>
    </row>
    <row r="75">
      <c r="A75" s="17" t="n">
        <v>17</v>
      </c>
      <c r="B75" s="18">
        <f>SEASON_HRS_MES*(1+DIM_MES)^(A75-1)*(1+A75*DIM_MES)</f>
        <v/>
      </c>
      <c r="C75" s="18">
        <f>SEASON_HRS_MES*A75*(1+DIM_MES)^A75</f>
        <v/>
      </c>
      <c r="D75" s="19">
        <f>B75*TEMP_RATE+FERT_MES</f>
        <v/>
      </c>
      <c r="E75" s="19">
        <f>PRICE_MES-D75</f>
        <v/>
      </c>
    </row>
    <row r="76">
      <c r="A76" s="17" t="n">
        <v>18</v>
      </c>
      <c r="B76" s="18">
        <f>SEASON_HRS_MES*(1+DIM_MES)^(A76-1)*(1+A76*DIM_MES)</f>
        <v/>
      </c>
      <c r="C76" s="18">
        <f>SEASON_HRS_MES*A76*(1+DIM_MES)^A76</f>
        <v/>
      </c>
      <c r="D76" s="19">
        <f>B76*TEMP_RATE+FERT_MES</f>
        <v/>
      </c>
      <c r="E76" s="19">
        <f>PRICE_MES-D76</f>
        <v/>
      </c>
    </row>
    <row r="77">
      <c r="A77" s="17" t="n">
        <v>19</v>
      </c>
      <c r="B77" s="18">
        <f>SEASON_HRS_MES*(1+DIM_MES)^(A77-1)*(1+A77*DIM_MES)</f>
        <v/>
      </c>
      <c r="C77" s="18">
        <f>SEASON_HRS_MES*A77*(1+DIM_MES)^A77</f>
        <v/>
      </c>
      <c r="D77" s="19">
        <f>B77*TEMP_RATE+FERT_MES</f>
        <v/>
      </c>
      <c r="E77" s="19">
        <f>PRICE_MES-D77</f>
        <v/>
      </c>
    </row>
    <row r="78">
      <c r="A78" s="17" t="n">
        <v>20</v>
      </c>
      <c r="B78" s="18">
        <f>SEASON_HRS_MES*(1+DIM_MES)^(A78-1)*(1+A78*DIM_MES)</f>
        <v/>
      </c>
      <c r="C78" s="18">
        <f>SEASON_HRS_MES*A78*(1+DIM_MES)^A78</f>
        <v/>
      </c>
      <c r="D78" s="19">
        <f>B78*TEMP_RATE+FERT_MES</f>
        <v/>
      </c>
      <c r="E78" s="19">
        <f>PRICE_MES-D78</f>
        <v/>
      </c>
    </row>
    <row r="79">
      <c r="A79" s="17" t="n">
        <v>21</v>
      </c>
      <c r="B79" s="18">
        <f>SEASON_HRS_MES*(1+DIM_MES)^(A79-1)*(1+A79*DIM_MES)</f>
        <v/>
      </c>
      <c r="C79" s="18">
        <f>SEASON_HRS_MES*A79*(1+DIM_MES)^A79</f>
        <v/>
      </c>
      <c r="D79" s="19">
        <f>B79*TEMP_RATE+FERT_MES</f>
        <v/>
      </c>
      <c r="E79" s="19">
        <f>PRICE_MES-D79</f>
        <v/>
      </c>
    </row>
    <row r="80">
      <c r="A80" s="17" t="n">
        <v>22</v>
      </c>
      <c r="B80" s="18">
        <f>SEASON_HRS_MES*(1+DIM_MES)^(A80-1)*(1+A80*DIM_MES)</f>
        <v/>
      </c>
      <c r="C80" s="18">
        <f>SEASON_HRS_MES*A80*(1+DIM_MES)^A80</f>
        <v/>
      </c>
      <c r="D80" s="19">
        <f>B80*TEMP_RATE+FERT_MES</f>
        <v/>
      </c>
      <c r="E80" s="19">
        <f>PRICE_MES-D80</f>
        <v/>
      </c>
    </row>
    <row r="81">
      <c r="A81" s="17" t="n">
        <v>23</v>
      </c>
      <c r="B81" s="18">
        <f>SEASON_HRS_MES*(1+DIM_MES)^(A81-1)*(1+A81*DIM_MES)</f>
        <v/>
      </c>
      <c r="C81" s="18">
        <f>SEASON_HRS_MES*A81*(1+DIM_MES)^A81</f>
        <v/>
      </c>
      <c r="D81" s="19">
        <f>B81*TEMP_RATE+FERT_MES</f>
        <v/>
      </c>
      <c r="E81" s="19">
        <f>PRICE_MES-D81</f>
        <v/>
      </c>
    </row>
    <row r="82">
      <c r="A82" s="17" t="n">
        <v>24</v>
      </c>
      <c r="B82" s="18">
        <f>SEASON_HRS_MES*(1+DIM_MES)^(A82-1)*(1+A82*DIM_MES)</f>
        <v/>
      </c>
      <c r="C82" s="18">
        <f>SEASON_HRS_MES*A82*(1+DIM_MES)^A82</f>
        <v/>
      </c>
      <c r="D82" s="19">
        <f>B82*TEMP_RATE+FERT_MES</f>
        <v/>
      </c>
      <c r="E82" s="19">
        <f>PRICE_MES-D82</f>
        <v/>
      </c>
    </row>
    <row r="83">
      <c r="A83" s="17" t="n">
        <v>25</v>
      </c>
      <c r="B83" s="18">
        <f>SEASON_HRS_MES*(1+DIM_MES)^(A83-1)*(1+A83*DIM_MES)</f>
        <v/>
      </c>
      <c r="C83" s="18">
        <f>SEASON_HRS_MES*A83*(1+DIM_MES)^A83</f>
        <v/>
      </c>
      <c r="D83" s="19">
        <f>B83*TEMP_RATE+FERT_MES</f>
        <v/>
      </c>
      <c r="E83" s="19">
        <f>PRICE_MES-D83</f>
        <v/>
      </c>
    </row>
    <row r="84">
      <c r="A84" s="17" t="n">
        <v>26</v>
      </c>
      <c r="B84" s="18">
        <f>SEASON_HRS_MES*(1+DIM_MES)^(A84-1)*(1+A84*DIM_MES)</f>
        <v/>
      </c>
      <c r="C84" s="18">
        <f>SEASON_HRS_MES*A84*(1+DIM_MES)^A84</f>
        <v/>
      </c>
      <c r="D84" s="19">
        <f>B84*TEMP_RATE+FERT_MES</f>
        <v/>
      </c>
      <c r="E84" s="19">
        <f>PRICE_MES-D84</f>
        <v/>
      </c>
    </row>
    <row r="85">
      <c r="A85" s="17" t="n">
        <v>27</v>
      </c>
      <c r="B85" s="18">
        <f>SEASON_HRS_MES*(1+DIM_MES)^(A85-1)*(1+A85*DIM_MES)</f>
        <v/>
      </c>
      <c r="C85" s="18">
        <f>SEASON_HRS_MES*A85*(1+DIM_MES)^A85</f>
        <v/>
      </c>
      <c r="D85" s="19">
        <f>B85*TEMP_RATE+FERT_MES</f>
        <v/>
      </c>
      <c r="E85" s="19">
        <f>PRICE_MES-D85</f>
        <v/>
      </c>
    </row>
    <row r="86">
      <c r="A86" s="17" t="n">
        <v>28</v>
      </c>
      <c r="B86" s="18">
        <f>SEASON_HRS_MES*(1+DIM_MES)^(A86-1)*(1+A86*DIM_MES)</f>
        <v/>
      </c>
      <c r="C86" s="18">
        <f>SEASON_HRS_MES*A86*(1+DIM_MES)^A86</f>
        <v/>
      </c>
      <c r="D86" s="19">
        <f>B86*TEMP_RATE+FERT_MES</f>
        <v/>
      </c>
      <c r="E86" s="19">
        <f>PRICE_MES-D86</f>
        <v/>
      </c>
    </row>
    <row r="87">
      <c r="A87" s="17" t="n">
        <v>29</v>
      </c>
      <c r="B87" s="18">
        <f>SEASON_HRS_MES*(1+DIM_MES)^(A87-1)*(1+A87*DIM_MES)</f>
        <v/>
      </c>
      <c r="C87" s="18">
        <f>SEASON_HRS_MES*A87*(1+DIM_MES)^A87</f>
        <v/>
      </c>
      <c r="D87" s="19">
        <f>B87*TEMP_RATE+FERT_MES</f>
        <v/>
      </c>
      <c r="E87" s="19">
        <f>PRICE_MES-D87</f>
        <v/>
      </c>
    </row>
    <row r="88">
      <c r="A88" s="17" t="n">
        <v>30</v>
      </c>
      <c r="B88" s="18">
        <f>SEASON_HRS_MES*(1+DIM_MES)^(A88-1)*(1+A88*DIM_MES)</f>
        <v/>
      </c>
      <c r="C88" s="18">
        <f>SEASON_HRS_MES*A88*(1+DIM_MES)^A88</f>
        <v/>
      </c>
      <c r="D88" s="19">
        <f>B88*TEMP_RATE+FERT_MES</f>
        <v/>
      </c>
      <c r="E88" s="19">
        <f>PRICE_MES-D88</f>
        <v/>
      </c>
    </row>
    <row r="89">
      <c r="A89" s="15" t="inlineStr">
        <is>
          <t>Unconstrained stop (own MC ≤ PRICE):</t>
        </is>
      </c>
      <c r="C89" s="20">
        <f>COUNTIF(D59:D88,"&lt;="&amp;PRICE_MES)</f>
        <v/>
      </c>
    </row>
    <row r="90">
      <c r="A90" s="15" t="inlineStr">
        <is>
          <t>Hours needed at that count:</t>
        </is>
      </c>
      <c r="C90" s="16">
        <f>IF(STOP_MES=0,0,INDEX(C59:C88,STOP_MES))</f>
        <v/>
      </c>
    </row>
  </sheetData>
  <pageMargins left="0.75" right="0.75" top="1" bottom="1" header="0.5" footer="0.5"/>
</worksheet>
</file>

<file path=xl/worksheets/sheet3.xml><?xml version="1.0" encoding="utf-8"?>
<worksheet xmlns="http://schemas.openxmlformats.org/spreadsheetml/2006/main">
  <sheetPr>
    <tabColor rgb="003D7A5F"/>
    <outlinePr summaryBelow="1" summaryRight="1"/>
    <pageSetUpPr/>
  </sheetPr>
  <dimension ref="A1:G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8" customWidth="1" min="7" max="7"/>
  </cols>
  <sheetData>
    <row r="1">
      <c r="A1" s="1" t="inlineStr">
        <is>
          <t>Optimize — hiring sweep and bed mix</t>
        </is>
      </c>
    </row>
    <row r="2" ht="60" customHeight="1">
      <c r="A2" s="14" t="inlineStr">
        <is>
          <t>Each of the 5 columns below is a separate integer optimization: for that N_TEMP, which Q_TOM/Q_CAR/Q_MES maximizes PROFIT subject to BEDS_USED&lt;=TOTAL_BEDS, Q_c&lt;=MAXBED_c, and LABOR_HRS_USED&lt;=LABOR_SUPPLY. Solved by exhaustive integer search (21x21x31 combinations per column, 68,355 total) — reproducible in Excel via Data &gt; Solver on any column: Objective = that column's PROFIT cell (max), By Changing = that column's Q_TOM/Q_CAR/Q_MES cells, Constraints = that column's BEDS_USED&lt;=TOTAL_BEDS, Q_TOM&lt;=MAXBED_TOM, Q_CAR&lt;=MAXBED_CAR, Q_MES&lt;=MAXBED_MES, LABOR_HRS_USED&lt;=LABOR_SUPPLY, all changing cells integer &gt;= 0. GRG Nonlinear will not reliably solve this (the labor formula is non-convex in q); Evolutionary is the setting to use.</t>
        </is>
      </c>
    </row>
    <row r="4">
      <c r="A4" s="4" t="inlineStr">
        <is>
          <t>Scenario</t>
        </is>
      </c>
      <c r="B4" s="4" t="inlineStr">
        <is>
          <t>N_TEMP = 0</t>
        </is>
      </c>
      <c r="C4" s="4" t="inlineStr">
        <is>
          <t>N_TEMP = 1</t>
        </is>
      </c>
      <c r="D4" s="4" t="inlineStr">
        <is>
          <t>N_TEMP = 2</t>
        </is>
      </c>
      <c r="E4" s="4" t="inlineStr">
        <is>
          <t>N_TEMP = 3</t>
        </is>
      </c>
      <c r="F4" s="4" t="inlineStr">
        <is>
          <t>N_TEMP = 4</t>
        </is>
      </c>
      <c r="G4" s="21" t="inlineStr">
        <is>
          <t>Recommended</t>
        </is>
      </c>
    </row>
    <row r="5">
      <c r="A5" s="22" t="inlineStr">
        <is>
          <t>N_TEMP</t>
        </is>
      </c>
      <c r="B5" s="23" t="n">
        <v>0</v>
      </c>
      <c r="C5" s="23" t="n">
        <v>1</v>
      </c>
      <c r="D5" s="23" t="n">
        <v>2</v>
      </c>
      <c r="E5" s="23" t="n">
        <v>3</v>
      </c>
      <c r="F5" s="23" t="n">
        <v>4</v>
      </c>
      <c r="G5" s="24">
        <f>INDEX(OPT_NTEMP_RNG,WINIDX)</f>
        <v/>
      </c>
    </row>
    <row r="6">
      <c r="A6" s="15" t="inlineStr">
        <is>
          <t>Q_TOM (beds)</t>
        </is>
      </c>
      <c r="B6" s="6" t="n">
        <v>4</v>
      </c>
      <c r="C6" s="6" t="n">
        <v>6</v>
      </c>
      <c r="D6" s="6" t="n">
        <v>7</v>
      </c>
      <c r="E6" s="6" t="n">
        <v>10</v>
      </c>
      <c r="F6" s="6" t="n">
        <v>12</v>
      </c>
      <c r="G6" s="24">
        <f>INDEX(OPT_QTOM_RNG,WINIDX)</f>
        <v/>
      </c>
    </row>
    <row r="7">
      <c r="A7" s="15" t="inlineStr">
        <is>
          <t>Q_CAR (beds)</t>
        </is>
      </c>
      <c r="B7" s="6" t="n">
        <v>3</v>
      </c>
      <c r="C7" s="6" t="n">
        <v>10</v>
      </c>
      <c r="D7" s="6" t="n">
        <v>19</v>
      </c>
      <c r="E7" s="6" t="n">
        <v>19</v>
      </c>
      <c r="F7" s="6" t="n">
        <v>20</v>
      </c>
      <c r="G7" s="24">
        <f>INDEX(OPT_QCAR_RNG,WINIDX)</f>
        <v/>
      </c>
    </row>
    <row r="8">
      <c r="A8" s="15" t="inlineStr">
        <is>
          <t>Q_MES (beds)</t>
        </is>
      </c>
      <c r="B8" s="6" t="n">
        <v>2</v>
      </c>
      <c r="C8" s="6" t="n">
        <v>15</v>
      </c>
      <c r="D8" s="6" t="n">
        <v>24</v>
      </c>
      <c r="E8" s="6" t="n">
        <v>28</v>
      </c>
      <c r="F8" s="6" t="n">
        <v>30</v>
      </c>
      <c r="G8" s="24">
        <f>INDEX(OPT_QMES_RNG,WINIDX)</f>
        <v/>
      </c>
    </row>
    <row r="10">
      <c r="A10" s="15" t="inlineStr">
        <is>
          <t>BEDS_USED</t>
        </is>
      </c>
      <c r="B10" s="25">
        <f>B6+B7+B8</f>
        <v/>
      </c>
      <c r="C10" s="25">
        <f>C6+C7+C8</f>
        <v/>
      </c>
      <c r="D10" s="25">
        <f>D6+D7+D8</f>
        <v/>
      </c>
      <c r="E10" s="25">
        <f>E6+E7+E8</f>
        <v/>
      </c>
      <c r="F10" s="25">
        <f>F6+F7+F8</f>
        <v/>
      </c>
      <c r="G10" s="24">
        <f>INDEX(OPT_BEDSUSED_RNG,WINIDX)</f>
        <v/>
      </c>
    </row>
    <row r="11">
      <c r="A11" s="15" t="inlineStr">
        <is>
          <t>BEDS_FALLOW</t>
        </is>
      </c>
      <c r="B11" s="25">
        <f>TOTAL_BEDS-B10</f>
        <v/>
      </c>
      <c r="C11" s="25">
        <f>TOTAL_BEDS-C10</f>
        <v/>
      </c>
      <c r="D11" s="25">
        <f>TOTAL_BEDS-D10</f>
        <v/>
      </c>
      <c r="E11" s="25">
        <f>TOTAL_BEDS-E10</f>
        <v/>
      </c>
      <c r="F11" s="25">
        <f>TOTAL_BEDS-F10</f>
        <v/>
      </c>
    </row>
    <row r="13">
      <c r="A13" s="15" t="inlineStr">
        <is>
          <t>LABOR_HRS_USED</t>
        </is>
      </c>
      <c r="B13" s="18">
        <f>SEASON_HRS_TOM*B6*(1+DIM_TOM)^B6+SEASON_HRS_CAR*B7*(1+DIM_CAR)^B7+SEASON_HRS_MES*B8*(1+DIM_MES)^B8</f>
        <v/>
      </c>
      <c r="C13" s="18">
        <f>SEASON_HRS_TOM*C6*(1+DIM_TOM)^C6+SEASON_HRS_CAR*C7*(1+DIM_CAR)^C7+SEASON_HRS_MES*C8*(1+DIM_MES)^C8</f>
        <v/>
      </c>
      <c r="D13" s="18">
        <f>SEASON_HRS_TOM*D6*(1+DIM_TOM)^D6+SEASON_HRS_CAR*D7*(1+DIM_CAR)^D7+SEASON_HRS_MES*D8*(1+DIM_MES)^D8</f>
        <v/>
      </c>
      <c r="E13" s="18">
        <f>SEASON_HRS_TOM*E6*(1+DIM_TOM)^E6+SEASON_HRS_CAR*E7*(1+DIM_CAR)^E7+SEASON_HRS_MES*E8*(1+DIM_MES)^E8</f>
        <v/>
      </c>
      <c r="F13" s="18">
        <f>SEASON_HRS_TOM*F6*(1+DIM_TOM)^F6+SEASON_HRS_CAR*F7*(1+DIM_CAR)^F7+SEASON_HRS_MES*F8*(1+DIM_MES)^F8</f>
        <v/>
      </c>
    </row>
    <row r="14">
      <c r="A14" s="15" t="inlineStr">
        <is>
          <t>LABOR_SUPPLY</t>
        </is>
      </c>
      <c r="B14" s="18">
        <f>FARMER_FIELD_HRS+B5*TEMP_HRS</f>
        <v/>
      </c>
      <c r="C14" s="18">
        <f>FARMER_FIELD_HRS+C5*TEMP_HRS</f>
        <v/>
      </c>
      <c r="D14" s="18">
        <f>FARMER_FIELD_HRS+D5*TEMP_HRS</f>
        <v/>
      </c>
      <c r="E14" s="18">
        <f>FARMER_FIELD_HRS+E5*TEMP_HRS</f>
        <v/>
      </c>
      <c r="F14" s="18">
        <f>FARMER_FIELD_HRS+F5*TEMP_HRS</f>
        <v/>
      </c>
    </row>
    <row r="15">
      <c r="A15" s="15" t="inlineStr">
        <is>
          <t>LABOR_SLACK</t>
        </is>
      </c>
      <c r="B15" s="18">
        <f>B14-B13</f>
        <v/>
      </c>
      <c r="C15" s="18">
        <f>C14-C13</f>
        <v/>
      </c>
      <c r="D15" s="18">
        <f>D14-D13</f>
        <v/>
      </c>
      <c r="E15" s="18">
        <f>E14-E13</f>
        <v/>
      </c>
      <c r="F15" s="18">
        <f>F14-F13</f>
        <v/>
      </c>
      <c r="G15" s="26">
        <f>INDEX(OPT_LABORSLACK_RNG,WINIDX)</f>
        <v/>
      </c>
    </row>
    <row r="17">
      <c r="A17" s="15" t="inlineStr">
        <is>
          <t>REVENUE</t>
        </is>
      </c>
      <c r="B17" s="27">
        <f>B6*PRICE_TOM+B7*PRICE_CAR+B8*PRICE_MES</f>
        <v/>
      </c>
      <c r="C17" s="27">
        <f>C6*PRICE_TOM+C7*PRICE_CAR+C8*PRICE_MES</f>
        <v/>
      </c>
      <c r="D17" s="27">
        <f>D6*PRICE_TOM+D7*PRICE_CAR+D8*PRICE_MES</f>
        <v/>
      </c>
      <c r="E17" s="27">
        <f>E6*PRICE_TOM+E7*PRICE_CAR+E8*PRICE_MES</f>
        <v/>
      </c>
      <c r="F17" s="27">
        <f>F6*PRICE_TOM+F7*PRICE_CAR+F8*PRICE_MES</f>
        <v/>
      </c>
    </row>
    <row r="18">
      <c r="A18" s="15" t="inlineStr">
        <is>
          <t>FERT_COST</t>
        </is>
      </c>
      <c r="B18" s="27">
        <f>B6*FERT_TOM+B7*FERT_CAR+B8*FERT_MES</f>
        <v/>
      </c>
      <c r="C18" s="27">
        <f>C6*FERT_TOM+C7*FERT_CAR+C8*FERT_MES</f>
        <v/>
      </c>
      <c r="D18" s="27">
        <f>D6*FERT_TOM+D7*FERT_CAR+D8*FERT_MES</f>
        <v/>
      </c>
      <c r="E18" s="27">
        <f>E6*FERT_TOM+E7*FERT_CAR+E8*FERT_MES</f>
        <v/>
      </c>
      <c r="F18" s="27">
        <f>F6*FERT_TOM+F7*FERT_CAR+F8*FERT_MES</f>
        <v/>
      </c>
    </row>
    <row r="19">
      <c r="A19" s="15" t="inlineStr">
        <is>
          <t>LABOR_CASH_COST</t>
        </is>
      </c>
      <c r="B19" s="27">
        <f>FARMER_SALARY+B5*TEMP_COST</f>
        <v/>
      </c>
      <c r="C19" s="27">
        <f>FARMER_SALARY+C5*TEMP_COST</f>
        <v/>
      </c>
      <c r="D19" s="27">
        <f>FARMER_SALARY+D5*TEMP_COST</f>
        <v/>
      </c>
      <c r="E19" s="27">
        <f>FARMER_SALARY+E5*TEMP_COST</f>
        <v/>
      </c>
      <c r="F19" s="27">
        <f>FARMER_SALARY+F5*TEMP_COST</f>
        <v/>
      </c>
    </row>
    <row r="20">
      <c r="A20" s="15" t="inlineStr">
        <is>
          <t>FIXED_COSTS</t>
        </is>
      </c>
      <c r="B20" s="27">
        <f>FIXED_COSTS</f>
        <v/>
      </c>
      <c r="C20" s="27">
        <f>FIXED_COSTS</f>
        <v/>
      </c>
      <c r="D20" s="27">
        <f>FIXED_COSTS</f>
        <v/>
      </c>
      <c r="E20" s="27">
        <f>FIXED_COSTS</f>
        <v/>
      </c>
      <c r="F20" s="27">
        <f>FIXED_COSTS</f>
        <v/>
      </c>
    </row>
    <row r="21">
      <c r="A21" s="22" t="inlineStr">
        <is>
          <t>PROFIT</t>
        </is>
      </c>
      <c r="B21" s="28">
        <f>B17-B18-B19-B20</f>
        <v/>
      </c>
      <c r="C21" s="28">
        <f>C17-C18-C19-C20</f>
        <v/>
      </c>
      <c r="D21" s="28">
        <f>D17-D18-D19-D20</f>
        <v/>
      </c>
      <c r="E21" s="28">
        <f>E17-E18-E19-E20</f>
        <v/>
      </c>
      <c r="F21" s="28">
        <f>F17-F18-F19-F20</f>
        <v/>
      </c>
      <c r="G21" s="29">
        <f>INDEX(OPT_PROFIT_RNG,WINIDX)</f>
        <v/>
      </c>
    </row>
    <row r="23">
      <c r="A23" s="15" t="inlineStr">
        <is>
          <t>Profit-maximizing?</t>
        </is>
      </c>
      <c r="B23" s="30">
        <f>IF(B21=MAX($B$21:$F$21),"◄ MAX","")</f>
        <v/>
      </c>
      <c r="C23" s="30">
        <f>IF(C21=MAX($B$21:$F$21),"◄ MAX","")</f>
        <v/>
      </c>
      <c r="D23" s="30">
        <f>IF(D21=MAX($B$21:$F$21),"◄ MAX","")</f>
        <v/>
      </c>
      <c r="E23" s="30">
        <f>IF(E21=MAX($B$21:$F$21),"◄ MAX","")</f>
        <v/>
      </c>
      <c r="F23" s="30">
        <f>IF(F21=MAX($B$21:$F$21),"◄ MAX","")</f>
        <v/>
      </c>
    </row>
    <row r="25">
      <c r="A25" s="3" t="inlineStr">
        <is>
          <t>Winning column index</t>
        </is>
      </c>
      <c r="B25" s="31">
        <f>MATCH(MAX(OPT_PROFIT_RNG),OPT_PROFIT_RNG,0)</f>
        <v/>
      </c>
    </row>
    <row r="27">
      <c r="A27" s="15" t="inlineStr">
        <is>
          <t>Binding constraint, per crop, at the recommendation:</t>
        </is>
      </c>
    </row>
    <row r="28">
      <c r="A28" s="15" t="inlineStr">
        <is>
          <t>BINDING_TOM</t>
        </is>
      </c>
      <c r="B28" s="15">
        <f>IF(REC_QTOM=MAXBED_TOM,"BED CAP",IF(REC_QTOM=STOP_TOM,"MC=PRICE","LABOR"))</f>
        <v/>
      </c>
    </row>
    <row r="29">
      <c r="A29" s="15" t="inlineStr">
        <is>
          <t>BINDING_CAR</t>
        </is>
      </c>
      <c r="B29" s="15">
        <f>IF(REC_QCAR=MAXBED_CAR,"BED CAP",IF(REC_QCAR=STOP_CAR,"MC=PRICE","LABOR"))</f>
        <v/>
      </c>
    </row>
    <row r="30">
      <c r="A30" s="15" t="inlineStr">
        <is>
          <t>BINDING_MES</t>
        </is>
      </c>
      <c r="B30" s="15">
        <f>IF(REC_QMES=MAXBED_MES,"BED CAP",IF(REC_QMES=STOP_MES,"MC=PRICE","LABOR"))</f>
        <v/>
      </c>
    </row>
    <row r="32">
      <c r="A32" s="15" t="inlineStr">
        <is>
          <t>MC_TOM last bed</t>
        </is>
      </c>
      <c r="B32" s="32">
        <f>IF(REC_QTOM=0,"n/a",INDEX(Labor!$D$7:$D$26,REC_QTOM))</f>
        <v/>
      </c>
    </row>
    <row r="33">
      <c r="A33" s="15" t="inlineStr">
        <is>
          <t>MC_CAR last bed</t>
        </is>
      </c>
      <c r="B33" s="32">
        <f>IF(REC_QCAR=0,"n/a",INDEX(Labor!$D$33:$D$52,REC_QCAR))</f>
        <v/>
      </c>
    </row>
    <row r="34">
      <c r="A34" s="15" t="inlineStr">
        <is>
          <t>MC_MES last bed</t>
        </is>
      </c>
      <c r="B34" s="32">
        <f>IF(REC_QMES=0,"n/a",INDEX(Labor!$D$59:$D$88,REC_QMES))</f>
        <v/>
      </c>
    </row>
    <row r="36">
      <c r="A36" s="15" t="inlineStr">
        <is>
          <t>BED_SHADOW_PRICE</t>
        </is>
      </c>
      <c r="B36">
        <f>IF(REC_BEDSUSED=TOTAL_BEDS,"binding — see Audit","0 (beds not binding)")</f>
        <v/>
      </c>
    </row>
  </sheetData>
  <mergeCells count="1">
    <mergeCell ref="A2:G2"/>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4E3D"/>
    <outlinePr summaryBelow="1" summaryRight="1"/>
    <pageSetUpPr/>
  </sheetPr>
  <dimension ref="A1:C32"/>
  <sheetViews>
    <sheetView showGridLines="0" workbookViewId="0">
      <pane ySplit="3" topLeftCell="A4" activePane="bottomLeft" state="frozen"/>
      <selection pane="bottomLeft" activeCell="A1" sqref="A1"/>
    </sheetView>
  </sheetViews>
  <sheetFormatPr baseColWidth="8" defaultRowHeight="15"/>
  <cols>
    <col width="28" customWidth="1" min="1" max="1"/>
    <col width="16" customWidth="1" min="2" max="2"/>
    <col width="55" customWidth="1" min="3" max="3"/>
  </cols>
  <sheetData>
    <row r="1">
      <c r="A1" s="1" t="inlineStr">
        <is>
          <t>P&amp;L — recommended scenario, built independently from cash outlays</t>
        </is>
      </c>
    </row>
    <row r="2">
      <c r="A2" s="3" t="inlineStr">
        <is>
          <t>Every figure here is computed from REC_* cells and Inputs directly — it does not reference Optimize!PROFIT. Validation rule 7 checks that the two totals agree.</t>
        </is>
      </c>
    </row>
    <row r="4">
      <c r="A4" s="2" t="inlineStr">
        <is>
          <t>Decision</t>
        </is>
      </c>
    </row>
    <row r="5">
      <c r="A5" s="15" t="inlineStr">
        <is>
          <t>N_TEMP (temps hired)</t>
        </is>
      </c>
      <c r="B5" s="33">
        <f>REC_NTEMP</f>
        <v/>
      </c>
    </row>
    <row r="6">
      <c r="A6" s="15" t="inlineStr">
        <is>
          <t>Q_TOM (beds)</t>
        </is>
      </c>
      <c r="B6" s="33">
        <f>REC_QTOM</f>
        <v/>
      </c>
    </row>
    <row r="7">
      <c r="A7" s="15" t="inlineStr">
        <is>
          <t>Q_CAR (beds)</t>
        </is>
      </c>
      <c r="B7" s="33">
        <f>REC_QCAR</f>
        <v/>
      </c>
    </row>
    <row r="8">
      <c r="A8" s="15" t="inlineStr">
        <is>
          <t>Q_MES (beds)</t>
        </is>
      </c>
      <c r="B8" s="33">
        <f>REC_QMES</f>
        <v/>
      </c>
    </row>
    <row r="10">
      <c r="A10" s="2" t="inlineStr">
        <is>
          <t>Revenue</t>
        </is>
      </c>
    </row>
    <row r="11">
      <c r="A11" s="15" t="inlineStr">
        <is>
          <t>Tomatoes</t>
        </is>
      </c>
      <c r="B11" s="34">
        <f>REC_QTOM*PRICE_TOM</f>
        <v/>
      </c>
    </row>
    <row r="12">
      <c r="A12" s="15" t="inlineStr">
        <is>
          <t>Carrots</t>
        </is>
      </c>
      <c r="B12" s="34">
        <f>REC_QCAR*PRICE_CAR</f>
        <v/>
      </c>
    </row>
    <row r="13">
      <c r="A13" s="15" t="inlineStr">
        <is>
          <t>Mesclun</t>
        </is>
      </c>
      <c r="B13" s="34">
        <f>REC_QMES*PRICE_MES</f>
        <v/>
      </c>
    </row>
    <row r="14">
      <c r="A14" s="22" t="inlineStr">
        <is>
          <t>Total revenue</t>
        </is>
      </c>
      <c r="B14" s="35">
        <f>SUM(B11:B13)</f>
        <v/>
      </c>
    </row>
    <row r="16">
      <c r="A16" s="2" t="inlineStr">
        <is>
          <t>Variable costs</t>
        </is>
      </c>
    </row>
    <row r="17">
      <c r="A17" s="15" t="inlineStr">
        <is>
          <t>Fertilizer — tomatoes</t>
        </is>
      </c>
      <c r="B17" s="34">
        <f>REC_QTOM*FERT_TOM</f>
        <v/>
      </c>
    </row>
    <row r="18">
      <c r="A18" s="15" t="inlineStr">
        <is>
          <t>Fertilizer — carrots</t>
        </is>
      </c>
      <c r="B18" s="34">
        <f>REC_QCAR*FERT_CAR</f>
        <v/>
      </c>
    </row>
    <row r="19">
      <c r="A19" s="15" t="inlineStr">
        <is>
          <t>Fertilizer — mesclun</t>
        </is>
      </c>
      <c r="B19" s="34">
        <f>REC_QMES*FERT_MES</f>
        <v/>
      </c>
    </row>
    <row r="20">
      <c r="A20" s="22" t="inlineStr">
        <is>
          <t>Total fertilizer</t>
        </is>
      </c>
      <c r="B20" s="35">
        <f>SUM(B17:B19)</f>
        <v/>
      </c>
    </row>
    <row r="22">
      <c r="A22" s="2" t="inlineStr">
        <is>
          <t>Labor cash cost</t>
        </is>
      </c>
    </row>
    <row r="23">
      <c r="A23" s="15" t="inlineStr">
        <is>
          <t>Farmer salary (fixed, paid regardless)</t>
        </is>
      </c>
      <c r="B23" s="34">
        <f>FARMER_SALARY</f>
        <v/>
      </c>
    </row>
    <row r="24">
      <c r="A24" s="15" t="inlineStr">
        <is>
          <t>Temp wages (N_TEMP x TEMP_COST)</t>
        </is>
      </c>
      <c r="B24" s="34">
        <f>REC_NTEMP*TEMP_COST</f>
        <v/>
      </c>
    </row>
    <row r="25">
      <c r="A25" s="22" t="inlineStr">
        <is>
          <t>Total labor cash cost</t>
        </is>
      </c>
      <c r="B25" s="35">
        <f>B23+B24</f>
        <v/>
      </c>
    </row>
    <row r="27">
      <c r="A27" s="2" t="inlineStr">
        <is>
          <t>Fixed costs</t>
        </is>
      </c>
    </row>
    <row r="28">
      <c r="A28" s="15" t="inlineStr">
        <is>
          <t>Fixed costs (season)</t>
        </is>
      </c>
      <c r="B28" s="34">
        <f>FIXED_COSTS</f>
        <v/>
      </c>
    </row>
    <row r="30">
      <c r="A30" s="36" t="inlineStr">
        <is>
          <t>PROFIT</t>
        </is>
      </c>
      <c r="B30" s="37">
        <f>B14-B20-B25-B28</f>
        <v/>
      </c>
    </row>
    <row r="32">
      <c r="A32" s="15" t="inlineStr">
        <is>
          <t>Reconciles to Optimize!PROFIT*?</t>
        </is>
      </c>
      <c r="B32" s="22">
        <f>IF(ROUND(B30-REC_PROFIT,2)=0,"PASS","FAIL")</f>
        <v/>
      </c>
    </row>
  </sheetData>
  <mergeCells count="1">
    <mergeCell ref="A2:C2"/>
  </mergeCells>
  <pageMargins left="0.75" right="0.75" top="1" bottom="1" header="0.5" footer="0.5"/>
</worksheet>
</file>

<file path=xl/worksheets/sheet5.xml><?xml version="1.0" encoding="utf-8"?>
<worksheet xmlns="http://schemas.openxmlformats.org/spreadsheetml/2006/main">
  <sheetPr>
    <tabColor rgb="007A3D3D"/>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6" customWidth="1" min="1" max="1"/>
    <col width="42" customWidth="1" min="2" max="2"/>
    <col width="20" customWidth="1" min="3" max="3"/>
    <col width="60" customWidth="1" min="4" max="4"/>
  </cols>
  <sheetData>
    <row r="1">
      <c r="A1" s="1" t="inlineStr">
        <is>
          <t>Checks — validation rules, run against the recommended scenario</t>
        </is>
      </c>
    </row>
    <row r="3">
      <c r="A3" s="4" t="inlineStr">
        <is>
          <t>#</t>
        </is>
      </c>
      <c r="B3" s="4" t="inlineStr">
        <is>
          <t>Rule</t>
        </is>
      </c>
      <c r="C3" s="4" t="inlineStr">
        <is>
          <t>Result</t>
        </is>
      </c>
      <c r="D3" s="4" t="inlineStr">
        <is>
          <t>Note</t>
        </is>
      </c>
    </row>
    <row r="4">
      <c r="A4" s="5" t="n">
        <v>1</v>
      </c>
      <c r="B4" s="38" t="inlineStr">
        <is>
          <t>BEDS_USED &lt;= TOTAL_BEDS and each Q_c &lt;= MAXBED_c</t>
        </is>
      </c>
      <c r="C4" s="39">
        <f>IF(AND(REC_BEDSUSED&lt;=TOTAL_BEDS,REC_QTOM&lt;=MAXBED_TOM,REC_QCAR&lt;=MAXBED_CAR,REC_QMES&lt;=MAXBED_MES),"PASS","FAIL")</f>
        <v/>
      </c>
      <c r="D4" s="40" t="inlineStr"/>
    </row>
    <row r="5">
      <c r="A5" s="5" t="n">
        <v>2</v>
      </c>
      <c r="B5" s="38" t="inlineStr">
        <is>
          <t>LABOR_SLACK &gt;= 0 at the chosen N_TEMP</t>
        </is>
      </c>
      <c r="C5" s="39">
        <f>IF(REC_LABORSLACK&gt;=0,"PASS","FAIL")</f>
        <v/>
      </c>
      <c r="D5" s="40" t="inlineStr"/>
    </row>
    <row r="6">
      <c r="A6" s="5" t="n">
        <v>3</v>
      </c>
      <c r="B6" s="38" t="inlineStr">
        <is>
          <t>LABOR_SLACK &lt; TEMP_HRS (no temp paid for nothing)</t>
        </is>
      </c>
      <c r="C6" s="39">
        <f>IF(REC_LABORSLACK&lt;TEMP_HRS,"PASS","FAIL")</f>
        <v/>
      </c>
      <c r="D6" s="40" t="inlineStr"/>
    </row>
    <row r="7">
      <c r="A7" s="5" t="n">
        <v>4</v>
      </c>
      <c r="B7" s="38" t="inlineStr">
        <is>
          <t>Price-taker test — Tomatoes: MC(Q)&lt;PRICE&lt;=MC(Q+1) where the constraint isn't binding</t>
        </is>
      </c>
      <c r="C7" s="39">
        <f>IF(REC_QTOM=0,"n/a (0 beds)",IF(AND(REC_QTOM&lt;MAXBED_TOM,REC_BEDSUSED&lt;TOTAL_BEDS,REC_LABORSLACK&gt;0),IF(AND(INDEX(Labor!$D$7:$D$26,REC_QTOM)&lt;PRICE_TOM,PRICE_TOM&lt;=INDEX(Labor!$D$7:$D$26,REC_QTOM+1)),"PASS","FAIL"),"n/a — at a binding constraint"))</f>
        <v/>
      </c>
      <c r="D7" s="40" t="inlineStr">
        <is>
          <t>See Audit finding 2: this test is only meaningful when the crop stopped for its own MC=PRICE reason, not for lack of shared labor.</t>
        </is>
      </c>
    </row>
    <row r="8">
      <c r="A8" s="5" t="n">
        <v>5</v>
      </c>
      <c r="B8" s="38" t="inlineStr">
        <is>
          <t>Price-taker test — Carrots</t>
        </is>
      </c>
      <c r="C8" s="39">
        <f>IF(REC_QCAR=0,"n/a (0 beds)",IF(AND(REC_QCAR&lt;MAXBED_CAR,REC_BEDSUSED&lt;TOTAL_BEDS,REC_LABORSLACK&gt;0),IF(AND(INDEX(Labor!$D$33:$D$52,REC_QCAR)&lt;PRICE_CAR,PRICE_CAR&lt;=INDEX(Labor!$D$33:$D$52,REC_QCAR+1)),"PASS","FAIL"),"n/a — at a binding constraint"))</f>
        <v/>
      </c>
      <c r="D8" s="40" t="inlineStr">
        <is>
          <t>Expected to read FAIL here as literally worded — carrots stop because labor runs out, not because the next bed is unprofitable. See Audit finding 2.</t>
        </is>
      </c>
    </row>
    <row r="9">
      <c r="A9" s="5" t="n">
        <v>6</v>
      </c>
      <c r="B9" s="38" t="inlineStr">
        <is>
          <t>Price-taker test — Mesclun</t>
        </is>
      </c>
      <c r="C9" s="39">
        <f>IF(REC_QMES=0,"n/a (0 beds)",IF(AND(REC_QMES&lt;MAXBED_MES,REC_BEDSUSED&lt;TOTAL_BEDS,REC_LABORSLACK&gt;0),IF(AND(INDEX(Labor!$D$59:$D$88,REC_QMES)&lt;PRICE_MES,PRICE_MES&lt;=INDEX(Labor!$D$59:$D$88,REC_QMES+1)),"PASS","FAIL"),"n/a — at a binding constraint"))</f>
        <v/>
      </c>
      <c r="D9" s="40" t="inlineStr">
        <is>
          <t>Expected to read FAIL here as literally worded, for the same reason as Carrots. See Audit finding 2.</t>
        </is>
      </c>
    </row>
    <row r="10">
      <c r="A10" s="5" t="n">
        <v>7</v>
      </c>
      <c r="B10" s="38" t="inlineStr">
        <is>
          <t>Constraint attribution — every crop's stopping point is traceable</t>
        </is>
      </c>
      <c r="C10" s="39">
        <f>IF(AND(Optimize!$B$28&lt;&gt;"",Optimize!$B$29&lt;&gt;"",Optimize!$B$30&lt;&gt;""),"PASS","FAIL")</f>
        <v/>
      </c>
      <c r="D10" s="40" t="inlineStr">
        <is>
          <t>See Optimize sheet, BINDING_TOM/CAR/MES (rows 28-30).</t>
        </is>
      </c>
    </row>
    <row r="11">
      <c r="A11" s="5" t="n">
        <v>8</v>
      </c>
      <c r="B11" s="38" t="inlineStr">
        <is>
          <t>Hand calculation — Tomatoes bed 10 vs. published check figures</t>
        </is>
      </c>
      <c r="C11" s="39" t="inlineStr"/>
      <c r="D11" s="40" t="inlineStr">
        <is>
          <t>Three sub-checks below.</t>
        </is>
      </c>
    </row>
    <row r="12">
      <c r="A12" s="41" t="n"/>
      <c r="B12" s="5" t="inlineStr">
        <is>
          <t xml:space="preserve">  LABOR_HRS_TOM(10) = 2,334.37 hrs</t>
        </is>
      </c>
      <c r="C12" s="39">
        <f>IF(ROUND(Labor!C16,2)=2334.37,"PASS","FAIL")</f>
        <v/>
      </c>
      <c r="D12" s="7" t="inlineStr">
        <is>
          <t>Model value: see Labor!C16</t>
        </is>
      </c>
    </row>
    <row r="13">
      <c r="A13" s="41" t="n"/>
      <c r="B13" s="5" t="inlineStr">
        <is>
          <t xml:space="preserve">  MARGINAL_LABOR_HRS_TOM(10) = 424.43 hrs</t>
        </is>
      </c>
      <c r="C13" s="39">
        <f>IF(ROUND(Labor!B16,2)=424.43,"PASS","FAIL")</f>
        <v/>
      </c>
      <c r="D13" s="7" t="inlineStr">
        <is>
          <t>Model value: see Labor!B16</t>
        </is>
      </c>
    </row>
    <row r="14">
      <c r="A14" s="41" t="n"/>
      <c r="B14" s="5" t="inlineStr">
        <is>
          <t xml:space="preserve">  MC_TOM(10) ≈ 8,248.59</t>
        </is>
      </c>
      <c r="C14" s="39">
        <f>IF(ROUND(Labor!D16,2)=8248.59,"PASS","FAIL")</f>
        <v/>
      </c>
      <c r="D14" s="7" t="inlineStr">
        <is>
          <t>Model value: see Labor!D16</t>
        </is>
      </c>
    </row>
    <row r="16">
      <c r="A16" s="5" t="n">
        <v>9</v>
      </c>
      <c r="B16" s="38" t="inlineStr">
        <is>
          <t>Cash reconciliation — P&amp;L PROFIT ties to Optimize PROFIT*</t>
        </is>
      </c>
      <c r="C16" s="39">
        <f>'P&amp;L'!B32</f>
        <v/>
      </c>
      <c r="D16" s="40" t="inlineStr">
        <is>
          <t>See P&amp;L sheet.</t>
        </is>
      </c>
    </row>
    <row r="17">
      <c r="A17" s="5" t="n">
        <v>10</v>
      </c>
      <c r="B17" s="38" t="inlineStr">
        <is>
          <t>Hiring sweep — REC_PROFIT is the max across all 5 N_TEMP scenarios</t>
        </is>
      </c>
      <c r="C17" s="39">
        <f>IF(REC_PROFIT=MAX(OPT_PROFIT_RNG),"PASS","FAIL")</f>
        <v/>
      </c>
      <c r="D17" s="40" t="inlineStr"/>
    </row>
    <row r="18">
      <c r="A18" s="5" t="n">
        <v>11</v>
      </c>
      <c r="B18" s="38" t="inlineStr">
        <is>
          <t>No hardcoded results outside Inputs and the Optimize decision cells</t>
        </is>
      </c>
      <c r="C18" s="39" t="inlineStr">
        <is>
          <t>Manual review</t>
        </is>
      </c>
      <c r="D18" s="40" t="inlineStr">
        <is>
          <t>Decision cells (Q_TOM/Q_CAR/Q_MES/N_TEMP on Optimize) are legitimately hardcoded — they are Solver's changing cells. Every other cell in Labor/Optimize/P&amp;L is a formula.</t>
        </is>
      </c>
    </row>
    <row r="19">
      <c r="A19" s="5" t="n">
        <v>12</v>
      </c>
      <c r="B19" s="38" t="inlineStr">
        <is>
          <t>No error values anywhere in the workbook</t>
        </is>
      </c>
      <c r="C19" s="39">
        <f>IF(SUMPRODUCT(--ISERROR(OPT_PROFIT_RNG))+SUMPRODUCT(--ISERROR(Labor!D7:D26))+SUMPRODUCT(--ISERROR(Labor!D33:D52))+SUMPRODUCT(--ISERROR(Labor!D59:D88))=0,"PASS","FAIL")</f>
        <v/>
      </c>
      <c r="D19" s="40" t="inlineStr">
        <is>
          <t>Spot-checks the profit sweep and all three marginal-cost columns; confirm no errors elsewhere via recalc.</t>
        </is>
      </c>
    </row>
    <row r="21">
      <c r="A21" s="2" t="inlineStr">
        <is>
          <t>Audit findings</t>
        </is>
      </c>
    </row>
    <row r="22">
      <c r="A22" s="14" t="inlineStr">
        <is>
          <t>See the spec's own Audit findings section for the full narrative (FARMER_RATE bug, the price-taker test gap for Carrots/Mesclun, why a $/hour greedy ranking fails here, and the LibreOffice/Excel-automation substitution used to verify this workbook).</t>
        </is>
      </c>
    </row>
    <row r="23"/>
  </sheetData>
  <mergeCells count="1">
    <mergeCell ref="A22:D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2026-09-29T07:01:49Z</dcterms:created>
  <dcterms:modified xsi:type="dcterms:W3CDTF">2026-09-29T07:01:49Z</dcterms:modified>
</cp:coreProperties>
</file>