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abor" sheetId="2" state="visible" r:id="rId2"/>
    <sheet name="Sweep" sheetId="3" state="visible" r:id="rId3"/>
    <sheet name="Optimize" sheetId="4" state="visible" r:id="rId4"/>
    <sheet name="P&amp;L" sheetId="5" state="visible" r:id="rId5"/>
    <sheet name="Checks" sheetId="6" state="visible" r:id="rId6"/>
  </sheets>
  <definedNames>
    <definedName name="WEEKS">Inputs!$B$7</definedName>
    <definedName name="FIXED_COSTS">Inputs!$B$8</definedName>
    <definedName name="TOTAL_BEDS">Inputs!$B$9</definedName>
    <definedName name="FARMER_SALARY">Inputs!$B$10</definedName>
    <definedName name="FARMER_FIELD_HRS">Inputs!$B$11</definedName>
    <definedName name="FARMER_FULL_HRS">Inputs!$B$12</definedName>
    <definedName name="TEMP_MAX">Inputs!$B$13</definedName>
    <definedName name="TEMP_COST">Inputs!$B$14</definedName>
    <definedName name="TEMP_HRS">Inputs!$B$15</definedName>
    <definedName name="FARMER_RATE">Inputs!$B$16</definedName>
    <definedName name="TEMP_RATE">Inputs!$B$17</definedName>
    <definedName name="MAXBED_TOM">Inputs!$B$21</definedName>
    <definedName name="MAXBED_CAR">Inputs!$C$21</definedName>
    <definedName name="MAXBED_MES">Inputs!$D$21</definedName>
    <definedName name="PRICE_TOM">Inputs!$B$22</definedName>
    <definedName name="PRICE_CAR">Inputs!$C$22</definedName>
    <definedName name="PRICE_MES">Inputs!$D$22</definedName>
    <definedName name="HRS_WK_BED_TOM">Inputs!$B$23</definedName>
    <definedName name="HRS_WK_BED_CAR">Inputs!$C$23</definedName>
    <definedName name="HRS_WK_BED_MES">Inputs!$D$23</definedName>
    <definedName name="FERT_TOM">Inputs!$B$24</definedName>
    <definedName name="FERT_CAR">Inputs!$C$24</definedName>
    <definedName name="FERT_MES">Inputs!$D$24</definedName>
    <definedName name="DIM_TOM">Inputs!$B$25</definedName>
    <definedName name="DIM_CAR">Inputs!$C$25</definedName>
    <definedName name="DIM_MES">Inputs!$D$25</definedName>
    <definedName name="SEASON_HRS_TOM">Labor!$C$5</definedName>
    <definedName name="STOP_TOM">Labor!$C$27</definedName>
    <definedName name="STOPHRS_TOM">Labor!$C$28</definedName>
    <definedName name="SEASON_HRS_CAR">Labor!$C$31</definedName>
    <definedName name="STOP_CAR">Labor!$C$53</definedName>
    <definedName name="STOPHRS_CAR">Labor!$C$54</definedName>
    <definedName name="SEASON_HRS_MES">Labor!$C$57</definedName>
    <definedName name="STOP_MES">Labor!$C$89</definedName>
    <definedName name="STOPHRS_MES">Labor!$C$90</definedName>
    <definedName name="SWEEP_QTOM_RNG">Sweep!$B$6:$B$10</definedName>
    <definedName name="SWEEP_QCAR_RNG">Sweep!$C$6:$C$10</definedName>
    <definedName name="SWEEP_QMES_RNG">Sweep!$D$6:$D$10</definedName>
    <definedName name="SWEEP_PROFIT_RNG">Sweep!$E$6:$E$10</definedName>
    <definedName name="OPT_NTEMP_RNG">Optimize!$B$5:$F$5</definedName>
    <definedName name="OPT_QTOM_RNG">Optimize!$B$6:$F$6</definedName>
    <definedName name="OPT_QCAR_RNG">Optimize!$B$7:$F$7</definedName>
    <definedName name="OPT_QMES_RNG">Optimize!$B$8:$F$8</definedName>
    <definedName name="OPT_PROFIT_RNG">Optimize!$B$21:$F$21</definedName>
    <definedName name="OPT_BEDSUSED_RNG">Optimize!$B$10:$F$10</definedName>
    <definedName name="OPT_LABORSLACK_RNG">Optimize!$B$15:$F$15</definedName>
    <definedName name="WINIDX">Optimize!$B$25</definedName>
    <definedName name="REC_NTEMP">Optimize!$G$5</definedName>
    <definedName name="REC_QTOM">Optimize!$G$6</definedName>
    <definedName name="REC_QCAR">Optimize!$G$7</definedName>
    <definedName name="REC_QMES">Optimize!$G$8</definedName>
    <definedName name="REC_PROFIT">Optimize!$G$21</definedName>
    <definedName name="REC_BEDSUSED">Optimize!$G$10</definedName>
    <definedName name="REC_LABORSLACK">Optimize!$G$15</definedName>
    <definedName name="PNL_PROFIT">'P&amp;L'!$B$30</definedName>
  </definedNames>
  <calcPr calcId="124519" fullCalcOnLoad="1"/>
</workbook>
</file>

<file path=xl/styles.xml><?xml version="1.0" encoding="utf-8"?>
<styleSheet xmlns="http://schemas.openxmlformats.org/spreadsheetml/2006/main">
  <numFmts count="5">
    <numFmt numFmtId="164" formatCode="$#,##0;($#,##0);&quot;-&quot;"/>
    <numFmt numFmtId="165" formatCode="0.0000"/>
    <numFmt numFmtId="166" formatCode="#,##0;(#,##0);&quot;-&quot;"/>
    <numFmt numFmtId="167" formatCode="$#,##0.00;($#,##0.00);&quot;-&quot;"/>
    <numFmt numFmtId="168" formatCode="#,##0.00;(#,##0.00);&quot;-&quot;"/>
  </numFmts>
  <fonts count="10">
    <font>
      <name val="Calibri"/>
      <family val="2"/>
      <color theme="1"/>
      <sz val="11"/>
      <scheme val="minor"/>
    </font>
    <font>
      <name val="Arial"/>
      <b val="1"/>
      <sz val="14"/>
    </font>
    <font>
      <name val="Arial"/>
      <b val="1"/>
      <sz val="11"/>
    </font>
    <font>
      <name val="Arial"/>
      <i val="1"/>
      <color rgb="00595959"/>
      <sz val="9"/>
    </font>
    <font>
      <name val="Arial"/>
      <b val="1"/>
      <color rgb="00FFFFFF"/>
    </font>
    <font>
      <name val="Arial"/>
      <color rgb="00000000"/>
    </font>
    <font>
      <name val="Arial"/>
      <color rgb="000000FF"/>
    </font>
    <font>
      <name val="Arial"/>
      <b val="1"/>
      <color rgb="00000000"/>
    </font>
    <font>
      <name val="Arial"/>
      <b val="1"/>
      <color rgb="000000FF"/>
    </font>
    <font>
      <name val="Arial"/>
      <b val="1"/>
      <sz val="13"/>
    </font>
  </fonts>
  <fills count="4">
    <fill>
      <patternFill/>
    </fill>
    <fill>
      <patternFill patternType="gray125"/>
    </fill>
    <fill>
      <patternFill patternType="solid">
        <fgColor rgb="001F4E3D"/>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wrapText="1"/>
    </xf>
    <xf numFmtId="0" fontId="5" fillId="0" borderId="1" pivotButton="0" quotePrefix="0" xfId="0"/>
    <xf numFmtId="166" fontId="6" fillId="0" borderId="1" pivotButton="0" quotePrefix="0" xfId="0"/>
    <xf numFmtId="0" fontId="3" fillId="0" borderId="1" pivotButton="0" quotePrefix="0" xfId="0"/>
    <xf numFmtId="164" fontId="6" fillId="0" borderId="1" pivotButton="0" quotePrefix="0" xfId="0"/>
    <xf numFmtId="167" fontId="5" fillId="0" borderId="1" pivotButton="0" quotePrefix="0" xfId="0"/>
    <xf numFmtId="49" fontId="5" fillId="0" borderId="1" pivotButton="0" quotePrefix="0" xfId="0"/>
    <xf numFmtId="165" fontId="6" fillId="0" borderId="1" pivotButton="0" quotePrefix="0" xfId="0"/>
    <xf numFmtId="165" fontId="5" fillId="0" borderId="1" pivotButton="0" quotePrefix="0" xfId="0"/>
    <xf numFmtId="10" fontId="6" fillId="0" borderId="1" pivotButton="0" quotePrefix="0" xfId="0"/>
    <xf numFmtId="0" fontId="3" fillId="0" borderId="0" applyAlignment="1" pivotButton="0" quotePrefix="0" xfId="0">
      <alignment vertical="top" wrapText="1"/>
    </xf>
    <xf numFmtId="0" fontId="5" fillId="0" borderId="0" pivotButton="0" quotePrefix="0" xfId="0"/>
    <xf numFmtId="168" fontId="5" fillId="0" borderId="0" pivotButton="0" quotePrefix="0" xfId="0"/>
    <xf numFmtId="0" fontId="5" fillId="0" borderId="1" applyAlignment="1" pivotButton="0" quotePrefix="0" xfId="0">
      <alignment horizontal="center"/>
    </xf>
    <xf numFmtId="168" fontId="0" fillId="0" borderId="1" pivotButton="0" quotePrefix="0" xfId="0"/>
    <xf numFmtId="167" fontId="0" fillId="0" borderId="1" pivotButton="0" quotePrefix="0" xfId="0"/>
    <xf numFmtId="166" fontId="7" fillId="0" borderId="0" pivotButton="0" quotePrefix="0" xfId="0"/>
    <xf numFmtId="166" fontId="0" fillId="0" borderId="1" pivotButton="0" quotePrefix="0" xfId="0"/>
    <xf numFmtId="164" fontId="0" fillId="0" borderId="1" pivotButton="0" quotePrefix="0" xfId="0"/>
    <xf numFmtId="0" fontId="2" fillId="3" borderId="0" pivotButton="0" quotePrefix="0" xfId="0"/>
    <xf numFmtId="0" fontId="7" fillId="0" borderId="0" pivotButton="0" quotePrefix="0" xfId="0"/>
    <xf numFmtId="166" fontId="8" fillId="0" borderId="1" applyAlignment="1" pivotButton="0" quotePrefix="0" xfId="0">
      <alignment horizontal="center"/>
    </xf>
    <xf numFmtId="166" fontId="5" fillId="3" borderId="1" pivotButton="0" quotePrefix="0" xfId="0"/>
    <xf numFmtId="168" fontId="5" fillId="3" borderId="1" pivotButton="0" quotePrefix="0" xfId="0"/>
    <xf numFmtId="164" fontId="7" fillId="0" borderId="1" pivotButton="0" quotePrefix="0" xfId="0"/>
    <xf numFmtId="164" fontId="7" fillId="3" borderId="1" pivotButton="0" quotePrefix="0" xfId="0"/>
    <xf numFmtId="0" fontId="0" fillId="0" borderId="1" applyAlignment="1" pivotButton="0" quotePrefix="0" xfId="0">
      <alignment horizontal="center"/>
    </xf>
    <xf numFmtId="166" fontId="3" fillId="0" borderId="0" pivotButton="0" quotePrefix="0" xfId="0"/>
    <xf numFmtId="167" fontId="0" fillId="0" borderId="0" pivotButton="0" quotePrefix="0" xfId="0"/>
    <xf numFmtId="166" fontId="0" fillId="0" borderId="0" pivotButton="0" quotePrefix="0" xfId="0"/>
    <xf numFmtId="164" fontId="0" fillId="0" borderId="0" pivotButton="0" quotePrefix="0" xfId="0"/>
    <xf numFmtId="164" fontId="7" fillId="0" borderId="0" pivotButton="0" quotePrefix="0" xfId="0"/>
    <xf numFmtId="0" fontId="9" fillId="0" borderId="0" pivotButton="0" quotePrefix="0" xfId="0"/>
    <xf numFmtId="164" fontId="9" fillId="3" borderId="0" pivotButton="0" quotePrefix="0" xfId="0"/>
    <xf numFmtId="0" fontId="5" fillId="0" borderId="1" applyAlignment="1" pivotButton="0" quotePrefix="0" xfId="0">
      <alignment vertical="top" wrapText="1"/>
    </xf>
    <xf numFmtId="0" fontId="7" fillId="0" borderId="1" pivotButton="0" quotePrefix="0" xfId="0"/>
    <xf numFmtId="0" fontId="3"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Model</author>
  </authors>
  <commentList>
    <comment ref="B6" authorId="0" shapeId="0">
      <text>
        <t>Decision variable — Solver's 'changing cell'. Pre-filled with the exhaustive-search optimum for this N_TEMP.</t>
      </text>
    </comment>
    <comment ref="C6" authorId="0" shapeId="0">
      <text>
        <t>Decision variable — Solver's 'changing cell'. Pre-filled with the exhaustive-search optimum for this N_TEMP.</t>
      </text>
    </comment>
    <comment ref="D6" authorId="0" shapeId="0">
      <text>
        <t>Decision variable — Solver's 'changing cell'. Pre-filled with the exhaustive-search optimum for this N_TEMP.</t>
      </text>
    </comment>
    <comment ref="E6" authorId="0" shapeId="0">
      <text>
        <t>Decision variable — Solver's 'changing cell'. Pre-filled with the exhaustive-search optimum for this N_TEMP.</t>
      </text>
    </comment>
    <comment ref="F6" authorId="0" shapeId="0">
      <text>
        <t>Decision variable — Solver's 'changing cell'. Pre-filled with the exhaustive-search optimum for this N_TEMP.</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3D"/>
    <outlinePr summaryBelow="1" summaryRight="1"/>
    <pageSetUpPr/>
  </sheetPr>
  <dimension ref="A1:F31"/>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16" customWidth="1" min="3" max="3"/>
    <col width="24" customWidth="1" min="4" max="4"/>
    <col width="50" customWidth="1" min="5" max="5"/>
  </cols>
  <sheetData>
    <row r="1">
      <c r="A1" s="1" t="inlineStr">
        <is>
          <t>Marginal Analysis — Perfect Competition (Garden)</t>
        </is>
      </c>
    </row>
    <row r="2">
      <c r="A2" s="2" t="inlineStr">
        <is>
          <t>Inputs — the named contract</t>
        </is>
      </c>
    </row>
    <row r="3">
      <c r="A3" s="3" t="inlineStr">
        <is>
          <t>Blue = hardcoded input. Black = computed rate, entered as a formula, never as a rounded literal.</t>
        </is>
      </c>
    </row>
    <row r="5">
      <c r="A5" s="2" t="inlineStr">
        <is>
          <t>Scenario-wide</t>
        </is>
      </c>
    </row>
    <row r="6">
      <c r="A6" s="4" t="inlineStr">
        <is>
          <t>Name</t>
        </is>
      </c>
      <c r="B6" s="4" t="inlineStr">
        <is>
          <t>Value</t>
        </is>
      </c>
      <c r="C6" s="4" t="inlineStr">
        <is>
          <t>Unit</t>
        </is>
      </c>
      <c r="D6" s="4" t="inlineStr">
        <is>
          <t>Source</t>
        </is>
      </c>
    </row>
    <row r="7">
      <c r="A7" s="5" t="inlineStr">
        <is>
          <t>WEEKS</t>
        </is>
      </c>
      <c r="B7" s="6" t="n">
        <v>36</v>
      </c>
      <c r="C7" s="5" t="inlineStr">
        <is>
          <t>weeks per season</t>
        </is>
      </c>
      <c r="D7" s="7" t="inlineStr">
        <is>
          <t>Case scenario, header line</t>
        </is>
      </c>
    </row>
    <row r="8">
      <c r="A8" s="5" t="inlineStr">
        <is>
          <t>FIXED_COSTS</t>
        </is>
      </c>
      <c r="B8" s="8" t="n">
        <v>20000</v>
      </c>
      <c r="C8" s="5" t="inlineStr">
        <is>
          <t>USD per season</t>
        </is>
      </c>
      <c r="D8" s="7" t="inlineStr">
        <is>
          <t>Case scenario, header line</t>
        </is>
      </c>
    </row>
    <row r="9">
      <c r="A9" s="5" t="inlineStr">
        <is>
          <t>TOTAL_BEDS</t>
        </is>
      </c>
      <c r="B9" s="6" t="n">
        <v>64</v>
      </c>
      <c r="C9" s="5" t="inlineStr">
        <is>
          <t>beds (16 beds x 4 plots)</t>
        </is>
      </c>
      <c r="D9" s="7" t="inlineStr">
        <is>
          <t>Case scenario, header line</t>
        </is>
      </c>
    </row>
    <row r="10">
      <c r="A10" s="5" t="inlineStr">
        <is>
          <t>FARMER_SALARY</t>
        </is>
      </c>
      <c r="B10" s="8" t="n">
        <v>50000</v>
      </c>
      <c r="C10" s="5" t="inlineStr">
        <is>
          <t>USD per season</t>
        </is>
      </c>
      <c r="D10" s="7" t="inlineStr">
        <is>
          <t>Case scenario, header line</t>
        </is>
      </c>
    </row>
    <row r="11">
      <c r="A11" s="5" t="inlineStr">
        <is>
          <t>FARMER_FIELD_HRS</t>
        </is>
      </c>
      <c r="B11" s="6" t="n">
        <v>720</v>
      </c>
      <c r="C11" s="5" t="inlineStr">
        <is>
          <t>hours per season</t>
        </is>
      </c>
      <c r="D11" s="7" t="inlineStr">
        <is>
          <t>Case scenario, header line. Her actual field-time contribution to LABOR_SUPPLY — half her working time.</t>
        </is>
      </c>
    </row>
    <row r="12">
      <c r="A12" s="5" t="inlineStr">
        <is>
          <t>FARMER_FULL_HRS</t>
        </is>
      </c>
      <c r="B12" s="6" t="n">
        <v>1440</v>
      </c>
      <c r="C12" s="5" t="inlineStr">
        <is>
          <t>hours per season</t>
        </is>
      </c>
      <c r="D12" s="7" t="inlineStr">
        <is>
          <t>Case scenario, header line (implied). A separate, full-time-equivalent hour basis — the same 1440 hours used for a temp's season — that the case's own displayed $34.72/hr figure is built on (50,000/1,440), not her 720 actual field hours (50,000/720 = $69.44/hr). Used only to compute FARMER_RATE below; LABOR_SUPPLY correctly uses FARMER_FIELD_HRS, not this.</t>
        </is>
      </c>
    </row>
    <row r="13">
      <c r="A13" s="5" t="inlineStr">
        <is>
          <t>TEMP_MAX</t>
        </is>
      </c>
      <c r="B13" s="6" t="n">
        <v>4</v>
      </c>
      <c r="C13" s="5" t="inlineStr">
        <is>
          <t>workers</t>
        </is>
      </c>
      <c r="D13" s="7" t="inlineStr">
        <is>
          <t>Case scenario, header line</t>
        </is>
      </c>
    </row>
    <row r="14">
      <c r="A14" s="5" t="inlineStr">
        <is>
          <t>TEMP_COST</t>
        </is>
      </c>
      <c r="B14" s="8" t="n">
        <v>25000</v>
      </c>
      <c r="C14" s="5" t="inlineStr">
        <is>
          <t>USD per worker per season</t>
        </is>
      </c>
      <c r="D14" s="7" t="inlineStr">
        <is>
          <t>Case scenario, header line</t>
        </is>
      </c>
    </row>
    <row r="15">
      <c r="A15" s="5" t="inlineStr">
        <is>
          <t>TEMP_HRS</t>
        </is>
      </c>
      <c r="B15" s="6" t="n">
        <v>1440</v>
      </c>
      <c r="C15" s="5" t="inlineStr">
        <is>
          <t>hours per worker per season</t>
        </is>
      </c>
      <c r="D15" s="7" t="inlineStr">
        <is>
          <t>Case scenario, header line</t>
        </is>
      </c>
    </row>
    <row r="16">
      <c r="A16" s="5" t="inlineStr">
        <is>
          <t>FARMER_RATE</t>
        </is>
      </c>
      <c r="B16" s="9">
        <f>Inputs!$B$10/Inputs!$B$12</f>
        <v>34.72222222222222</v>
      </c>
      <c r="C16" s="5" t="inlineStr">
        <is>
          <t>USD per hour</t>
        </is>
      </c>
      <c r="D16" s="7" t="inlineStr">
        <is>
          <t>Computed: FARMER_SALARY / FARMER_FULL_HRS = 50000/1440. Never entered as the rounded $34.72 the case displays, and never divided by FARMER_FIELD_HRS (720) — that would give $69.44, not the case's figure.</t>
        </is>
      </c>
    </row>
    <row r="17">
      <c r="A17" s="5" t="inlineStr">
        <is>
          <t>TEMP_RATE</t>
        </is>
      </c>
      <c r="B17" s="9">
        <f>Inputs!$B$14/Inputs!$B$15</f>
        <v>17.36111111111111</v>
      </c>
      <c r="C17" s="5" t="inlineStr">
        <is>
          <t>USD per hour</t>
        </is>
      </c>
      <c r="D17" s="7" t="inlineStr">
        <is>
          <t>Computed: TEMP_COST / TEMP_HRS. Never entered as the rounded $17.36 the case displays.</t>
        </is>
      </c>
    </row>
    <row r="19">
      <c r="A19" s="2" t="inlineStr">
        <is>
          <t>Per crop</t>
        </is>
      </c>
    </row>
    <row r="20">
      <c r="A20" s="4" t="inlineStr">
        <is>
          <t>Metric</t>
        </is>
      </c>
      <c r="B20" s="4" t="inlineStr">
        <is>
          <t>Tomatoes</t>
        </is>
      </c>
      <c r="C20" s="4" t="inlineStr">
        <is>
          <t>Carrots</t>
        </is>
      </c>
      <c r="D20" s="4" t="inlineStr">
        <is>
          <t>Mesclun</t>
        </is>
      </c>
      <c r="E20" s="4" t="inlineStr">
        <is>
          <t>Unit</t>
        </is>
      </c>
      <c r="F20" s="4" t="inlineStr">
        <is>
          <t>Source</t>
        </is>
      </c>
    </row>
    <row r="21">
      <c r="A21" s="5" t="inlineStr">
        <is>
          <t>MAXBED</t>
        </is>
      </c>
      <c r="B21" s="6" t="n">
        <v>20</v>
      </c>
      <c r="C21" s="6" t="n">
        <v>20</v>
      </c>
      <c r="D21" s="6" t="n">
        <v>30</v>
      </c>
      <c r="E21" s="10" t="inlineStr">
        <is>
          <t>beds</t>
        </is>
      </c>
      <c r="F21" s="7" t="inlineStr">
        <is>
          <t>Case scenario, crop table</t>
        </is>
      </c>
    </row>
    <row r="22">
      <c r="A22" s="5" t="inlineStr">
        <is>
          <t>PRICE</t>
        </is>
      </c>
      <c r="B22" s="8" t="n">
        <v>8800</v>
      </c>
      <c r="C22" s="8" t="n">
        <v>2094</v>
      </c>
      <c r="D22" s="8" t="n">
        <v>2700</v>
      </c>
      <c r="E22" s="10" t="inlineStr">
        <is>
          <t>USD per bed</t>
        </is>
      </c>
      <c r="F22" s="7" t="inlineStr">
        <is>
          <t>Case scenario, crop table</t>
        </is>
      </c>
    </row>
    <row r="23">
      <c r="A23" s="5" t="inlineStr">
        <is>
          <t>HRS_WK_BED</t>
        </is>
      </c>
      <c r="B23" s="11" t="n">
        <v>2.5</v>
      </c>
      <c r="C23" s="12">
        <f>5/6</f>
        <v>0.8333333333333334</v>
      </c>
      <c r="D23" s="11" t="n">
        <v>1.25</v>
      </c>
      <c r="E23" s="10" t="inlineStr">
        <is>
          <t>hours per week per bed</t>
        </is>
      </c>
      <c r="F23" s="7" t="inlineStr">
        <is>
          <t>Case scenario, crop table. Carrots entered as 5/6, the ratio the case's displayed 0.833 rounds.</t>
        </is>
      </c>
    </row>
    <row r="24">
      <c r="A24" s="5" t="inlineStr">
        <is>
          <t>FERT</t>
        </is>
      </c>
      <c r="B24" s="8" t="n">
        <v>880</v>
      </c>
      <c r="C24" s="8" t="n">
        <v>440</v>
      </c>
      <c r="D24" s="8" t="n">
        <v>880</v>
      </c>
      <c r="E24" s="10" t="inlineStr">
        <is>
          <t>USD per bed</t>
        </is>
      </c>
      <c r="F24" s="7" t="inlineStr">
        <is>
          <t>Case scenario, crop table</t>
        </is>
      </c>
    </row>
    <row r="25">
      <c r="A25" s="5" t="inlineStr">
        <is>
          <t>DIM</t>
        </is>
      </c>
      <c r="B25" s="13" t="n">
        <v>0.1</v>
      </c>
      <c r="C25" s="13" t="n">
        <v>0.025</v>
      </c>
      <c r="D25" s="13" t="n">
        <v>0.0125</v>
      </c>
      <c r="E25" s="10" t="inlineStr">
        <is>
          <t>per additional bed</t>
        </is>
      </c>
      <c r="F25" s="7" t="inlineStr">
        <is>
          <t>Case scenario, crop table</t>
        </is>
      </c>
    </row>
    <row r="28">
      <c r="A28" s="14" t="inlineStr">
        <is>
          <t>PRICE_c is revenue per bed — the case has already collapsed price per unit and yield per bed into one figure, so yield is not modeled separately and per-bed revenue does not decline with scale. Every nonlinearity in this model lives in labor hours (see the Labor sheet). Diminishing returns compound on the whole crop, not incrementally per bed: every one of the q beds planted of a crop is charged the same (1+DIM)^q multiplier — see Labor sheet.</t>
        </is>
      </c>
    </row>
    <row r="29"/>
    <row r="30"/>
    <row r="31"/>
  </sheetData>
  <mergeCells count="1">
    <mergeCell ref="A28:F31"/>
  </mergeCells>
  <pageMargins left="0.75" right="0.75" top="1" bottom="1" header="0.5" footer="0.5"/>
</worksheet>
</file>

<file path=xl/worksheets/sheet2.xml><?xml version="1.0" encoding="utf-8"?>
<worksheet xmlns="http://schemas.openxmlformats.org/spreadsheetml/2006/main">
  <sheetPr>
    <tabColor rgb="002E5F4E"/>
    <outlinePr summaryBelow="1" summaryRight="1"/>
    <pageSetUpPr/>
  </sheetPr>
  <dimension ref="A1:E90"/>
  <sheetViews>
    <sheetView showGridLines="0"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6" customWidth="1" min="4" max="4"/>
    <col width="20" customWidth="1" min="5" max="5"/>
  </cols>
  <sheetData>
    <row r="1">
      <c r="A1" s="1" t="inlineStr">
        <is>
          <t>Labor — marginal hours, marginal cost, and marginal contribution by bed</t>
        </is>
      </c>
    </row>
    <row r="2">
      <c r="A2" s="3" t="inlineStr">
        <is>
          <t>LABOR_HRS_c(q) = SEASON_HRS_PER_BED_c x q x (1+DIM_c)^q   |   MARGINAL_LABOR_HRS_c(q) = SEASON_HRS_PER_BED_c x (1+DIM_c)^(q-1) x (1+q x DIM_c)   |   MC_c(q) = MARGINAL_LABOR_HRS_c(q) x TEMP_RATE + FERT_c</t>
        </is>
      </c>
    </row>
    <row r="4">
      <c r="A4" s="2" t="inlineStr">
        <is>
          <t>Tomatoes</t>
        </is>
      </c>
    </row>
    <row r="5">
      <c r="A5" s="15" t="inlineStr">
        <is>
          <t>Season hours/bed (pre-diminishing) =</t>
        </is>
      </c>
      <c r="C5" s="16">
        <f>HRS_WK_BED_TOM*WEEKS</f>
        <v>90</v>
      </c>
    </row>
    <row r="6">
      <c r="A6" s="4" t="inlineStr">
        <is>
          <t>Bed (q)</t>
        </is>
      </c>
      <c r="B6" s="4" t="inlineStr">
        <is>
          <t>Marginal Hours</t>
        </is>
      </c>
      <c r="C6" s="4" t="inlineStr">
        <is>
          <t>Cumulative Hours</t>
        </is>
      </c>
      <c r="D6" s="4" t="inlineStr">
        <is>
          <t>Marginal Cost ($)</t>
        </is>
      </c>
      <c r="E6" s="4" t="inlineStr">
        <is>
          <t>Marginal Contribution ($)</t>
        </is>
      </c>
    </row>
    <row r="7">
      <c r="A7" s="17" t="n">
        <v>1</v>
      </c>
      <c r="B7" s="18">
        <f>SEASON_HRS_TOM*(1+DIM_TOM)^(A7-1)*(1+A7*DIM_TOM)</f>
        <v>99.00000000000001</v>
      </c>
      <c r="C7" s="18">
        <f>SEASON_HRS_TOM*A7*(1+DIM_TOM)^A7</f>
        <v>99.00000000000001</v>
      </c>
      <c r="D7" s="19">
        <f>B7*TEMP_RATE+FERT_TOM</f>
        <v>2598.75</v>
      </c>
      <c r="E7" s="19">
        <f>PRICE_TOM-D7</f>
        <v>6201.25</v>
      </c>
    </row>
    <row r="8">
      <c r="A8" s="17" t="n">
        <v>2</v>
      </c>
      <c r="B8" s="18">
        <f>SEASON_HRS_TOM*(1+DIM_TOM)^(A8-1)*(1+A8*DIM_TOM)</f>
        <v>118.80000000000001</v>
      </c>
      <c r="C8" s="18">
        <f>SEASON_HRS_TOM*A8*(1+DIM_TOM)^A8</f>
        <v>217.80000000000004</v>
      </c>
      <c r="D8" s="19">
        <f>B8*TEMP_RATE+FERT_TOM</f>
        <v>2942.5</v>
      </c>
      <c r="E8" s="19">
        <f>PRICE_TOM-D8</f>
        <v>5857.5</v>
      </c>
    </row>
    <row r="9">
      <c r="A9" s="17" t="n">
        <v>3</v>
      </c>
      <c r="B9" s="18">
        <f>SEASON_HRS_TOM*(1+DIM_TOM)^(A9-1)*(1+A9*DIM_TOM)</f>
        <v>141.57000000000002</v>
      </c>
      <c r="C9" s="18">
        <f>SEASON_HRS_TOM*A9*(1+DIM_TOM)^A9</f>
        <v>359.3700000000001</v>
      </c>
      <c r="D9" s="19">
        <f>B9*TEMP_RATE+FERT_TOM</f>
        <v>3337.8125000000005</v>
      </c>
      <c r="E9" s="19">
        <f>PRICE_TOM-D9</f>
        <v>5462.1875</v>
      </c>
    </row>
    <row r="10">
      <c r="A10" s="17" t="n">
        <v>4</v>
      </c>
      <c r="B10" s="18">
        <f>SEASON_HRS_TOM*(1+DIM_TOM)^(A10-1)*(1+A10*DIM_TOM)</f>
        <v>167.70600000000005</v>
      </c>
      <c r="C10" s="18">
        <f>SEASON_HRS_TOM*A10*(1+DIM_TOM)^A10</f>
        <v>527.0760000000001</v>
      </c>
      <c r="D10" s="19">
        <f>B10*TEMP_RATE+FERT_TOM</f>
        <v>3791.562500000001</v>
      </c>
      <c r="E10" s="19">
        <f>PRICE_TOM-D10</f>
        <v>5008.437499999999</v>
      </c>
    </row>
    <row r="11">
      <c r="A11" s="17" t="n">
        <v>5</v>
      </c>
      <c r="B11" s="18">
        <f>SEASON_HRS_TOM*(1+DIM_TOM)^(A11-1)*(1+A11*DIM_TOM)</f>
        <v>197.65350000000007</v>
      </c>
      <c r="C11" s="18">
        <f>SEASON_HRS_TOM*A11*(1+DIM_TOM)^A11</f>
        <v>724.7295000000003</v>
      </c>
      <c r="D11" s="19">
        <f>B11*TEMP_RATE+FERT_TOM</f>
        <v>4311.484375000001</v>
      </c>
      <c r="E11" s="19">
        <f>PRICE_TOM-D11</f>
        <v>4488.515624999999</v>
      </c>
    </row>
    <row r="12">
      <c r="A12" s="17" t="n">
        <v>6</v>
      </c>
      <c r="B12" s="18">
        <f>SEASON_HRS_TOM*(1+DIM_TOM)^(A12-1)*(1+A12*DIM_TOM)</f>
        <v>231.9134400000001</v>
      </c>
      <c r="C12" s="18">
        <f>SEASON_HRS_TOM*A12*(1+DIM_TOM)^A12</f>
        <v>956.6429400000004</v>
      </c>
      <c r="D12" s="19">
        <f>B12*TEMP_RATE+FERT_TOM</f>
        <v>4906.2750000000015</v>
      </c>
      <c r="E12" s="19">
        <f>PRICE_TOM-D12</f>
        <v>3893.7249999999985</v>
      </c>
    </row>
    <row r="13">
      <c r="A13" s="17" t="n">
        <v>7</v>
      </c>
      <c r="B13" s="18">
        <f>SEASON_HRS_TOM*(1+DIM_TOM)^(A13-1)*(1+A13*DIM_TOM)</f>
        <v>271.0488330000001</v>
      </c>
      <c r="C13" s="18">
        <f>SEASON_HRS_TOM*A13*(1+DIM_TOM)^A13</f>
        <v>1227.6917730000007</v>
      </c>
      <c r="D13" s="19">
        <f>B13*TEMP_RATE+FERT_TOM</f>
        <v>5585.708906250002</v>
      </c>
      <c r="E13" s="19">
        <f>PRICE_TOM-D13</f>
        <v>3214.2910937499983</v>
      </c>
    </row>
    <row r="14">
      <c r="A14" s="17" t="n">
        <v>8</v>
      </c>
      <c r="B14" s="18">
        <f>SEASON_HRS_TOM*(1+DIM_TOM)^(A14-1)*(1+A14*DIM_TOM)</f>
        <v>315.6921702000002</v>
      </c>
      <c r="C14" s="18">
        <f>SEASON_HRS_TOM*A14*(1+DIM_TOM)^A14</f>
        <v>1543.383943200001</v>
      </c>
      <c r="D14" s="19">
        <f>B14*TEMP_RATE+FERT_TOM</f>
        <v>6360.766843750003</v>
      </c>
      <c r="E14" s="19">
        <f>PRICE_TOM-D14</f>
        <v>2439.2331562499967</v>
      </c>
    </row>
    <row r="15">
      <c r="A15" s="17" t="n">
        <v>9</v>
      </c>
      <c r="B15" s="18">
        <f>SEASON_HRS_TOM*(1+DIM_TOM)^(A15-1)*(1+A15*DIM_TOM)</f>
        <v>366.55368651000026</v>
      </c>
      <c r="C15" s="18">
        <f>SEASON_HRS_TOM*A15*(1+DIM_TOM)^A15</f>
        <v>1909.9376297100016</v>
      </c>
      <c r="D15" s="19">
        <f>B15*TEMP_RATE+FERT_TOM</f>
        <v>7243.779279687505</v>
      </c>
      <c r="E15" s="19">
        <f>PRICE_TOM-D15</f>
        <v>1556.2207203124954</v>
      </c>
    </row>
    <row r="16">
      <c r="A16" s="17" t="n">
        <v>10</v>
      </c>
      <c r="B16" s="18">
        <f>SEASON_HRS_TOM*(1+DIM_TOM)^(A16-1)*(1+A16*DIM_TOM)</f>
        <v>424.43058438000037</v>
      </c>
      <c r="C16" s="18">
        <f>SEASON_HRS_TOM*A16*(1+DIM_TOM)^A16</f>
        <v>2334.368214090002</v>
      </c>
      <c r="D16" s="19">
        <f>B16*TEMP_RATE+FERT_TOM</f>
        <v>8248.586534375007</v>
      </c>
      <c r="E16" s="19">
        <f>PRICE_TOM-D16</f>
        <v>551.4134656249935</v>
      </c>
    </row>
    <row r="17">
      <c r="A17" s="17" t="n">
        <v>11</v>
      </c>
      <c r="B17" s="18">
        <f>SEASON_HRS_TOM*(1+DIM_TOM)^(A17-1)*(1+A17*DIM_TOM)</f>
        <v>490.21732495890046</v>
      </c>
      <c r="C17" s="18">
        <f>SEASON_HRS_TOM*A17*(1+DIM_TOM)^A17</f>
        <v>2824.5855390489023</v>
      </c>
      <c r="D17" s="19">
        <f>B17*TEMP_RATE+FERT_TOM</f>
        <v>9390.717447203133</v>
      </c>
      <c r="E17" s="19">
        <f>PRICE_TOM-D17</f>
        <v>-590.7174472031329</v>
      </c>
    </row>
    <row r="18">
      <c r="A18" s="17" t="n">
        <v>12</v>
      </c>
      <c r="B18" s="18">
        <f>SEASON_HRS_TOM*(1+DIM_TOM)^(A18-1)*(1+A18*DIM_TOM)</f>
        <v>564.9171078097805</v>
      </c>
      <c r="C18" s="18">
        <f>SEASON_HRS_TOM*A18*(1+DIM_TOM)^A18</f>
        <v>3389.5026468586834</v>
      </c>
      <c r="D18" s="19">
        <f>B18*TEMP_RATE+FERT_TOM</f>
        <v>10687.588677253134</v>
      </c>
      <c r="E18" s="19">
        <f>PRICE_TOM-D18</f>
        <v>-1887.588677253134</v>
      </c>
    </row>
    <row r="19">
      <c r="A19" s="17" t="n">
        <v>13</v>
      </c>
      <c r="B19" s="18">
        <f>SEASON_HRS_TOM*(1+DIM_TOM)^(A19-1)*(1+A19*DIM_TOM)</f>
        <v>649.6546739812476</v>
      </c>
      <c r="C19" s="18">
        <f>SEASON_HRS_TOM*A19*(1+DIM_TOM)^A19</f>
        <v>4039.1573208399313</v>
      </c>
      <c r="D19" s="19">
        <f>B19*TEMP_RATE+FERT_TOM</f>
        <v>12158.726978841103</v>
      </c>
      <c r="E19" s="19">
        <f>PRICE_TOM-D19</f>
        <v>-3358.726978841103</v>
      </c>
    </row>
    <row r="20">
      <c r="A20" s="17" t="n">
        <v>14</v>
      </c>
      <c r="B20" s="18">
        <f>SEASON_HRS_TOM*(1+DIM_TOM)^(A20-1)*(1+A20*DIM_TOM)</f>
        <v>745.6905823089105</v>
      </c>
      <c r="C20" s="18">
        <f>SEASON_HRS_TOM*A20*(1+DIM_TOM)^A20</f>
        <v>4784.847903148842</v>
      </c>
      <c r="D20" s="19">
        <f>B20*TEMP_RATE+FERT_TOM</f>
        <v>13826.017053974141</v>
      </c>
      <c r="E20" s="19">
        <f>PRICE_TOM-D20</f>
        <v>-5026.017053974141</v>
      </c>
    </row>
    <row r="21">
      <c r="A21" s="17" t="n">
        <v>15</v>
      </c>
      <c r="B21" s="18">
        <f>SEASON_HRS_TOM*(1+DIM_TOM)^(A21-1)*(1+A21*DIM_TOM)</f>
        <v>854.4371255622933</v>
      </c>
      <c r="C21" s="18">
        <f>SEASON_HRS_TOM*A21*(1+DIM_TOM)^A21</f>
        <v>5639.285028711136</v>
      </c>
      <c r="D21" s="19">
        <f>B21*TEMP_RATE+FERT_TOM</f>
        <v>15713.97787434537</v>
      </c>
      <c r="E21" s="19">
        <f>PRICE_TOM-D21</f>
        <v>-6913.97787434537</v>
      </c>
    </row>
    <row r="22">
      <c r="A22" s="17" t="n">
        <v>16</v>
      </c>
      <c r="B22" s="18">
        <f>SEASON_HRS_TOM*(1+DIM_TOM)^(A22-1)*(1+A22*DIM_TOM)</f>
        <v>977.4760716432636</v>
      </c>
      <c r="C22" s="18">
        <f>SEASON_HRS_TOM*A22*(1+DIM_TOM)^A22</f>
        <v>6616.7611003544</v>
      </c>
      <c r="D22" s="19">
        <f>B22*TEMP_RATE+FERT_TOM</f>
        <v>17850.070688251104</v>
      </c>
      <c r="E22" s="19">
        <f>PRICE_TOM-D22</f>
        <v>-9050.070688251104</v>
      </c>
    </row>
    <row r="23">
      <c r="A23" s="17" t="n">
        <v>17</v>
      </c>
      <c r="B23" s="18">
        <f>SEASON_HRS_TOM*(1+DIM_TOM)^(A23-1)*(1+A23*DIM_TOM)</f>
        <v>1116.578435684805</v>
      </c>
      <c r="C23" s="18">
        <f>SEASON_HRS_TOM*A23*(1+DIM_TOM)^A23</f>
        <v>7733.339536039206</v>
      </c>
      <c r="D23" s="19">
        <f>B23*TEMP_RATE+FERT_TOM</f>
        <v>20265.042286194534</v>
      </c>
      <c r="E23" s="19">
        <f>PRICE_TOM-D23</f>
        <v>-11465.042286194534</v>
      </c>
    </row>
    <row r="24">
      <c r="A24" s="17" t="n">
        <v>18</v>
      </c>
      <c r="B24" s="18">
        <f>SEASON_HRS_TOM*(1+DIM_TOM)^(A24-1)*(1+A24*DIM_TOM)</f>
        <v>1273.726511818222</v>
      </c>
      <c r="C24" s="18">
        <f>SEASON_HRS_TOM*A24*(1+DIM_TOM)^A24</f>
        <v>9007.066047857428</v>
      </c>
      <c r="D24" s="19">
        <f>B24*TEMP_RATE+FERT_TOM</f>
        <v>22993.307496844132</v>
      </c>
      <c r="E24" s="19">
        <f>PRICE_TOM-D24</f>
        <v>-14193.307496844132</v>
      </c>
    </row>
    <row r="25">
      <c r="A25" s="17" t="n">
        <v>19</v>
      </c>
      <c r="B25" s="18">
        <f>SEASON_HRS_TOM*(1+DIM_TOM)^(A25-1)*(1+A25*DIM_TOM)</f>
        <v>1451.1384188214747</v>
      </c>
      <c r="C25" s="18">
        <f>SEASON_HRS_TOM*A25*(1+DIM_TOM)^A25</f>
        <v>10458.204466678904</v>
      </c>
      <c r="D25" s="19">
        <f>B25*TEMP_RATE+FERT_TOM</f>
        <v>26073.375326761714</v>
      </c>
      <c r="E25" s="19">
        <f>PRICE_TOM-D25</f>
        <v>-17273.375326761714</v>
      </c>
    </row>
    <row r="26">
      <c r="A26" s="17" t="n">
        <v>20</v>
      </c>
      <c r="B26" s="18">
        <f>SEASON_HRS_TOM*(1+DIM_TOM)^(A26-1)*(1+A26*DIM_TOM)</f>
        <v>1651.2954421071954</v>
      </c>
      <c r="C26" s="18">
        <f>SEASON_HRS_TOM*A26*(1+DIM_TOM)^A26</f>
        <v>12109.4999087861</v>
      </c>
      <c r="D26" s="19">
        <f>B26*TEMP_RATE+FERT_TOM</f>
        <v>29548.323647694364</v>
      </c>
      <c r="E26" s="19">
        <f>PRICE_TOM-D26</f>
        <v>-20748.323647694364</v>
      </c>
    </row>
    <row r="27">
      <c r="A27" s="15" t="inlineStr">
        <is>
          <t>Unconstrained stop (own MC ≤ PRICE):</t>
        </is>
      </c>
      <c r="C27" s="20">
        <f>COUNTIF(D7:D26,"&lt;="&amp;PRICE_TOM)</f>
        <v>10</v>
      </c>
    </row>
    <row r="28">
      <c r="A28" s="15" t="inlineStr">
        <is>
          <t>Hours needed at that count:</t>
        </is>
      </c>
      <c r="C28" s="16">
        <f>IF(STOP_TOM=0,0,INDEX(C7:C26,STOP_TOM))</f>
        <v>2334.368214090002</v>
      </c>
    </row>
    <row r="30">
      <c r="A30" s="2" t="inlineStr">
        <is>
          <t>Carrots</t>
        </is>
      </c>
    </row>
    <row r="31">
      <c r="A31" s="15" t="inlineStr">
        <is>
          <t>Season hours/bed (pre-diminishing) =</t>
        </is>
      </c>
      <c r="C31" s="16">
        <f>HRS_WK_BED_CAR*WEEKS</f>
        <v>30</v>
      </c>
    </row>
    <row r="32">
      <c r="A32" s="4" t="inlineStr">
        <is>
          <t>Bed (q)</t>
        </is>
      </c>
      <c r="B32" s="4" t="inlineStr">
        <is>
          <t>Marginal Hours</t>
        </is>
      </c>
      <c r="C32" s="4" t="inlineStr">
        <is>
          <t>Cumulative Hours</t>
        </is>
      </c>
      <c r="D32" s="4" t="inlineStr">
        <is>
          <t>Marginal Cost ($)</t>
        </is>
      </c>
      <c r="E32" s="4" t="inlineStr">
        <is>
          <t>Marginal Contribution ($)</t>
        </is>
      </c>
    </row>
    <row r="33">
      <c r="A33" s="17" t="n">
        <v>1</v>
      </c>
      <c r="B33" s="18">
        <f>SEASON_HRS_CAR*(1+DIM_CAR)^(A33-1)*(1+A33*DIM_CAR)</f>
        <v>30.749999999999996</v>
      </c>
      <c r="C33" s="18">
        <f>SEASON_HRS_CAR*A33*(1+DIM_CAR)^A33</f>
        <v>30.749999999999996</v>
      </c>
      <c r="D33" s="19">
        <f>B33*TEMP_RATE+FERT_CAR</f>
        <v>973.8541666666666</v>
      </c>
      <c r="E33" s="19">
        <f>PRICE_CAR-D33</f>
        <v>1120.1458333333335</v>
      </c>
    </row>
    <row r="34">
      <c r="A34" s="17" t="n">
        <v>2</v>
      </c>
      <c r="B34" s="18">
        <f>SEASON_HRS_CAR*(1+DIM_CAR)^(A34-1)*(1+A34*DIM_CAR)</f>
        <v>32.287499999999994</v>
      </c>
      <c r="C34" s="18">
        <f>SEASON_HRS_CAR*A34*(1+DIM_CAR)^A34</f>
        <v>63.037499999999994</v>
      </c>
      <c r="D34" s="19">
        <f>B34*TEMP_RATE+FERT_CAR</f>
        <v>1000.5468749999999</v>
      </c>
      <c r="E34" s="19">
        <f>PRICE_CAR-D34</f>
        <v>1093.453125</v>
      </c>
    </row>
    <row r="35">
      <c r="A35" s="17" t="n">
        <v>3</v>
      </c>
      <c r="B35" s="18">
        <f>SEASON_HRS_CAR*(1+DIM_CAR)^(A35-1)*(1+A35*DIM_CAR)</f>
        <v>33.88265625</v>
      </c>
      <c r="C35" s="18">
        <f>SEASON_HRS_CAR*A35*(1+DIM_CAR)^A35</f>
        <v>96.92015624999996</v>
      </c>
      <c r="D35" s="19">
        <f>B35*TEMP_RATE+FERT_CAR</f>
        <v>1028.2405598958333</v>
      </c>
      <c r="E35" s="19">
        <f>PRICE_CAR-D35</f>
        <v>1065.7594401041667</v>
      </c>
    </row>
    <row r="36">
      <c r="A36" s="17" t="n">
        <v>4</v>
      </c>
      <c r="B36" s="18">
        <f>SEASON_HRS_CAR*(1+DIM_CAR)^(A36-1)*(1+A36*DIM_CAR)</f>
        <v>35.537390624999986</v>
      </c>
      <c r="C36" s="18">
        <f>SEASON_HRS_CAR*A36*(1+DIM_CAR)^A36</f>
        <v>132.45754687499993</v>
      </c>
      <c r="D36" s="19">
        <f>B36*TEMP_RATE+FERT_CAR</f>
        <v>1056.968587239583</v>
      </c>
      <c r="E36" s="19">
        <f>PRICE_CAR-D36</f>
        <v>1037.031412760417</v>
      </c>
    </row>
    <row r="37">
      <c r="A37" s="17" t="n">
        <v>5</v>
      </c>
      <c r="B37" s="18">
        <f>SEASON_HRS_CAR*(1+DIM_CAR)^(A37-1)*(1+A37*DIM_CAR)</f>
        <v>37.25368505859373</v>
      </c>
      <c r="C37" s="18">
        <f>SEASON_HRS_CAR*A37*(1+DIM_CAR)^A37</f>
        <v>169.71123193359367</v>
      </c>
      <c r="D37" s="19">
        <f>B37*TEMP_RATE+FERT_CAR</f>
        <v>1086.7653656005855</v>
      </c>
      <c r="E37" s="19">
        <f>PRICE_CAR-D37</f>
        <v>1007.2346343994145</v>
      </c>
    </row>
    <row r="38">
      <c r="A38" s="17" t="n">
        <v>6</v>
      </c>
      <c r="B38" s="18">
        <f>SEASON_HRS_CAR*(1+DIM_CAR)^(A38-1)*(1+A38*DIM_CAR)</f>
        <v>39.033583344726544</v>
      </c>
      <c r="C38" s="18">
        <f>SEASON_HRS_CAR*A38*(1+DIM_CAR)^A38</f>
        <v>208.7448152783202</v>
      </c>
      <c r="D38" s="19">
        <f>B38*TEMP_RATE+FERT_CAR</f>
        <v>1117.6663775126135</v>
      </c>
      <c r="E38" s="19">
        <f>PRICE_CAR-D38</f>
        <v>976.3336224873865</v>
      </c>
    </row>
    <row r="39">
      <c r="A39" s="17" t="n">
        <v>7</v>
      </c>
      <c r="B39" s="18">
        <f>SEASON_HRS_CAR*(1+DIM_CAR)^(A39-1)*(1+A39*DIM_CAR)</f>
        <v>40.87919299200438</v>
      </c>
      <c r="C39" s="18">
        <f>SEASON_HRS_CAR*A39*(1+DIM_CAR)^A39</f>
        <v>249.62400827032457</v>
      </c>
      <c r="D39" s="19">
        <f>B39*TEMP_RATE+FERT_CAR</f>
        <v>1149.7082116667425</v>
      </c>
      <c r="E39" s="19">
        <f>PRICE_CAR-D39</f>
        <v>944.2917883332575</v>
      </c>
    </row>
    <row r="40">
      <c r="A40" s="17" t="n">
        <v>8</v>
      </c>
      <c r="B40" s="18">
        <f>SEASON_HRS_CAR*(1+DIM_CAR)^(A40-1)*(1+A40*DIM_CAR)</f>
        <v>42.79268713205564</v>
      </c>
      <c r="C40" s="18">
        <f>SEASON_HRS_CAR*A40*(1+DIM_CAR)^A40</f>
        <v>292.4166954023801</v>
      </c>
      <c r="D40" s="19">
        <f>B40*TEMP_RATE+FERT_CAR</f>
        <v>1182.9285960426328</v>
      </c>
      <c r="E40" s="19">
        <f>PRICE_CAR-D40</f>
        <v>911.0714039573672</v>
      </c>
    </row>
    <row r="41">
      <c r="A41" s="17" t="n">
        <v>9</v>
      </c>
      <c r="B41" s="18">
        <f>SEASON_HRS_CAR*(1+DIM_CAR)^(A41-1)*(1+A41*DIM_CAR)</f>
        <v>44.77630648348946</v>
      </c>
      <c r="C41" s="18">
        <f>SEASON_HRS_CAR*A41*(1+DIM_CAR)^A41</f>
        <v>337.1930018858696</v>
      </c>
      <c r="D41" s="19">
        <f>B41*TEMP_RATE+FERT_CAR</f>
        <v>1217.3664320050254</v>
      </c>
      <c r="E41" s="19">
        <f>PRICE_CAR-D41</f>
        <v>876.6335679949746</v>
      </c>
    </row>
    <row r="42">
      <c r="A42" s="17" t="n">
        <v>10</v>
      </c>
      <c r="B42" s="18">
        <f>SEASON_HRS_CAR*(1+DIM_CAR)^(A42-1)*(1+A42*DIM_CAR)</f>
        <v>46.83236137303744</v>
      </c>
      <c r="C42" s="18">
        <f>SEASON_HRS_CAR*A42*(1+DIM_CAR)^A42</f>
        <v>384.025363258907</v>
      </c>
      <c r="D42" s="19">
        <f>B42*TEMP_RATE+FERT_CAR</f>
        <v>1253.061829393011</v>
      </c>
      <c r="E42" s="19">
        <f>PRICE_CAR-D42</f>
        <v>840.9381706069889</v>
      </c>
    </row>
    <row r="43">
      <c r="A43" s="17" t="n">
        <v>11</v>
      </c>
      <c r="B43" s="18">
        <f>SEASON_HRS_CAR*(1+DIM_CAR)^(A43-1)*(1+A43*DIM_CAR)</f>
        <v>48.96323381551064</v>
      </c>
      <c r="C43" s="18">
        <f>SEASON_HRS_CAR*A43*(1+DIM_CAR)^A43</f>
        <v>432.9885970744176</v>
      </c>
      <c r="D43" s="19">
        <f>B43*TEMP_RATE+FERT_CAR</f>
        <v>1290.056142630393</v>
      </c>
      <c r="E43" s="19">
        <f>PRICE_CAR-D43</f>
        <v>803.943857369607</v>
      </c>
    </row>
    <row r="44">
      <c r="A44" s="17" t="n">
        <v>12</v>
      </c>
      <c r="B44" s="18">
        <f>SEASON_HRS_CAR*(1+DIM_CAR)^(A44-1)*(1+A44*DIM_CAR)</f>
        <v>51.17137965424936</v>
      </c>
      <c r="C44" s="18">
        <f>SEASON_HRS_CAR*A44*(1+DIM_CAR)^A44</f>
        <v>484.15997672866695</v>
      </c>
      <c r="D44" s="19">
        <f>B44*TEMP_RATE+FERT_CAR</f>
        <v>1328.3920078862734</v>
      </c>
      <c r="E44" s="19">
        <f>PRICE_CAR-D44</f>
        <v>765.6079921137266</v>
      </c>
    </row>
    <row r="45">
      <c r="A45" s="17" t="n">
        <v>13</v>
      </c>
      <c r="B45" s="18">
        <f>SEASON_HRS_CAR*(1+DIM_CAR)^(A45-1)*(1+A45*DIM_CAR)</f>
        <v>53.459330763790305</v>
      </c>
      <c r="C45" s="18">
        <f>SEASON_HRS_CAR*A45*(1+DIM_CAR)^A45</f>
        <v>537.6193074924571</v>
      </c>
      <c r="D45" s="19">
        <f>B45*TEMP_RATE+FERT_CAR</f>
        <v>1368.113381315804</v>
      </c>
      <c r="E45" s="19">
        <f>PRICE_CAR-D45</f>
        <v>725.886618684196</v>
      </c>
    </row>
    <row r="46">
      <c r="A46" s="17" t="n">
        <v>14</v>
      </c>
      <c r="B46" s="18">
        <f>SEASON_HRS_CAR*(1+DIM_CAR)^(A46-1)*(1+A46*DIM_CAR)</f>
        <v>55.829697316524395</v>
      </c>
      <c r="C46" s="18">
        <f>SEASON_HRS_CAR*A46*(1+DIM_CAR)^A46</f>
        <v>593.4490048089816</v>
      </c>
      <c r="D46" s="19">
        <f>B46*TEMP_RATE+FERT_CAR</f>
        <v>1409.265578411882</v>
      </c>
      <c r="E46" s="19">
        <f>PRICE_CAR-D46</f>
        <v>684.734421588118</v>
      </c>
    </row>
    <row r="47">
      <c r="A47" s="17" t="n">
        <v>15</v>
      </c>
      <c r="B47" s="18">
        <f>SEASON_HRS_CAR*(1+DIM_CAR)^(A47-1)*(1+A47*DIM_CAR)</f>
        <v>58.28517011516784</v>
      </c>
      <c r="C47" s="18">
        <f>SEASON_HRS_CAR*A47*(1+DIM_CAR)^A47</f>
        <v>651.7341749241493</v>
      </c>
      <c r="D47" s="19">
        <f>B47*TEMP_RATE+FERT_CAR</f>
        <v>1451.8953144994416</v>
      </c>
      <c r="E47" s="19">
        <f>PRICE_CAR-D47</f>
        <v>642.1046855005584</v>
      </c>
    </row>
    <row r="48">
      <c r="A48" s="17" t="n">
        <v>16</v>
      </c>
      <c r="B48" s="18">
        <f>SEASON_HRS_CAR*(1+DIM_CAR)^(A48-1)*(1+A48*DIM_CAR)</f>
        <v>60.828522992920604</v>
      </c>
      <c r="C48" s="18">
        <f>SEASON_HRS_CAR*A48*(1+DIM_CAR)^A48</f>
        <v>712.5626979170698</v>
      </c>
      <c r="D48" s="19">
        <f>B48*TEMP_RATE+FERT_CAR</f>
        <v>1496.0507464048715</v>
      </c>
      <c r="E48" s="19">
        <f>PRICE_CAR-D48</f>
        <v>597.9492535951285</v>
      </c>
    </row>
    <row r="49">
      <c r="A49" s="17" t="n">
        <v>17</v>
      </c>
      <c r="B49" s="18">
        <f>SEASON_HRS_CAR*(1+DIM_CAR)^(A49-1)*(1+A49*DIM_CAR)</f>
        <v>63.46261528323903</v>
      </c>
      <c r="C49" s="18">
        <f>SEASON_HRS_CAR*A49*(1+DIM_CAR)^A49</f>
        <v>776.0253132003088</v>
      </c>
      <c r="D49" s="19">
        <f>B49*TEMP_RATE+FERT_CAR</f>
        <v>1541.781515334011</v>
      </c>
      <c r="E49" s="19">
        <f>PRICE_CAR-D49</f>
        <v>552.2184846659891</v>
      </c>
    </row>
    <row r="50">
      <c r="A50" s="17" t="n">
        <v>18</v>
      </c>
      <c r="B50" s="18">
        <f>SEASON_HRS_CAR*(1+DIM_CAR)^(A50-1)*(1+A50*DIM_CAR)</f>
        <v>66.1903943612028</v>
      </c>
      <c r="C50" s="18">
        <f>SEASON_HRS_CAR*A50*(1+DIM_CAR)^A50</f>
        <v>842.2157075615115</v>
      </c>
      <c r="D50" s="19">
        <f>B50*TEMP_RATE+FERT_CAR</f>
        <v>1589.1387909931043</v>
      </c>
      <c r="E50" s="19">
        <f>PRICE_CAR-D50</f>
        <v>504.8612090068957</v>
      </c>
    </row>
    <row r="51">
      <c r="A51" s="17" t="n">
        <v>19</v>
      </c>
      <c r="B51" s="18">
        <f>SEASON_HRS_CAR*(1+DIM_CAR)^(A51-1)*(1+A51*DIM_CAR)</f>
        <v>69.01489825851276</v>
      </c>
      <c r="C51" s="18">
        <f>SEASON_HRS_CAR*A51*(1+DIM_CAR)^A51</f>
        <v>911.2306058200242</v>
      </c>
      <c r="D51" s="19">
        <f>B51*TEMP_RATE+FERT_CAR</f>
        <v>1638.1753169880687</v>
      </c>
      <c r="E51" s="19">
        <f>PRICE_CAR-D51</f>
        <v>455.82468301193126</v>
      </c>
    </row>
    <row r="52">
      <c r="A52" s="17" t="n">
        <v>20</v>
      </c>
      <c r="B52" s="18">
        <f>SEASON_HRS_CAR*(1+DIM_CAR)^(A52-1)*(1+A52*DIM_CAR)</f>
        <v>71.93925835421243</v>
      </c>
      <c r="C52" s="18">
        <f>SEASON_HRS_CAR*A52*(1+DIM_CAR)^A52</f>
        <v>983.1698641742365</v>
      </c>
      <c r="D52" s="19">
        <f>B52*TEMP_RATE+FERT_CAR</f>
        <v>1688.9454575384102</v>
      </c>
      <c r="E52" s="19">
        <f>PRICE_CAR-D52</f>
        <v>405.0545424615898</v>
      </c>
    </row>
    <row r="53">
      <c r="A53" s="15" t="inlineStr">
        <is>
          <t>Unconstrained stop (own MC ≤ PRICE):</t>
        </is>
      </c>
      <c r="C53" s="20">
        <f>COUNTIF(D33:D52,"&lt;="&amp;PRICE_CAR)</f>
        <v>20</v>
      </c>
    </row>
    <row r="54">
      <c r="A54" s="15" t="inlineStr">
        <is>
          <t>Hours needed at that count:</t>
        </is>
      </c>
      <c r="C54" s="16">
        <f>IF(STOP_CAR=0,0,INDEX(C33:C52,STOP_CAR))</f>
        <v>983.1698641742365</v>
      </c>
    </row>
    <row r="56">
      <c r="A56" s="2" t="inlineStr">
        <is>
          <t>Mesclun</t>
        </is>
      </c>
    </row>
    <row r="57">
      <c r="A57" s="15" t="inlineStr">
        <is>
          <t>Season hours/bed (pre-diminishing) =</t>
        </is>
      </c>
      <c r="C57" s="16">
        <f>HRS_WK_BED_MES*WEEKS</f>
        <v>45</v>
      </c>
    </row>
    <row r="58">
      <c r="A58" s="4" t="inlineStr">
        <is>
          <t>Bed (q)</t>
        </is>
      </c>
      <c r="B58" s="4" t="inlineStr">
        <is>
          <t>Marginal Hours</t>
        </is>
      </c>
      <c r="C58" s="4" t="inlineStr">
        <is>
          <t>Cumulative Hours</t>
        </is>
      </c>
      <c r="D58" s="4" t="inlineStr">
        <is>
          <t>Marginal Cost ($)</t>
        </is>
      </c>
      <c r="E58" s="4" t="inlineStr">
        <is>
          <t>Marginal Contribution ($)</t>
        </is>
      </c>
    </row>
    <row r="59">
      <c r="A59" s="17" t="n">
        <v>1</v>
      </c>
      <c r="B59" s="18">
        <f>SEASON_HRS_MES*(1+DIM_MES)^(A59-1)*(1+A59*DIM_MES)</f>
        <v>45.5625</v>
      </c>
      <c r="C59" s="18">
        <f>SEASON_HRS_MES*A59*(1+DIM_MES)^A59</f>
        <v>45.5625</v>
      </c>
      <c r="D59" s="19">
        <f>B59*TEMP_RATE+FERT_MES</f>
        <v>1671.015625</v>
      </c>
      <c r="E59" s="19">
        <f>PRICE_MES-D59</f>
        <v>1028.984375</v>
      </c>
    </row>
    <row r="60">
      <c r="A60" s="17" t="n">
        <v>2</v>
      </c>
      <c r="B60" s="18">
        <f>SEASON_HRS_MES*(1+DIM_MES)^(A60-1)*(1+A60*DIM_MES)</f>
        <v>46.701562499999994</v>
      </c>
      <c r="C60" s="18">
        <f>SEASON_HRS_MES*A60*(1+DIM_MES)^A60</f>
        <v>92.2640625</v>
      </c>
      <c r="D60" s="19">
        <f>B60*TEMP_RATE+FERT_MES</f>
        <v>1690.791015625</v>
      </c>
      <c r="E60" s="19">
        <f>PRICE_MES-D60</f>
        <v>1009.208984375</v>
      </c>
    </row>
    <row r="61">
      <c r="A61" s="17" t="n">
        <v>3</v>
      </c>
      <c r="B61" s="18">
        <f>SEASON_HRS_MES*(1+DIM_MES)^(A61-1)*(1+A61*DIM_MES)</f>
        <v>47.861982421875</v>
      </c>
      <c r="C61" s="18">
        <f>SEASON_HRS_MES*A61*(1+DIM_MES)^A61</f>
        <v>140.12604492187498</v>
      </c>
      <c r="D61" s="19">
        <f>B61*TEMP_RATE+FERT_MES</f>
        <v>1710.9371948242188</v>
      </c>
      <c r="E61" s="19">
        <f>PRICE_MES-D61</f>
        <v>989.0628051757812</v>
      </c>
    </row>
    <row r="62">
      <c r="A62" s="17" t="n">
        <v>4</v>
      </c>
      <c r="B62" s="18">
        <f>SEASON_HRS_MES*(1+DIM_MES)^(A62-1)*(1+A62*DIM_MES)</f>
        <v>49.044115722656244</v>
      </c>
      <c r="C62" s="18">
        <f>SEASON_HRS_MES*A62*(1+DIM_MES)^A62</f>
        <v>189.1701606445312</v>
      </c>
      <c r="D62" s="19">
        <f>B62*TEMP_RATE+FERT_MES</f>
        <v>1731.4603424072266</v>
      </c>
      <c r="E62" s="19">
        <f>PRICE_MES-D62</f>
        <v>968.5396575927734</v>
      </c>
    </row>
    <row r="63">
      <c r="A63" s="17" t="n">
        <v>5</v>
      </c>
      <c r="B63" s="18">
        <f>SEASON_HRS_MES*(1+DIM_MES)^(A63-1)*(1+A63*DIM_MES)</f>
        <v>50.2483239212036</v>
      </c>
      <c r="C63" s="18">
        <f>SEASON_HRS_MES*A63*(1+DIM_MES)^A63</f>
        <v>239.41848456573481</v>
      </c>
      <c r="D63" s="19">
        <f>B63*TEMP_RATE+FERT_MES</f>
        <v>1752.366734743118</v>
      </c>
      <c r="E63" s="19">
        <f>PRICE_MES-D63</f>
        <v>947.6332652568819</v>
      </c>
    </row>
    <row r="64">
      <c r="A64" s="17" t="n">
        <v>6</v>
      </c>
      <c r="B64" s="18">
        <f>SEASON_HRS_MES*(1+DIM_MES)^(A64-1)*(1+A64*DIM_MES)</f>
        <v>51.47497418163298</v>
      </c>
      <c r="C64" s="18">
        <f>SEASON_HRS_MES*A64*(1+DIM_MES)^A64</f>
        <v>290.89345874736773</v>
      </c>
      <c r="D64" s="19">
        <f>B64*TEMP_RATE+FERT_MES</f>
        <v>1773.662746208906</v>
      </c>
      <c r="E64" s="19">
        <f>PRICE_MES-D64</f>
        <v>926.3372537910941</v>
      </c>
    </row>
    <row r="65">
      <c r="A65" s="17" t="n">
        <v>7</v>
      </c>
      <c r="B65" s="18">
        <f>SEASON_HRS_MES*(1+DIM_MES)^(A65-1)*(1+A65*DIM_MES)</f>
        <v>52.7244393979604</v>
      </c>
      <c r="C65" s="18">
        <f>SEASON_HRS_MES*A65*(1+DIM_MES)^A65</f>
        <v>343.6178981453282</v>
      </c>
      <c r="D65" s="19">
        <f>B65*TEMP_RATE+FERT_MES</f>
        <v>1795.3548506590346</v>
      </c>
      <c r="E65" s="19">
        <f>PRICE_MES-D65</f>
        <v>904.6451493409654</v>
      </c>
    </row>
    <row r="66">
      <c r="A66" s="17" t="n">
        <v>8</v>
      </c>
      <c r="B66" s="18">
        <f>SEASON_HRS_MES*(1+DIM_MES)^(A66-1)*(1+A66*DIM_MES)</f>
        <v>53.99709827998014</v>
      </c>
      <c r="C66" s="18">
        <f>SEASON_HRS_MES*A66*(1+DIM_MES)^A66</f>
        <v>397.61499642530833</v>
      </c>
      <c r="D66" s="19">
        <f>B66*TEMP_RATE+FERT_MES</f>
        <v>1817.449622916322</v>
      </c>
      <c r="E66" s="19">
        <f>PRICE_MES-D66</f>
        <v>882.5503770836781</v>
      </c>
    </row>
    <row r="67">
      <c r="A67" s="17" t="n">
        <v>9</v>
      </c>
      <c r="B67" s="18">
        <f>SEASON_HRS_MES*(1+DIM_MES)^(A67-1)*(1+A67*DIM_MES)</f>
        <v>55.29333544039444</v>
      </c>
      <c r="C67" s="18">
        <f>SEASON_HRS_MES*A67*(1+DIM_MES)^A67</f>
        <v>452.90833186570273</v>
      </c>
      <c r="D67" s="19">
        <f>B67*TEMP_RATE+FERT_MES</f>
        <v>1839.9537402846258</v>
      </c>
      <c r="E67" s="19">
        <f>PRICE_MES-D67</f>
        <v>860.0462597153742</v>
      </c>
    </row>
    <row r="68">
      <c r="A68" s="17" t="n">
        <v>10</v>
      </c>
      <c r="B68" s="18">
        <f>SEASON_HRS_MES*(1+DIM_MES)^(A68-1)*(1+A68*DIM_MES)</f>
        <v>56.61354148321284</v>
      </c>
      <c r="C68" s="18">
        <f>SEASON_HRS_MES*A68*(1+DIM_MES)^A68</f>
        <v>509.5218733489155</v>
      </c>
      <c r="D68" s="19">
        <f>B68*TEMP_RATE+FERT_MES</f>
        <v>1862.8739840835563</v>
      </c>
      <c r="E68" s="19">
        <f>PRICE_MES-D68</f>
        <v>837.1260159164437</v>
      </c>
    </row>
    <row r="69">
      <c r="A69" s="17" t="n">
        <v>11</v>
      </c>
      <c r="B69" s="18">
        <f>SEASON_HRS_MES*(1+DIM_MES)^(A69-1)*(1+A69*DIM_MES)</f>
        <v>57.95811309343914</v>
      </c>
      <c r="C69" s="18">
        <f>SEASON_HRS_MES*A69*(1+DIM_MES)^A69</f>
        <v>567.4799864423546</v>
      </c>
      <c r="D69" s="19">
        <f>B69*TEMP_RATE+FERT_MES</f>
        <v>1886.2172412055406</v>
      </c>
      <c r="E69" s="19">
        <f>PRICE_MES-D69</f>
        <v>813.7827587944594</v>
      </c>
    </row>
    <row r="70">
      <c r="A70" s="17" t="n">
        <v>12</v>
      </c>
      <c r="B70" s="18">
        <f>SEASON_HRS_MES*(1+DIM_MES)^(A70-1)*(1+A70*DIM_MES)</f>
        <v>59.32745312806434</v>
      </c>
      <c r="C70" s="18">
        <f>SEASON_HRS_MES*A70*(1+DIM_MES)^A70</f>
        <v>626.807439570419</v>
      </c>
      <c r="D70" s="19">
        <f>B70*TEMP_RATE+FERT_MES</f>
        <v>1909.9905056955615</v>
      </c>
      <c r="E70" s="19">
        <f>PRICE_MES-D70</f>
        <v>790.0094943044385</v>
      </c>
    </row>
    <row r="71">
      <c r="A71" s="17" t="n">
        <v>13</v>
      </c>
      <c r="B71" s="18">
        <f>SEASON_HRS_MES*(1+DIM_MES)^(A71-1)*(1+A71*DIM_MES)</f>
        <v>60.72197070838435</v>
      </c>
      <c r="C71" s="18">
        <f>SEASON_HRS_MES*A71*(1+DIM_MES)^A71</f>
        <v>687.5294102788033</v>
      </c>
      <c r="D71" s="19">
        <f>B71*TEMP_RATE+FERT_MES</f>
        <v>1934.200880353895</v>
      </c>
      <c r="E71" s="19">
        <f>PRICE_MES-D71</f>
        <v>765.799119646105</v>
      </c>
    </row>
    <row r="72">
      <c r="A72" s="17" t="n">
        <v>14</v>
      </c>
      <c r="B72" s="18">
        <f>SEASON_HRS_MES*(1+DIM_MES)^(A72-1)*(1+A72*DIM_MES)</f>
        <v>62.14208131366107</v>
      </c>
      <c r="C72" s="18">
        <f>SEASON_HRS_MES*A72*(1+DIM_MES)^A72</f>
        <v>749.6714915924643</v>
      </c>
      <c r="D72" s="19">
        <f>B72*TEMP_RATE+FERT_MES</f>
        <v>1958.8555783621714</v>
      </c>
      <c r="E72" s="19">
        <f>PRICE_MES-D72</f>
        <v>741.1444216378286</v>
      </c>
    </row>
    <row r="73">
      <c r="A73" s="17" t="n">
        <v>15</v>
      </c>
      <c r="B73" s="18">
        <f>SEASON_HRS_MES*(1+DIM_MES)^(A73-1)*(1+A73*DIM_MES)</f>
        <v>63.588206876146536</v>
      </c>
      <c r="C73" s="18">
        <f>SEASON_HRS_MES*A73*(1+DIM_MES)^A73</f>
        <v>813.2596984686107</v>
      </c>
      <c r="D73" s="19">
        <f>B73*TEMP_RATE+FERT_MES</f>
        <v>1983.9619249330995</v>
      </c>
      <c r="E73" s="19">
        <f>PRICE_MES-D73</f>
        <v>716.0380750669005</v>
      </c>
    </row>
    <row r="74">
      <c r="A74" s="17" t="n">
        <v>16</v>
      </c>
      <c r="B74" s="18">
        <f>SEASON_HRS_MES*(1+DIM_MES)^(A74-1)*(1+A74*DIM_MES)</f>
        <v>65.06077587748885</v>
      </c>
      <c r="C74" s="18">
        <f>SEASON_HRS_MES*A74*(1+DIM_MES)^A74</f>
        <v>878.3204743460997</v>
      </c>
      <c r="D74" s="19">
        <f>B74*TEMP_RATE+FERT_MES</f>
        <v>2009.5273589841813</v>
      </c>
      <c r="E74" s="19">
        <f>PRICE_MES-D74</f>
        <v>690.4726410158187</v>
      </c>
    </row>
    <row r="75">
      <c r="A75" s="17" t="n">
        <v>17</v>
      </c>
      <c r="B75" s="18">
        <f>SEASON_HRS_MES*(1+DIM_MES)^(A75-1)*(1+A75*DIM_MES)</f>
        <v>66.56022344654036</v>
      </c>
      <c r="C75" s="18">
        <f>SEASON_HRS_MES*A75*(1+DIM_MES)^A75</f>
        <v>944.8806977926399</v>
      </c>
      <c r="D75" s="19">
        <f>B75*TEMP_RATE+FERT_MES</f>
        <v>2035.5594348357702</v>
      </c>
      <c r="E75" s="19">
        <f>PRICE_MES-D75</f>
        <v>664.4405651642298</v>
      </c>
    </row>
    <row r="76">
      <c r="A76" s="17" t="n">
        <v>18</v>
      </c>
      <c r="B76" s="18">
        <f>SEASON_HRS_MES*(1+DIM_MES)^(A76-1)*(1+A76*DIM_MES)</f>
        <v>68.08699145858729</v>
      </c>
      <c r="C76" s="18">
        <f>SEASON_HRS_MES*A76*(1+DIM_MES)^A76</f>
        <v>1012.9676892512272</v>
      </c>
      <c r="D76" s="19">
        <f>B76*TEMP_RATE+FERT_MES</f>
        <v>2062.065823933807</v>
      </c>
      <c r="E76" s="19">
        <f>PRICE_MES-D76</f>
        <v>637.9341760661928</v>
      </c>
    </row>
    <row r="77">
      <c r="A77" s="17" t="n">
        <v>19</v>
      </c>
      <c r="B77" s="18">
        <f>SEASON_HRS_MES*(1+DIM_MES)^(A77-1)*(1+A77*DIM_MES)</f>
        <v>69.64152863602187</v>
      </c>
      <c r="C77" s="18">
        <f>SEASON_HRS_MES*A77*(1+DIM_MES)^A77</f>
        <v>1082.609217887249</v>
      </c>
      <c r="D77" s="19">
        <f>B77*TEMP_RATE+FERT_MES</f>
        <v>2089.054316597602</v>
      </c>
      <c r="E77" s="19">
        <f>PRICE_MES-D77</f>
        <v>610.9456834023981</v>
      </c>
    </row>
    <row r="78">
      <c r="A78" s="17" t="n">
        <v>20</v>
      </c>
      <c r="B78" s="18">
        <f>SEASON_HRS_MES*(1+DIM_MES)^(A78-1)*(1+A78*DIM_MES)</f>
        <v>71.22429065047692</v>
      </c>
      <c r="C78" s="18">
        <f>SEASON_HRS_MES*A78*(1+DIM_MES)^A78</f>
        <v>1153.833508537726</v>
      </c>
      <c r="D78" s="19">
        <f>B78*TEMP_RATE+FERT_MES</f>
        <v>2116.532823793002</v>
      </c>
      <c r="E78" s="19">
        <f>PRICE_MES-D78</f>
        <v>583.4671762069979</v>
      </c>
    </row>
    <row r="79">
      <c r="A79" s="17" t="n">
        <v>21</v>
      </c>
      <c r="B79" s="18">
        <f>SEASON_HRS_MES*(1+DIM_MES)^(A79-1)*(1+A79*DIM_MES)</f>
        <v>72.83574022644395</v>
      </c>
      <c r="C79" s="18">
        <f>SEASON_HRS_MES*A79*(1+DIM_MES)^A79</f>
        <v>1226.6692487641699</v>
      </c>
      <c r="D79" s="19">
        <f>B79*TEMP_RATE+FERT_MES</f>
        <v>2144.5093789313187</v>
      </c>
      <c r="E79" s="19">
        <f>PRICE_MES-D79</f>
        <v>555.4906210686813</v>
      </c>
    </row>
    <row r="80">
      <c r="A80" s="17" t="n">
        <v>22</v>
      </c>
      <c r="B80" s="18">
        <f>SEASON_HRS_MES*(1+DIM_MES)^(A80-1)*(1+A80*DIM_MES)</f>
        <v>74.47634724639602</v>
      </c>
      <c r="C80" s="18">
        <f>SEASON_HRS_MES*A80*(1+DIM_MES)^A80</f>
        <v>1301.145596010566</v>
      </c>
      <c r="D80" s="19">
        <f>B80*TEMP_RATE+FERT_MES</f>
        <v>2172.9921396943755</v>
      </c>
      <c r="E80" s="19">
        <f>PRICE_MES-D80</f>
        <v>527.0078603056245</v>
      </c>
    </row>
    <row r="81">
      <c r="A81" s="17" t="n">
        <v>23</v>
      </c>
      <c r="B81" s="18">
        <f>SEASON_HRS_MES*(1+DIM_MES)^(A81-1)*(1+A81*DIM_MES)</f>
        <v>76.14658885743653</v>
      </c>
      <c r="C81" s="18">
        <f>SEASON_HRS_MES*A81*(1+DIM_MES)^A81</f>
        <v>1377.2921848680023</v>
      </c>
      <c r="D81" s="19">
        <f>B81*TEMP_RATE+FERT_MES</f>
        <v>2201.989389886051</v>
      </c>
      <c r="E81" s="19">
        <f>PRICE_MES-D81</f>
        <v>498.01061011394904</v>
      </c>
    </row>
    <row r="82">
      <c r="A82" s="17" t="n">
        <v>24</v>
      </c>
      <c r="B82" s="18">
        <f>SEASON_HRS_MES*(1+DIM_MES)^(A82-1)*(1+A82*DIM_MES)</f>
        <v>77.84694957949579</v>
      </c>
      <c r="C82" s="18">
        <f>SEASON_HRS_MES*A82*(1+DIM_MES)^A82</f>
        <v>1455.139134447498</v>
      </c>
      <c r="D82" s="19">
        <f>B82*TEMP_RATE+FERT_MES</f>
        <v>2231.509541310691</v>
      </c>
      <c r="E82" s="19">
        <f>PRICE_MES-D82</f>
        <v>468.490458689309</v>
      </c>
    </row>
    <row r="83">
      <c r="A83" s="17" t="n">
        <v>25</v>
      </c>
      <c r="B83" s="18">
        <f>SEASON_HRS_MES*(1+DIM_MES)^(A83-1)*(1+A83*DIM_MES)</f>
        <v>79.57792141509755</v>
      </c>
      <c r="C83" s="18">
        <f>SEASON_HRS_MES*A83*(1+DIM_MES)^A83</f>
        <v>1534.7170558625955</v>
      </c>
      <c r="D83" s="19">
        <f>B83*TEMP_RATE+FERT_MES</f>
        <v>2261.5611356787767</v>
      </c>
      <c r="E83" s="19">
        <f>PRICE_MES-D83</f>
        <v>438.43886432122326</v>
      </c>
    </row>
    <row r="84">
      <c r="A84" s="17" t="n">
        <v>26</v>
      </c>
      <c r="B84" s="18">
        <f>SEASON_HRS_MES*(1+DIM_MES)^(A84-1)*(1+A84*DIM_MES)</f>
        <v>81.34000396071755</v>
      </c>
      <c r="C84" s="18">
        <f>SEASON_HRS_MES*A84*(1+DIM_MES)^A84</f>
        <v>1616.0570598233128</v>
      </c>
      <c r="D84" s="19">
        <f>B84*TEMP_RATE+FERT_MES</f>
        <v>2292.1528465402353</v>
      </c>
      <c r="E84" s="19">
        <f>PRICE_MES-D84</f>
        <v>407.84715345976474</v>
      </c>
    </row>
    <row r="85">
      <c r="A85" s="17" t="n">
        <v>27</v>
      </c>
      <c r="B85" s="18">
        <f>SEASON_HRS_MES*(1+DIM_MES)^(A85-1)*(1+A85*DIM_MES)</f>
        <v>83.13370451975696</v>
      </c>
      <c r="C85" s="18">
        <f>SEASON_HRS_MES*A85*(1+DIM_MES)^A85</f>
        <v>1699.19076434307</v>
      </c>
      <c r="D85" s="19">
        <f>B85*TEMP_RATE+FERT_MES</f>
        <v>2323.2934812457806</v>
      </c>
      <c r="E85" s="19">
        <f>PRICE_MES-D85</f>
        <v>376.70651875421936</v>
      </c>
    </row>
    <row r="86">
      <c r="A86" s="17" t="n">
        <v>28</v>
      </c>
      <c r="B86" s="18">
        <f>SEASON_HRS_MES*(1+DIM_MES)^(A86-1)*(1+A86*DIM_MES)</f>
        <v>84.9595382171535</v>
      </c>
      <c r="C86" s="18">
        <f>SEASON_HRS_MES*A86*(1+DIM_MES)^A86</f>
        <v>1784.1503025602233</v>
      </c>
      <c r="D86" s="19">
        <f>B86*TEMP_RATE+FERT_MES</f>
        <v>2354.9919829366927</v>
      </c>
      <c r="E86" s="19">
        <f>PRICE_MES-D86</f>
        <v>345.0080170633073</v>
      </c>
    </row>
    <row r="87">
      <c r="A87" s="17" t="n">
        <v>29</v>
      </c>
      <c r="B87" s="18">
        <f>SEASON_HRS_MES*(1+DIM_MES)^(A87-1)*(1+A87*DIM_MES)</f>
        <v>86.81802811565372</v>
      </c>
      <c r="C87" s="18">
        <f>SEASON_HRS_MES*A87*(1+DIM_MES)^A87</f>
        <v>1870.9683306758766</v>
      </c>
      <c r="D87" s="19">
        <f>B87*TEMP_RATE+FERT_MES</f>
        <v>2387.2574325634323</v>
      </c>
      <c r="E87" s="19">
        <f>PRICE_MES-D87</f>
        <v>312.7425674365677</v>
      </c>
    </row>
    <row r="88">
      <c r="A88" s="17" t="n">
        <v>30</v>
      </c>
      <c r="B88" s="18">
        <f>SEASON_HRS_MES*(1+DIM_MES)^(A88-1)*(1+A88*DIM_MES)</f>
        <v>88.70970533377</v>
      </c>
      <c r="C88" s="18">
        <f>SEASON_HRS_MES*A88*(1+DIM_MES)^A88</f>
        <v>1959.6780360096466</v>
      </c>
      <c r="D88" s="19">
        <f>B88*TEMP_RATE+FERT_MES</f>
        <v>2420.099050933507</v>
      </c>
      <c r="E88" s="19">
        <f>PRICE_MES-D88</f>
        <v>279.900949066493</v>
      </c>
    </row>
    <row r="89">
      <c r="A89" s="15" t="inlineStr">
        <is>
          <t>Unconstrained stop (own MC ≤ PRICE):</t>
        </is>
      </c>
      <c r="C89" s="20">
        <f>COUNTIF(D59:D88,"&lt;="&amp;PRICE_MES)</f>
        <v>30</v>
      </c>
    </row>
    <row r="90">
      <c r="A90" s="15" t="inlineStr">
        <is>
          <t>Hours needed at that count:</t>
        </is>
      </c>
      <c r="C90" s="16">
        <f>IF(STOP_MES=0,0,INDEX(C59:C88,STOP_MES))</f>
        <v>1959.6780360096466</v>
      </c>
    </row>
  </sheetData>
  <pageMargins left="0.75" right="0.75" top="1" bottom="1" header="0.5" footer="0.5"/>
</worksheet>
</file>

<file path=xl/worksheets/sheet3.xml><?xml version="1.0" encoding="utf-8"?>
<worksheet xmlns="http://schemas.openxmlformats.org/spreadsheetml/2006/main">
  <sheetPr>
    <tabColor rgb="00595959"/>
    <outlinePr summaryBelow="1" summaryRight="1"/>
    <pageSetUpPr/>
  </sheetPr>
  <dimension ref="A1:H2217"/>
  <sheetViews>
    <sheetView showGridLines="0" workbookViewId="0">
      <pane ySplit="5" topLeftCell="A6" activePane="bottomLeft" state="frozen"/>
      <selection pane="bottomLeft" activeCell="A1" sqref="A1"/>
    </sheetView>
  </sheetViews>
  <sheetFormatPr baseColWidth="8" defaultRowHeight="15"/>
  <cols>
    <col width="1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Sweep — exhaustive verification of the Optimize sheet's decision cells</t>
        </is>
      </c>
    </row>
    <row r="2" ht="45" customHeight="1">
      <c r="A2" s="14" t="inlineStr">
        <is>
          <t>Every (Q_TOM, Q_CAR, N_TEMP) combination is evaluated (2,205 rows); Q_MES is solved in closed form for each row rather than looped, because every mesclun bed is individually profitable (Labor!STOP_MES = 30), so the best Q_MES for a fixed (Q_TOM, Q_CAR) is always the most that fits. This is mathematically equivalent to a full 68,355-combination search, not an approximation of one — see the comment in the build script for the argument.</t>
        </is>
      </c>
    </row>
    <row r="4">
      <c r="A4" s="2" t="inlineStr">
        <is>
          <t>Best per N_TEMP (independently computed — compare to Optimize sheet)</t>
        </is>
      </c>
    </row>
    <row r="5">
      <c r="A5" s="4" t="inlineStr">
        <is>
          <t>N_TEMP</t>
        </is>
      </c>
      <c r="B5" s="4" t="inlineStr">
        <is>
          <t>Best Q_TOM</t>
        </is>
      </c>
      <c r="C5" s="4" t="inlineStr">
        <is>
          <t>Best Q_CAR</t>
        </is>
      </c>
      <c r="D5" s="4" t="inlineStr">
        <is>
          <t>Best Q_MES</t>
        </is>
      </c>
      <c r="E5" s="4" t="inlineStr">
        <is>
          <t>Best PROFIT</t>
        </is>
      </c>
    </row>
    <row r="6">
      <c r="A6" s="5" t="n">
        <v>0</v>
      </c>
      <c r="B6" s="21">
        <f>INDEX($B$13:$B$453,MATCH(E6,$H$13:$H$453,0))</f>
        <v>4</v>
      </c>
      <c r="C6" s="21">
        <f>INDEX($C$13:$C$453,MATCH(E6,$H$13:$H$453,0))</f>
        <v>3</v>
      </c>
      <c r="D6" s="21">
        <f>INDEX($F$13:$F$453,MATCH(E6,$H$13:$H$453,0))</f>
        <v>2</v>
      </c>
      <c r="E6" s="22">
        <f>MAX($H$13:$H$453)</f>
        <v>-29718</v>
      </c>
    </row>
    <row r="7">
      <c r="A7" s="5" t="n">
        <v>1</v>
      </c>
      <c r="B7" s="21">
        <f>INDEX($B$454:$B$894,MATCH(E7,$H$454:$H$894,0))</f>
        <v>6</v>
      </c>
      <c r="C7" s="21">
        <f>INDEX($C$454:$C$894,MATCH(E7,$H$454:$H$894,0))</f>
        <v>10</v>
      </c>
      <c r="D7" s="21">
        <f>INDEX($F$454:$F$894,MATCH(E7,$H$454:$H$894,0))</f>
        <v>15</v>
      </c>
      <c r="E7" s="22">
        <f>MAX($H$454:$H$894)</f>
        <v>-3640</v>
      </c>
    </row>
    <row r="8">
      <c r="A8" s="5" t="n">
        <v>2</v>
      </c>
      <c r="B8" s="21">
        <f>INDEX($B$895:$B$1335,MATCH(E8,$H$895:$H$1335,0))</f>
        <v>7</v>
      </c>
      <c r="C8" s="21">
        <f>INDEX($C$895:$C$1335,MATCH(E8,$H$895:$H$1335,0))</f>
        <v>19</v>
      </c>
      <c r="D8" s="21">
        <f>INDEX($F$895:$F$1335,MATCH(E8,$H$895:$H$1335,0))</f>
        <v>24</v>
      </c>
      <c r="E8" s="22">
        <f>MAX($H$895:$H$1335)</f>
        <v>10546</v>
      </c>
    </row>
    <row r="9">
      <c r="A9" s="5" t="n">
        <v>3</v>
      </c>
      <c r="B9" s="21">
        <f>INDEX($B$1336:$B$1776,MATCH(E9,$H$1336:$H$1776,0))</f>
        <v>10</v>
      </c>
      <c r="C9" s="21">
        <f>INDEX($C$1336:$C$1776,MATCH(E9,$H$1336:$H$1776,0))</f>
        <v>19</v>
      </c>
      <c r="D9" s="21">
        <f>INDEX($F$1336:$F$1776,MATCH(E9,$H$1336:$H$1776,0))</f>
        <v>28</v>
      </c>
      <c r="E9" s="22">
        <f>MAX($H$1336:$H$1776)</f>
        <v>16586</v>
      </c>
    </row>
    <row r="10">
      <c r="A10" s="5" t="n">
        <v>4</v>
      </c>
      <c r="B10" s="21">
        <f>INDEX($B$1777:$B$2217,MATCH(E10,$H$1777:$H$2217,0))</f>
        <v>12</v>
      </c>
      <c r="C10" s="21">
        <f>INDEX($C$1777:$C$2217,MATCH(E10,$H$1777:$H$2217,0))</f>
        <v>20</v>
      </c>
      <c r="D10" s="21">
        <f>INDEX($F$1777:$F$2217,MATCH(E10,$H$1777:$H$2217,0))</f>
        <v>30</v>
      </c>
      <c r="E10" s="22">
        <f>MAX($H$1777:$H$2217)</f>
        <v>12720</v>
      </c>
    </row>
    <row r="12">
      <c r="A12" s="4" t="inlineStr">
        <is>
          <t>N_TEMP</t>
        </is>
      </c>
      <c r="B12" s="4" t="inlineStr">
        <is>
          <t>Q_TOM</t>
        </is>
      </c>
      <c r="C12" s="4" t="inlineStr">
        <is>
          <t>Q_CAR</t>
        </is>
      </c>
      <c r="D12" s="4" t="inlineStr">
        <is>
          <t>Hrs(TOM+CAR)</t>
        </is>
      </c>
      <c r="E12" s="4" t="inlineStr">
        <is>
          <t>Remaining budget</t>
        </is>
      </c>
      <c r="F12" s="4" t="inlineStr">
        <is>
          <t>Q_MES</t>
        </is>
      </c>
      <c r="G12" s="4" t="inlineStr">
        <is>
          <t>Beds used</t>
        </is>
      </c>
      <c r="H12" s="4" t="inlineStr">
        <is>
          <t>PROFIT</t>
        </is>
      </c>
    </row>
    <row r="13">
      <c r="A13" s="5" t="n">
        <v>0</v>
      </c>
      <c r="B13" s="5" t="n">
        <v>0</v>
      </c>
      <c r="C13" s="5" t="n">
        <v>0</v>
      </c>
      <c r="D13" s="18">
        <f>SEASON_HRS_TOM*B13*(1+DIM_TOM)^B13+SEASON_HRS_CAR*C13*(1+DIM_CAR)^C13</f>
        <v>0</v>
      </c>
      <c r="E13" s="18">
        <f>(FARMER_FIELD_HRS+A13*TEMP_HRS)-D13</f>
        <v>720</v>
      </c>
      <c r="F13" s="21">
        <f>IF(E13&lt;0,0,MIN(COUNTIF(Labor!$C$59:$C$88,"&lt;="&amp;E13),MAXBED_MES,TOTAL_BEDS-B13-C13))</f>
        <v>13</v>
      </c>
      <c r="G13" s="21">
        <f>B13+C13+F13</f>
        <v>13</v>
      </c>
      <c r="H13" s="22">
        <f>IF(E13&lt;0,-999999999,B13*(PRICE_TOM-FERT_TOM)+C13*(PRICE_CAR-FERT_CAR)+F13*(PRICE_MES-FERT_MES)-(FARMER_SALARY+A13*TEMP_COST)-FIXED_COSTS)</f>
        <v>-46340</v>
      </c>
    </row>
    <row r="14">
      <c r="A14" s="5" t="n">
        <v>0</v>
      </c>
      <c r="B14" s="5" t="n">
        <v>0</v>
      </c>
      <c r="C14" s="5" t="n">
        <v>1</v>
      </c>
      <c r="D14" s="18">
        <f>SEASON_HRS_TOM*B14*(1+DIM_TOM)^B14+SEASON_HRS_CAR*C14*(1+DIM_CAR)^C14</f>
        <v>30.749999999999996</v>
      </c>
      <c r="E14" s="18">
        <f>(FARMER_FIELD_HRS+A14*TEMP_HRS)-D14</f>
        <v>689.25</v>
      </c>
      <c r="F14" s="21">
        <f>IF(E14&lt;0,0,MIN(COUNTIF(Labor!$C$59:$C$88,"&lt;="&amp;E14),MAXBED_MES,TOTAL_BEDS-B14-C14))</f>
        <v>13</v>
      </c>
      <c r="G14" s="21">
        <f>B14+C14+F14</f>
        <v>14</v>
      </c>
      <c r="H14" s="22">
        <f>IF(E14&lt;0,-999999999,B14*(PRICE_TOM-FERT_TOM)+C14*(PRICE_CAR-FERT_CAR)+F14*(PRICE_MES-FERT_MES)-(FARMER_SALARY+A14*TEMP_COST)-FIXED_COSTS)</f>
        <v>-44686</v>
      </c>
    </row>
    <row r="15">
      <c r="A15" s="5" t="n">
        <v>0</v>
      </c>
      <c r="B15" s="5" t="n">
        <v>0</v>
      </c>
      <c r="C15" s="5" t="n">
        <v>2</v>
      </c>
      <c r="D15" s="18">
        <f>SEASON_HRS_TOM*B15*(1+DIM_TOM)^B15+SEASON_HRS_CAR*C15*(1+DIM_CAR)^C15</f>
        <v>63.037499999999994</v>
      </c>
      <c r="E15" s="18">
        <f>(FARMER_FIELD_HRS+A15*TEMP_HRS)-D15</f>
        <v>656.9625</v>
      </c>
      <c r="F15" s="21">
        <f>IF(E15&lt;0,0,MIN(COUNTIF(Labor!$C$59:$C$88,"&lt;="&amp;E15),MAXBED_MES,TOTAL_BEDS-B15-C15))</f>
        <v>12</v>
      </c>
      <c r="G15" s="21">
        <f>B15+C15+F15</f>
        <v>14</v>
      </c>
      <c r="H15" s="22">
        <f>IF(E15&lt;0,-999999999,B15*(PRICE_TOM-FERT_TOM)+C15*(PRICE_CAR-FERT_CAR)+F15*(PRICE_MES-FERT_MES)-(FARMER_SALARY+A15*TEMP_COST)-FIXED_COSTS)</f>
        <v>-44852</v>
      </c>
    </row>
    <row r="16">
      <c r="A16" s="5" t="n">
        <v>0</v>
      </c>
      <c r="B16" s="5" t="n">
        <v>0</v>
      </c>
      <c r="C16" s="5" t="n">
        <v>3</v>
      </c>
      <c r="D16" s="18">
        <f>SEASON_HRS_TOM*B16*(1+DIM_TOM)^B16+SEASON_HRS_CAR*C16*(1+DIM_CAR)^C16</f>
        <v>96.92015624999996</v>
      </c>
      <c r="E16" s="18">
        <f>(FARMER_FIELD_HRS+A16*TEMP_HRS)-D16</f>
        <v>623.07984375</v>
      </c>
      <c r="F16" s="21">
        <f>IF(E16&lt;0,0,MIN(COUNTIF(Labor!$C$59:$C$88,"&lt;="&amp;E16),MAXBED_MES,TOTAL_BEDS-B16-C16))</f>
        <v>11</v>
      </c>
      <c r="G16" s="21">
        <f>B16+C16+F16</f>
        <v>14</v>
      </c>
      <c r="H16" s="22">
        <f>IF(E16&lt;0,-999999999,B16*(PRICE_TOM-FERT_TOM)+C16*(PRICE_CAR-FERT_CAR)+F16*(PRICE_MES-FERT_MES)-(FARMER_SALARY+A16*TEMP_COST)-FIXED_COSTS)</f>
        <v>-45018</v>
      </c>
    </row>
    <row r="17">
      <c r="A17" s="5" t="n">
        <v>0</v>
      </c>
      <c r="B17" s="5" t="n">
        <v>0</v>
      </c>
      <c r="C17" s="5" t="n">
        <v>4</v>
      </c>
      <c r="D17" s="18">
        <f>SEASON_HRS_TOM*B17*(1+DIM_TOM)^B17+SEASON_HRS_CAR*C17*(1+DIM_CAR)^C17</f>
        <v>132.45754687499993</v>
      </c>
      <c r="E17" s="18">
        <f>(FARMER_FIELD_HRS+A17*TEMP_HRS)-D17</f>
        <v>587.5424531250001</v>
      </c>
      <c r="F17" s="21">
        <f>IF(E17&lt;0,0,MIN(COUNTIF(Labor!$C$59:$C$88,"&lt;="&amp;E17),MAXBED_MES,TOTAL_BEDS-B17-C17))</f>
        <v>11</v>
      </c>
      <c r="G17" s="21">
        <f>B17+C17+F17</f>
        <v>15</v>
      </c>
      <c r="H17" s="22">
        <f>IF(E17&lt;0,-999999999,B17*(PRICE_TOM-FERT_TOM)+C17*(PRICE_CAR-FERT_CAR)+F17*(PRICE_MES-FERT_MES)-(FARMER_SALARY+A17*TEMP_COST)-FIXED_COSTS)</f>
        <v>-43364</v>
      </c>
    </row>
    <row r="18">
      <c r="A18" s="5" t="n">
        <v>0</v>
      </c>
      <c r="B18" s="5" t="n">
        <v>0</v>
      </c>
      <c r="C18" s="5" t="n">
        <v>5</v>
      </c>
      <c r="D18" s="18">
        <f>SEASON_HRS_TOM*B18*(1+DIM_TOM)^B18+SEASON_HRS_CAR*C18*(1+DIM_CAR)^C18</f>
        <v>169.71123193359367</v>
      </c>
      <c r="E18" s="18">
        <f>(FARMER_FIELD_HRS+A18*TEMP_HRS)-D18</f>
        <v>550.2887680664063</v>
      </c>
      <c r="F18" s="21">
        <f>IF(E18&lt;0,0,MIN(COUNTIF(Labor!$C$59:$C$88,"&lt;="&amp;E18),MAXBED_MES,TOTAL_BEDS-B18-C18))</f>
        <v>10</v>
      </c>
      <c r="G18" s="21">
        <f>B18+C18+F18</f>
        <v>15</v>
      </c>
      <c r="H18" s="22">
        <f>IF(E18&lt;0,-999999999,B18*(PRICE_TOM-FERT_TOM)+C18*(PRICE_CAR-FERT_CAR)+F18*(PRICE_MES-FERT_MES)-(FARMER_SALARY+A18*TEMP_COST)-FIXED_COSTS)</f>
        <v>-43530</v>
      </c>
    </row>
    <row r="19">
      <c r="A19" s="5" t="n">
        <v>0</v>
      </c>
      <c r="B19" s="5" t="n">
        <v>0</v>
      </c>
      <c r="C19" s="5" t="n">
        <v>6</v>
      </c>
      <c r="D19" s="18">
        <f>SEASON_HRS_TOM*B19*(1+DIM_TOM)^B19+SEASON_HRS_CAR*C19*(1+DIM_CAR)^C19</f>
        <v>208.7448152783202</v>
      </c>
      <c r="E19" s="18">
        <f>(FARMER_FIELD_HRS+A19*TEMP_HRS)-D19</f>
        <v>511.2551847216798</v>
      </c>
      <c r="F19" s="21">
        <f>IF(E19&lt;0,0,MIN(COUNTIF(Labor!$C$59:$C$88,"&lt;="&amp;E19),MAXBED_MES,TOTAL_BEDS-B19-C19))</f>
        <v>10</v>
      </c>
      <c r="G19" s="21">
        <f>B19+C19+F19</f>
        <v>16</v>
      </c>
      <c r="H19" s="22">
        <f>IF(E19&lt;0,-999999999,B19*(PRICE_TOM-FERT_TOM)+C19*(PRICE_CAR-FERT_CAR)+F19*(PRICE_MES-FERT_MES)-(FARMER_SALARY+A19*TEMP_COST)-FIXED_COSTS)</f>
        <v>-41876</v>
      </c>
    </row>
    <row r="20">
      <c r="A20" s="5" t="n">
        <v>0</v>
      </c>
      <c r="B20" s="5" t="n">
        <v>0</v>
      </c>
      <c r="C20" s="5" t="n">
        <v>7</v>
      </c>
      <c r="D20" s="18">
        <f>SEASON_HRS_TOM*B20*(1+DIM_TOM)^B20+SEASON_HRS_CAR*C20*(1+DIM_CAR)^C20</f>
        <v>249.62400827032457</v>
      </c>
      <c r="E20" s="18">
        <f>(FARMER_FIELD_HRS+A20*TEMP_HRS)-D20</f>
        <v>470.37599172967543</v>
      </c>
      <c r="F20" s="21">
        <f>IF(E20&lt;0,0,MIN(COUNTIF(Labor!$C$59:$C$88,"&lt;="&amp;E20),MAXBED_MES,TOTAL_BEDS-B20-C20))</f>
        <v>9</v>
      </c>
      <c r="G20" s="21">
        <f>B20+C20+F20</f>
        <v>16</v>
      </c>
      <c r="H20" s="22">
        <f>IF(E20&lt;0,-999999999,B20*(PRICE_TOM-FERT_TOM)+C20*(PRICE_CAR-FERT_CAR)+F20*(PRICE_MES-FERT_MES)-(FARMER_SALARY+A20*TEMP_COST)-FIXED_COSTS)</f>
        <v>-42042</v>
      </c>
    </row>
    <row r="21">
      <c r="A21" s="5" t="n">
        <v>0</v>
      </c>
      <c r="B21" s="5" t="n">
        <v>0</v>
      </c>
      <c r="C21" s="5" t="n">
        <v>8</v>
      </c>
      <c r="D21" s="18">
        <f>SEASON_HRS_TOM*B21*(1+DIM_TOM)^B21+SEASON_HRS_CAR*C21*(1+DIM_CAR)^C21</f>
        <v>292.4166954023801</v>
      </c>
      <c r="E21" s="18">
        <f>(FARMER_FIELD_HRS+A21*TEMP_HRS)-D21</f>
        <v>427.5833045976199</v>
      </c>
      <c r="F21" s="21">
        <f>IF(E21&lt;0,0,MIN(COUNTIF(Labor!$C$59:$C$88,"&lt;="&amp;E21),MAXBED_MES,TOTAL_BEDS-B21-C21))</f>
        <v>8</v>
      </c>
      <c r="G21" s="21">
        <f>B21+C21+F21</f>
        <v>16</v>
      </c>
      <c r="H21" s="22">
        <f>IF(E21&lt;0,-999999999,B21*(PRICE_TOM-FERT_TOM)+C21*(PRICE_CAR-FERT_CAR)+F21*(PRICE_MES-FERT_MES)-(FARMER_SALARY+A21*TEMP_COST)-FIXED_COSTS)</f>
        <v>-42208</v>
      </c>
    </row>
    <row r="22">
      <c r="A22" s="5" t="n">
        <v>0</v>
      </c>
      <c r="B22" s="5" t="n">
        <v>0</v>
      </c>
      <c r="C22" s="5" t="n">
        <v>9</v>
      </c>
      <c r="D22" s="18">
        <f>SEASON_HRS_TOM*B22*(1+DIM_TOM)^B22+SEASON_HRS_CAR*C22*(1+DIM_CAR)^C22</f>
        <v>337.1930018858696</v>
      </c>
      <c r="E22" s="18">
        <f>(FARMER_FIELD_HRS+A22*TEMP_HRS)-D22</f>
        <v>382.8069981141304</v>
      </c>
      <c r="F22" s="21">
        <f>IF(E22&lt;0,0,MIN(COUNTIF(Labor!$C$59:$C$88,"&lt;="&amp;E22),MAXBED_MES,TOTAL_BEDS-B22-C22))</f>
        <v>7</v>
      </c>
      <c r="G22" s="21">
        <f>B22+C22+F22</f>
        <v>16</v>
      </c>
      <c r="H22" s="22">
        <f>IF(E22&lt;0,-999999999,B22*(PRICE_TOM-FERT_TOM)+C22*(PRICE_CAR-FERT_CAR)+F22*(PRICE_MES-FERT_MES)-(FARMER_SALARY+A22*TEMP_COST)-FIXED_COSTS)</f>
        <v>-42374</v>
      </c>
    </row>
    <row r="23">
      <c r="A23" s="5" t="n">
        <v>0</v>
      </c>
      <c r="B23" s="5" t="n">
        <v>0</v>
      </c>
      <c r="C23" s="5" t="n">
        <v>10</v>
      </c>
      <c r="D23" s="18">
        <f>SEASON_HRS_TOM*B23*(1+DIM_TOM)^B23+SEASON_HRS_CAR*C23*(1+DIM_CAR)^C23</f>
        <v>384.025363258907</v>
      </c>
      <c r="E23" s="18">
        <f>(FARMER_FIELD_HRS+A23*TEMP_HRS)-D23</f>
        <v>335.974636741093</v>
      </c>
      <c r="F23" s="21">
        <f>IF(E23&lt;0,0,MIN(COUNTIF(Labor!$C$59:$C$88,"&lt;="&amp;E23),MAXBED_MES,TOTAL_BEDS-B23-C23))</f>
        <v>6</v>
      </c>
      <c r="G23" s="21">
        <f>B23+C23+F23</f>
        <v>16</v>
      </c>
      <c r="H23" s="22">
        <f>IF(E23&lt;0,-999999999,B23*(PRICE_TOM-FERT_TOM)+C23*(PRICE_CAR-FERT_CAR)+F23*(PRICE_MES-FERT_MES)-(FARMER_SALARY+A23*TEMP_COST)-FIXED_COSTS)</f>
        <v>-42540</v>
      </c>
    </row>
    <row r="24">
      <c r="A24" s="5" t="n">
        <v>0</v>
      </c>
      <c r="B24" s="5" t="n">
        <v>0</v>
      </c>
      <c r="C24" s="5" t="n">
        <v>11</v>
      </c>
      <c r="D24" s="18">
        <f>SEASON_HRS_TOM*B24*(1+DIM_TOM)^B24+SEASON_HRS_CAR*C24*(1+DIM_CAR)^C24</f>
        <v>432.9885970744176</v>
      </c>
      <c r="E24" s="18">
        <f>(FARMER_FIELD_HRS+A24*TEMP_HRS)-D24</f>
        <v>287.0114029255824</v>
      </c>
      <c r="F24" s="21">
        <f>IF(E24&lt;0,0,MIN(COUNTIF(Labor!$C$59:$C$88,"&lt;="&amp;E24),MAXBED_MES,TOTAL_BEDS-B24-C24))</f>
        <v>5</v>
      </c>
      <c r="G24" s="21">
        <f>B24+C24+F24</f>
        <v>16</v>
      </c>
      <c r="H24" s="22">
        <f>IF(E24&lt;0,-999999999,B24*(PRICE_TOM-FERT_TOM)+C24*(PRICE_CAR-FERT_CAR)+F24*(PRICE_MES-FERT_MES)-(FARMER_SALARY+A24*TEMP_COST)-FIXED_COSTS)</f>
        <v>-42706</v>
      </c>
    </row>
    <row r="25">
      <c r="A25" s="5" t="n">
        <v>0</v>
      </c>
      <c r="B25" s="5" t="n">
        <v>0</v>
      </c>
      <c r="C25" s="5" t="n">
        <v>12</v>
      </c>
      <c r="D25" s="18">
        <f>SEASON_HRS_TOM*B25*(1+DIM_TOM)^B25+SEASON_HRS_CAR*C25*(1+DIM_CAR)^C25</f>
        <v>484.15997672866695</v>
      </c>
      <c r="E25" s="18">
        <f>(FARMER_FIELD_HRS+A25*TEMP_HRS)-D25</f>
        <v>235.84002327133305</v>
      </c>
      <c r="F25" s="21">
        <f>IF(E25&lt;0,0,MIN(COUNTIF(Labor!$C$59:$C$88,"&lt;="&amp;E25),MAXBED_MES,TOTAL_BEDS-B25-C25))</f>
        <v>4</v>
      </c>
      <c r="G25" s="21">
        <f>B25+C25+F25</f>
        <v>16</v>
      </c>
      <c r="H25" s="22">
        <f>IF(E25&lt;0,-999999999,B25*(PRICE_TOM-FERT_TOM)+C25*(PRICE_CAR-FERT_CAR)+F25*(PRICE_MES-FERT_MES)-(FARMER_SALARY+A25*TEMP_COST)-FIXED_COSTS)</f>
        <v>-42872</v>
      </c>
    </row>
    <row r="26">
      <c r="A26" s="5" t="n">
        <v>0</v>
      </c>
      <c r="B26" s="5" t="n">
        <v>0</v>
      </c>
      <c r="C26" s="5" t="n">
        <v>13</v>
      </c>
      <c r="D26" s="18">
        <f>SEASON_HRS_TOM*B26*(1+DIM_TOM)^B26+SEASON_HRS_CAR*C26*(1+DIM_CAR)^C26</f>
        <v>537.6193074924571</v>
      </c>
      <c r="E26" s="18">
        <f>(FARMER_FIELD_HRS+A26*TEMP_HRS)-D26</f>
        <v>182.3806925075429</v>
      </c>
      <c r="F26" s="21">
        <f>IF(E26&lt;0,0,MIN(COUNTIF(Labor!$C$59:$C$88,"&lt;="&amp;E26),MAXBED_MES,TOTAL_BEDS-B26-C26))</f>
        <v>3</v>
      </c>
      <c r="G26" s="21">
        <f>B26+C26+F26</f>
        <v>16</v>
      </c>
      <c r="H26" s="22">
        <f>IF(E26&lt;0,-999999999,B26*(PRICE_TOM-FERT_TOM)+C26*(PRICE_CAR-FERT_CAR)+F26*(PRICE_MES-FERT_MES)-(FARMER_SALARY+A26*TEMP_COST)-FIXED_COSTS)</f>
        <v>-43038</v>
      </c>
    </row>
    <row r="27">
      <c r="A27" s="5" t="n">
        <v>0</v>
      </c>
      <c r="B27" s="5" t="n">
        <v>0</v>
      </c>
      <c r="C27" s="5" t="n">
        <v>14</v>
      </c>
      <c r="D27" s="18">
        <f>SEASON_HRS_TOM*B27*(1+DIM_TOM)^B27+SEASON_HRS_CAR*C27*(1+DIM_CAR)^C27</f>
        <v>593.4490048089816</v>
      </c>
      <c r="E27" s="18">
        <f>(FARMER_FIELD_HRS+A27*TEMP_HRS)-D27</f>
        <v>126.55099519101839</v>
      </c>
      <c r="F27" s="21">
        <f>IF(E27&lt;0,0,MIN(COUNTIF(Labor!$C$59:$C$88,"&lt;="&amp;E27),MAXBED_MES,TOTAL_BEDS-B27-C27))</f>
        <v>2</v>
      </c>
      <c r="G27" s="21">
        <f>B27+C27+F27</f>
        <v>16</v>
      </c>
      <c r="H27" s="22">
        <f>IF(E27&lt;0,-999999999,B27*(PRICE_TOM-FERT_TOM)+C27*(PRICE_CAR-FERT_CAR)+F27*(PRICE_MES-FERT_MES)-(FARMER_SALARY+A27*TEMP_COST)-FIXED_COSTS)</f>
        <v>-43204</v>
      </c>
    </row>
    <row r="28">
      <c r="A28" s="5" t="n">
        <v>0</v>
      </c>
      <c r="B28" s="5" t="n">
        <v>0</v>
      </c>
      <c r="C28" s="5" t="n">
        <v>15</v>
      </c>
      <c r="D28" s="18">
        <f>SEASON_HRS_TOM*B28*(1+DIM_TOM)^B28+SEASON_HRS_CAR*C28*(1+DIM_CAR)^C28</f>
        <v>651.7341749241493</v>
      </c>
      <c r="E28" s="18">
        <f>(FARMER_FIELD_HRS+A28*TEMP_HRS)-D28</f>
        <v>68.26582507585067</v>
      </c>
      <c r="F28" s="21">
        <f>IF(E28&lt;0,0,MIN(COUNTIF(Labor!$C$59:$C$88,"&lt;="&amp;E28),MAXBED_MES,TOTAL_BEDS-B28-C28))</f>
        <v>1</v>
      </c>
      <c r="G28" s="21">
        <f>B28+C28+F28</f>
        <v>16</v>
      </c>
      <c r="H28" s="22">
        <f>IF(E28&lt;0,-999999999,B28*(PRICE_TOM-FERT_TOM)+C28*(PRICE_CAR-FERT_CAR)+F28*(PRICE_MES-FERT_MES)-(FARMER_SALARY+A28*TEMP_COST)-FIXED_COSTS)</f>
        <v>-43370</v>
      </c>
    </row>
    <row r="29">
      <c r="A29" s="5" t="n">
        <v>0</v>
      </c>
      <c r="B29" s="5" t="n">
        <v>0</v>
      </c>
      <c r="C29" s="5" t="n">
        <v>16</v>
      </c>
      <c r="D29" s="18">
        <f>SEASON_HRS_TOM*B29*(1+DIM_TOM)^B29+SEASON_HRS_CAR*C29*(1+DIM_CAR)^C29</f>
        <v>712.5626979170698</v>
      </c>
      <c r="E29" s="18">
        <f>(FARMER_FIELD_HRS+A29*TEMP_HRS)-D29</f>
        <v>7.4373020829301595</v>
      </c>
      <c r="F29" s="21">
        <f>IF(E29&lt;0,0,MIN(COUNTIF(Labor!$C$59:$C$88,"&lt;="&amp;E29),MAXBED_MES,TOTAL_BEDS-B29-C29))</f>
        <v>0</v>
      </c>
      <c r="G29" s="21">
        <f>B29+C29+F29</f>
        <v>16</v>
      </c>
      <c r="H29" s="22">
        <f>IF(E29&lt;0,-999999999,B29*(PRICE_TOM-FERT_TOM)+C29*(PRICE_CAR-FERT_CAR)+F29*(PRICE_MES-FERT_MES)-(FARMER_SALARY+A29*TEMP_COST)-FIXED_COSTS)</f>
        <v>-43536</v>
      </c>
    </row>
    <row r="30">
      <c r="A30" s="5" t="n">
        <v>0</v>
      </c>
      <c r="B30" s="5" t="n">
        <v>0</v>
      </c>
      <c r="C30" s="5" t="n">
        <v>17</v>
      </c>
      <c r="D30" s="18">
        <f>SEASON_HRS_TOM*B30*(1+DIM_TOM)^B30+SEASON_HRS_CAR*C30*(1+DIM_CAR)^C30</f>
        <v>776.0253132003088</v>
      </c>
      <c r="E30" s="18">
        <f>(FARMER_FIELD_HRS+A30*TEMP_HRS)-D30</f>
        <v>-56.0253132003088</v>
      </c>
      <c r="F30" s="21">
        <f>IF(E30&lt;0,0,MIN(COUNTIF(Labor!$C$59:$C$88,"&lt;="&amp;E30),MAXBED_MES,TOTAL_BEDS-B30-C30))</f>
        <v>0</v>
      </c>
      <c r="G30" s="21">
        <f>B30+C30+F30</f>
        <v>17</v>
      </c>
      <c r="H30" s="22">
        <f>IF(E30&lt;0,-999999999,B30*(PRICE_TOM-FERT_TOM)+C30*(PRICE_CAR-FERT_CAR)+F30*(PRICE_MES-FERT_MES)-(FARMER_SALARY+A30*TEMP_COST)-FIXED_COSTS)</f>
        <v>-999999999</v>
      </c>
    </row>
    <row r="31">
      <c r="A31" s="5" t="n">
        <v>0</v>
      </c>
      <c r="B31" s="5" t="n">
        <v>0</v>
      </c>
      <c r="C31" s="5" t="n">
        <v>18</v>
      </c>
      <c r="D31" s="18">
        <f>SEASON_HRS_TOM*B31*(1+DIM_TOM)^B31+SEASON_HRS_CAR*C31*(1+DIM_CAR)^C31</f>
        <v>842.2157075615115</v>
      </c>
      <c r="E31" s="18">
        <f>(FARMER_FIELD_HRS+A31*TEMP_HRS)-D31</f>
        <v>-122.21570756151152</v>
      </c>
      <c r="F31" s="21">
        <f>IF(E31&lt;0,0,MIN(COUNTIF(Labor!$C$59:$C$88,"&lt;="&amp;E31),MAXBED_MES,TOTAL_BEDS-B31-C31))</f>
        <v>0</v>
      </c>
      <c r="G31" s="21">
        <f>B31+C31+F31</f>
        <v>18</v>
      </c>
      <c r="H31" s="22">
        <f>IF(E31&lt;0,-999999999,B31*(PRICE_TOM-FERT_TOM)+C31*(PRICE_CAR-FERT_CAR)+F31*(PRICE_MES-FERT_MES)-(FARMER_SALARY+A31*TEMP_COST)-FIXED_COSTS)</f>
        <v>-999999999</v>
      </c>
    </row>
    <row r="32">
      <c r="A32" s="5" t="n">
        <v>0</v>
      </c>
      <c r="B32" s="5" t="n">
        <v>0</v>
      </c>
      <c r="C32" s="5" t="n">
        <v>19</v>
      </c>
      <c r="D32" s="18">
        <f>SEASON_HRS_TOM*B32*(1+DIM_TOM)^B32+SEASON_HRS_CAR*C32*(1+DIM_CAR)^C32</f>
        <v>911.2306058200242</v>
      </c>
      <c r="E32" s="18">
        <f>(FARMER_FIELD_HRS+A32*TEMP_HRS)-D32</f>
        <v>-191.23060582002415</v>
      </c>
      <c r="F32" s="21">
        <f>IF(E32&lt;0,0,MIN(COUNTIF(Labor!$C$59:$C$88,"&lt;="&amp;E32),MAXBED_MES,TOTAL_BEDS-B32-C32))</f>
        <v>0</v>
      </c>
      <c r="G32" s="21">
        <f>B32+C32+F32</f>
        <v>19</v>
      </c>
      <c r="H32" s="22">
        <f>IF(E32&lt;0,-999999999,B32*(PRICE_TOM-FERT_TOM)+C32*(PRICE_CAR-FERT_CAR)+F32*(PRICE_MES-FERT_MES)-(FARMER_SALARY+A32*TEMP_COST)-FIXED_COSTS)</f>
        <v>-999999999</v>
      </c>
    </row>
    <row r="33">
      <c r="A33" s="5" t="n">
        <v>0</v>
      </c>
      <c r="B33" s="5" t="n">
        <v>0</v>
      </c>
      <c r="C33" s="5" t="n">
        <v>20</v>
      </c>
      <c r="D33" s="18">
        <f>SEASON_HRS_TOM*B33*(1+DIM_TOM)^B33+SEASON_HRS_CAR*C33*(1+DIM_CAR)^C33</f>
        <v>983.1698641742365</v>
      </c>
      <c r="E33" s="18">
        <f>(FARMER_FIELD_HRS+A33*TEMP_HRS)-D33</f>
        <v>-263.1698641742365</v>
      </c>
      <c r="F33" s="21">
        <f>IF(E33&lt;0,0,MIN(COUNTIF(Labor!$C$59:$C$88,"&lt;="&amp;E33),MAXBED_MES,TOTAL_BEDS-B33-C33))</f>
        <v>0</v>
      </c>
      <c r="G33" s="21">
        <f>B33+C33+F33</f>
        <v>20</v>
      </c>
      <c r="H33" s="22">
        <f>IF(E33&lt;0,-999999999,B33*(PRICE_TOM-FERT_TOM)+C33*(PRICE_CAR-FERT_CAR)+F33*(PRICE_MES-FERT_MES)-(FARMER_SALARY+A33*TEMP_COST)-FIXED_COSTS)</f>
        <v>-999999999</v>
      </c>
    </row>
    <row r="34">
      <c r="A34" s="5" t="n">
        <v>0</v>
      </c>
      <c r="B34" s="5" t="n">
        <v>1</v>
      </c>
      <c r="C34" s="5" t="n">
        <v>0</v>
      </c>
      <c r="D34" s="18">
        <f>SEASON_HRS_TOM*B34*(1+DIM_TOM)^B34+SEASON_HRS_CAR*C34*(1+DIM_CAR)^C34</f>
        <v>99.00000000000001</v>
      </c>
      <c r="E34" s="18">
        <f>(FARMER_FIELD_HRS+A34*TEMP_HRS)-D34</f>
        <v>621</v>
      </c>
      <c r="F34" s="21">
        <f>IF(E34&lt;0,0,MIN(COUNTIF(Labor!$C$59:$C$88,"&lt;="&amp;E34),MAXBED_MES,TOTAL_BEDS-B34-C34))</f>
        <v>11</v>
      </c>
      <c r="G34" s="21">
        <f>B34+C34+F34</f>
        <v>12</v>
      </c>
      <c r="H34" s="22">
        <f>IF(E34&lt;0,-999999999,B34*(PRICE_TOM-FERT_TOM)+C34*(PRICE_CAR-FERT_CAR)+F34*(PRICE_MES-FERT_MES)-(FARMER_SALARY+A34*TEMP_COST)-FIXED_COSTS)</f>
        <v>-42060</v>
      </c>
    </row>
    <row r="35">
      <c r="A35" s="5" t="n">
        <v>0</v>
      </c>
      <c r="B35" s="5" t="n">
        <v>1</v>
      </c>
      <c r="C35" s="5" t="n">
        <v>1</v>
      </c>
      <c r="D35" s="18">
        <f>SEASON_HRS_TOM*B35*(1+DIM_TOM)^B35+SEASON_HRS_CAR*C35*(1+DIM_CAR)^C35</f>
        <v>129.75</v>
      </c>
      <c r="E35" s="18">
        <f>(FARMER_FIELD_HRS+A35*TEMP_HRS)-D35</f>
        <v>590.25</v>
      </c>
      <c r="F35" s="21">
        <f>IF(E35&lt;0,0,MIN(COUNTIF(Labor!$C$59:$C$88,"&lt;="&amp;E35),MAXBED_MES,TOTAL_BEDS-B35-C35))</f>
        <v>11</v>
      </c>
      <c r="G35" s="21">
        <f>B35+C35+F35</f>
        <v>13</v>
      </c>
      <c r="H35" s="22">
        <f>IF(E35&lt;0,-999999999,B35*(PRICE_TOM-FERT_TOM)+C35*(PRICE_CAR-FERT_CAR)+F35*(PRICE_MES-FERT_MES)-(FARMER_SALARY+A35*TEMP_COST)-FIXED_COSTS)</f>
        <v>-40406</v>
      </c>
    </row>
    <row r="36">
      <c r="A36" s="5" t="n">
        <v>0</v>
      </c>
      <c r="B36" s="5" t="n">
        <v>1</v>
      </c>
      <c r="C36" s="5" t="n">
        <v>2</v>
      </c>
      <c r="D36" s="18">
        <f>SEASON_HRS_TOM*B36*(1+DIM_TOM)^B36+SEASON_HRS_CAR*C36*(1+DIM_CAR)^C36</f>
        <v>162.03750000000002</v>
      </c>
      <c r="E36" s="18">
        <f>(FARMER_FIELD_HRS+A36*TEMP_HRS)-D36</f>
        <v>557.9625</v>
      </c>
      <c r="F36" s="21">
        <f>IF(E36&lt;0,0,MIN(COUNTIF(Labor!$C$59:$C$88,"&lt;="&amp;E36),MAXBED_MES,TOTAL_BEDS-B36-C36))</f>
        <v>10</v>
      </c>
      <c r="G36" s="21">
        <f>B36+C36+F36</f>
        <v>13</v>
      </c>
      <c r="H36" s="22">
        <f>IF(E36&lt;0,-999999999,B36*(PRICE_TOM-FERT_TOM)+C36*(PRICE_CAR-FERT_CAR)+F36*(PRICE_MES-FERT_MES)-(FARMER_SALARY+A36*TEMP_COST)-FIXED_COSTS)</f>
        <v>-40572</v>
      </c>
    </row>
    <row r="37">
      <c r="A37" s="5" t="n">
        <v>0</v>
      </c>
      <c r="B37" s="5" t="n">
        <v>1</v>
      </c>
      <c r="C37" s="5" t="n">
        <v>3</v>
      </c>
      <c r="D37" s="18">
        <f>SEASON_HRS_TOM*B37*(1+DIM_TOM)^B37+SEASON_HRS_CAR*C37*(1+DIM_CAR)^C37</f>
        <v>195.92015625</v>
      </c>
      <c r="E37" s="18">
        <f>(FARMER_FIELD_HRS+A37*TEMP_HRS)-D37</f>
        <v>524.07984375</v>
      </c>
      <c r="F37" s="21">
        <f>IF(E37&lt;0,0,MIN(COUNTIF(Labor!$C$59:$C$88,"&lt;="&amp;E37),MAXBED_MES,TOTAL_BEDS-B37-C37))</f>
        <v>10</v>
      </c>
      <c r="G37" s="21">
        <f>B37+C37+F37</f>
        <v>14</v>
      </c>
      <c r="H37" s="22">
        <f>IF(E37&lt;0,-999999999,B37*(PRICE_TOM-FERT_TOM)+C37*(PRICE_CAR-FERT_CAR)+F37*(PRICE_MES-FERT_MES)-(FARMER_SALARY+A37*TEMP_COST)-FIXED_COSTS)</f>
        <v>-38918</v>
      </c>
    </row>
    <row r="38">
      <c r="A38" s="5" t="n">
        <v>0</v>
      </c>
      <c r="B38" s="5" t="n">
        <v>1</v>
      </c>
      <c r="C38" s="5" t="n">
        <v>4</v>
      </c>
      <c r="D38" s="18">
        <f>SEASON_HRS_TOM*B38*(1+DIM_TOM)^B38+SEASON_HRS_CAR*C38*(1+DIM_CAR)^C38</f>
        <v>231.45754687499993</v>
      </c>
      <c r="E38" s="18">
        <f>(FARMER_FIELD_HRS+A38*TEMP_HRS)-D38</f>
        <v>488.54245312500007</v>
      </c>
      <c r="F38" s="21">
        <f>IF(E38&lt;0,0,MIN(COUNTIF(Labor!$C$59:$C$88,"&lt;="&amp;E38),MAXBED_MES,TOTAL_BEDS-B38-C38))</f>
        <v>9</v>
      </c>
      <c r="G38" s="21">
        <f>B38+C38+F38</f>
        <v>14</v>
      </c>
      <c r="H38" s="22">
        <f>IF(E38&lt;0,-999999999,B38*(PRICE_TOM-FERT_TOM)+C38*(PRICE_CAR-FERT_CAR)+F38*(PRICE_MES-FERT_MES)-(FARMER_SALARY+A38*TEMP_COST)-FIXED_COSTS)</f>
        <v>-39084</v>
      </c>
    </row>
    <row r="39">
      <c r="A39" s="5" t="n">
        <v>0</v>
      </c>
      <c r="B39" s="5" t="n">
        <v>1</v>
      </c>
      <c r="C39" s="5" t="n">
        <v>5</v>
      </c>
      <c r="D39" s="18">
        <f>SEASON_HRS_TOM*B39*(1+DIM_TOM)^B39+SEASON_HRS_CAR*C39*(1+DIM_CAR)^C39</f>
        <v>268.7112319335937</v>
      </c>
      <c r="E39" s="18">
        <f>(FARMER_FIELD_HRS+A39*TEMP_HRS)-D39</f>
        <v>451.2887680664063</v>
      </c>
      <c r="F39" s="21">
        <f>IF(E39&lt;0,0,MIN(COUNTIF(Labor!$C$59:$C$88,"&lt;="&amp;E39),MAXBED_MES,TOTAL_BEDS-B39-C39))</f>
        <v>8</v>
      </c>
      <c r="G39" s="21">
        <f>B39+C39+F39</f>
        <v>14</v>
      </c>
      <c r="H39" s="22">
        <f>IF(E39&lt;0,-999999999,B39*(PRICE_TOM-FERT_TOM)+C39*(PRICE_CAR-FERT_CAR)+F39*(PRICE_MES-FERT_MES)-(FARMER_SALARY+A39*TEMP_COST)-FIXED_COSTS)</f>
        <v>-39250</v>
      </c>
    </row>
    <row r="40">
      <c r="A40" s="5" t="n">
        <v>0</v>
      </c>
      <c r="B40" s="5" t="n">
        <v>1</v>
      </c>
      <c r="C40" s="5" t="n">
        <v>6</v>
      </c>
      <c r="D40" s="18">
        <f>SEASON_HRS_TOM*B40*(1+DIM_TOM)^B40+SEASON_HRS_CAR*C40*(1+DIM_CAR)^C40</f>
        <v>307.74481527832023</v>
      </c>
      <c r="E40" s="18">
        <f>(FARMER_FIELD_HRS+A40*TEMP_HRS)-D40</f>
        <v>412.25518472167977</v>
      </c>
      <c r="F40" s="21">
        <f>IF(E40&lt;0,0,MIN(COUNTIF(Labor!$C$59:$C$88,"&lt;="&amp;E40),MAXBED_MES,TOTAL_BEDS-B40-C40))</f>
        <v>8</v>
      </c>
      <c r="G40" s="21">
        <f>B40+C40+F40</f>
        <v>15</v>
      </c>
      <c r="H40" s="22">
        <f>IF(E40&lt;0,-999999999,B40*(PRICE_TOM-FERT_TOM)+C40*(PRICE_CAR-FERT_CAR)+F40*(PRICE_MES-FERT_MES)-(FARMER_SALARY+A40*TEMP_COST)-FIXED_COSTS)</f>
        <v>-37596</v>
      </c>
    </row>
    <row r="41">
      <c r="A41" s="5" t="n">
        <v>0</v>
      </c>
      <c r="B41" s="5" t="n">
        <v>1</v>
      </c>
      <c r="C41" s="5" t="n">
        <v>7</v>
      </c>
      <c r="D41" s="18">
        <f>SEASON_HRS_TOM*B41*(1+DIM_TOM)^B41+SEASON_HRS_CAR*C41*(1+DIM_CAR)^C41</f>
        <v>348.62400827032457</v>
      </c>
      <c r="E41" s="18">
        <f>(FARMER_FIELD_HRS+A41*TEMP_HRS)-D41</f>
        <v>371.37599172967543</v>
      </c>
      <c r="F41" s="21">
        <f>IF(E41&lt;0,0,MIN(COUNTIF(Labor!$C$59:$C$88,"&lt;="&amp;E41),MAXBED_MES,TOTAL_BEDS-B41-C41))</f>
        <v>7</v>
      </c>
      <c r="G41" s="21">
        <f>B41+C41+F41</f>
        <v>15</v>
      </c>
      <c r="H41" s="22">
        <f>IF(E41&lt;0,-999999999,B41*(PRICE_TOM-FERT_TOM)+C41*(PRICE_CAR-FERT_CAR)+F41*(PRICE_MES-FERT_MES)-(FARMER_SALARY+A41*TEMP_COST)-FIXED_COSTS)</f>
        <v>-37762</v>
      </c>
    </row>
    <row r="42">
      <c r="A42" s="5" t="n">
        <v>0</v>
      </c>
      <c r="B42" s="5" t="n">
        <v>1</v>
      </c>
      <c r="C42" s="5" t="n">
        <v>8</v>
      </c>
      <c r="D42" s="18">
        <f>SEASON_HRS_TOM*B42*(1+DIM_TOM)^B42+SEASON_HRS_CAR*C42*(1+DIM_CAR)^C42</f>
        <v>391.4166954023801</v>
      </c>
      <c r="E42" s="18">
        <f>(FARMER_FIELD_HRS+A42*TEMP_HRS)-D42</f>
        <v>328.5833045976199</v>
      </c>
      <c r="F42" s="21">
        <f>IF(E42&lt;0,0,MIN(COUNTIF(Labor!$C$59:$C$88,"&lt;="&amp;E42),MAXBED_MES,TOTAL_BEDS-B42-C42))</f>
        <v>6</v>
      </c>
      <c r="G42" s="21">
        <f>B42+C42+F42</f>
        <v>15</v>
      </c>
      <c r="H42" s="22">
        <f>IF(E42&lt;0,-999999999,B42*(PRICE_TOM-FERT_TOM)+C42*(PRICE_CAR-FERT_CAR)+F42*(PRICE_MES-FERT_MES)-(FARMER_SALARY+A42*TEMP_COST)-FIXED_COSTS)</f>
        <v>-37928</v>
      </c>
    </row>
    <row r="43">
      <c r="A43" s="5" t="n">
        <v>0</v>
      </c>
      <c r="B43" s="5" t="n">
        <v>1</v>
      </c>
      <c r="C43" s="5" t="n">
        <v>9</v>
      </c>
      <c r="D43" s="18">
        <f>SEASON_HRS_TOM*B43*(1+DIM_TOM)^B43+SEASON_HRS_CAR*C43*(1+DIM_CAR)^C43</f>
        <v>436.1930018858696</v>
      </c>
      <c r="E43" s="18">
        <f>(FARMER_FIELD_HRS+A43*TEMP_HRS)-D43</f>
        <v>283.8069981141304</v>
      </c>
      <c r="F43" s="21">
        <f>IF(E43&lt;0,0,MIN(COUNTIF(Labor!$C$59:$C$88,"&lt;="&amp;E43),MAXBED_MES,TOTAL_BEDS-B43-C43))</f>
        <v>5</v>
      </c>
      <c r="G43" s="21">
        <f>B43+C43+F43</f>
        <v>15</v>
      </c>
      <c r="H43" s="22">
        <f>IF(E43&lt;0,-999999999,B43*(PRICE_TOM-FERT_TOM)+C43*(PRICE_CAR-FERT_CAR)+F43*(PRICE_MES-FERT_MES)-(FARMER_SALARY+A43*TEMP_COST)-FIXED_COSTS)</f>
        <v>-38094</v>
      </c>
    </row>
    <row r="44">
      <c r="A44" s="5" t="n">
        <v>0</v>
      </c>
      <c r="B44" s="5" t="n">
        <v>1</v>
      </c>
      <c r="C44" s="5" t="n">
        <v>10</v>
      </c>
      <c r="D44" s="18">
        <f>SEASON_HRS_TOM*B44*(1+DIM_TOM)^B44+SEASON_HRS_CAR*C44*(1+DIM_CAR)^C44</f>
        <v>483.025363258907</v>
      </c>
      <c r="E44" s="18">
        <f>(FARMER_FIELD_HRS+A44*TEMP_HRS)-D44</f>
        <v>236.97463674109298</v>
      </c>
      <c r="F44" s="21">
        <f>IF(E44&lt;0,0,MIN(COUNTIF(Labor!$C$59:$C$88,"&lt;="&amp;E44),MAXBED_MES,TOTAL_BEDS-B44-C44))</f>
        <v>4</v>
      </c>
      <c r="G44" s="21">
        <f>B44+C44+F44</f>
        <v>15</v>
      </c>
      <c r="H44" s="22">
        <f>IF(E44&lt;0,-999999999,B44*(PRICE_TOM-FERT_TOM)+C44*(PRICE_CAR-FERT_CAR)+F44*(PRICE_MES-FERT_MES)-(FARMER_SALARY+A44*TEMP_COST)-FIXED_COSTS)</f>
        <v>-38260</v>
      </c>
    </row>
    <row r="45">
      <c r="A45" s="5" t="n">
        <v>0</v>
      </c>
      <c r="B45" s="5" t="n">
        <v>1</v>
      </c>
      <c r="C45" s="5" t="n">
        <v>11</v>
      </c>
      <c r="D45" s="18">
        <f>SEASON_HRS_TOM*B45*(1+DIM_TOM)^B45+SEASON_HRS_CAR*C45*(1+DIM_CAR)^C45</f>
        <v>531.9885970744176</v>
      </c>
      <c r="E45" s="18">
        <f>(FARMER_FIELD_HRS+A45*TEMP_HRS)-D45</f>
        <v>188.0114029255824</v>
      </c>
      <c r="F45" s="21">
        <f>IF(E45&lt;0,0,MIN(COUNTIF(Labor!$C$59:$C$88,"&lt;="&amp;E45),MAXBED_MES,TOTAL_BEDS-B45-C45))</f>
        <v>3</v>
      </c>
      <c r="G45" s="21">
        <f>B45+C45+F45</f>
        <v>15</v>
      </c>
      <c r="H45" s="22">
        <f>IF(E45&lt;0,-999999999,B45*(PRICE_TOM-FERT_TOM)+C45*(PRICE_CAR-FERT_CAR)+F45*(PRICE_MES-FERT_MES)-(FARMER_SALARY+A45*TEMP_COST)-FIXED_COSTS)</f>
        <v>-38426</v>
      </c>
    </row>
    <row r="46">
      <c r="A46" s="5" t="n">
        <v>0</v>
      </c>
      <c r="B46" s="5" t="n">
        <v>1</v>
      </c>
      <c r="C46" s="5" t="n">
        <v>12</v>
      </c>
      <c r="D46" s="18">
        <f>SEASON_HRS_TOM*B46*(1+DIM_TOM)^B46+SEASON_HRS_CAR*C46*(1+DIM_CAR)^C46</f>
        <v>583.159976728667</v>
      </c>
      <c r="E46" s="18">
        <f>(FARMER_FIELD_HRS+A46*TEMP_HRS)-D46</f>
        <v>136.84002327133305</v>
      </c>
      <c r="F46" s="21">
        <f>IF(E46&lt;0,0,MIN(COUNTIF(Labor!$C$59:$C$88,"&lt;="&amp;E46),MAXBED_MES,TOTAL_BEDS-B46-C46))</f>
        <v>2</v>
      </c>
      <c r="G46" s="21">
        <f>B46+C46+F46</f>
        <v>15</v>
      </c>
      <c r="H46" s="22">
        <f>IF(E46&lt;0,-999999999,B46*(PRICE_TOM-FERT_TOM)+C46*(PRICE_CAR-FERT_CAR)+F46*(PRICE_MES-FERT_MES)-(FARMER_SALARY+A46*TEMP_COST)-FIXED_COSTS)</f>
        <v>-38592</v>
      </c>
    </row>
    <row r="47">
      <c r="A47" s="5" t="n">
        <v>0</v>
      </c>
      <c r="B47" s="5" t="n">
        <v>1</v>
      </c>
      <c r="C47" s="5" t="n">
        <v>13</v>
      </c>
      <c r="D47" s="18">
        <f>SEASON_HRS_TOM*B47*(1+DIM_TOM)^B47+SEASON_HRS_CAR*C47*(1+DIM_CAR)^C47</f>
        <v>636.6193074924571</v>
      </c>
      <c r="E47" s="18">
        <f>(FARMER_FIELD_HRS+A47*TEMP_HRS)-D47</f>
        <v>83.3806925075429</v>
      </c>
      <c r="F47" s="21">
        <f>IF(E47&lt;0,0,MIN(COUNTIF(Labor!$C$59:$C$88,"&lt;="&amp;E47),MAXBED_MES,TOTAL_BEDS-B47-C47))</f>
        <v>1</v>
      </c>
      <c r="G47" s="21">
        <f>B47+C47+F47</f>
        <v>15</v>
      </c>
      <c r="H47" s="22">
        <f>IF(E47&lt;0,-999999999,B47*(PRICE_TOM-FERT_TOM)+C47*(PRICE_CAR-FERT_CAR)+F47*(PRICE_MES-FERT_MES)-(FARMER_SALARY+A47*TEMP_COST)-FIXED_COSTS)</f>
        <v>-38758</v>
      </c>
    </row>
    <row r="48">
      <c r="A48" s="5" t="n">
        <v>0</v>
      </c>
      <c r="B48" s="5" t="n">
        <v>1</v>
      </c>
      <c r="C48" s="5" t="n">
        <v>14</v>
      </c>
      <c r="D48" s="18">
        <f>SEASON_HRS_TOM*B48*(1+DIM_TOM)^B48+SEASON_HRS_CAR*C48*(1+DIM_CAR)^C48</f>
        <v>692.4490048089816</v>
      </c>
      <c r="E48" s="18">
        <f>(FARMER_FIELD_HRS+A48*TEMP_HRS)-D48</f>
        <v>27.550995191018387</v>
      </c>
      <c r="F48" s="21">
        <f>IF(E48&lt;0,0,MIN(COUNTIF(Labor!$C$59:$C$88,"&lt;="&amp;E48),MAXBED_MES,TOTAL_BEDS-B48-C48))</f>
        <v>0</v>
      </c>
      <c r="G48" s="21">
        <f>B48+C48+F48</f>
        <v>15</v>
      </c>
      <c r="H48" s="22">
        <f>IF(E48&lt;0,-999999999,B48*(PRICE_TOM-FERT_TOM)+C48*(PRICE_CAR-FERT_CAR)+F48*(PRICE_MES-FERT_MES)-(FARMER_SALARY+A48*TEMP_COST)-FIXED_COSTS)</f>
        <v>-38924</v>
      </c>
    </row>
    <row r="49">
      <c r="A49" s="5" t="n">
        <v>0</v>
      </c>
      <c r="B49" s="5" t="n">
        <v>1</v>
      </c>
      <c r="C49" s="5" t="n">
        <v>15</v>
      </c>
      <c r="D49" s="18">
        <f>SEASON_HRS_TOM*B49*(1+DIM_TOM)^B49+SEASON_HRS_CAR*C49*(1+DIM_CAR)^C49</f>
        <v>750.7341749241493</v>
      </c>
      <c r="E49" s="18">
        <f>(FARMER_FIELD_HRS+A49*TEMP_HRS)-D49</f>
        <v>-30.73417492414933</v>
      </c>
      <c r="F49" s="21">
        <f>IF(E49&lt;0,0,MIN(COUNTIF(Labor!$C$59:$C$88,"&lt;="&amp;E49),MAXBED_MES,TOTAL_BEDS-B49-C49))</f>
        <v>0</v>
      </c>
      <c r="G49" s="21">
        <f>B49+C49+F49</f>
        <v>16</v>
      </c>
      <c r="H49" s="22">
        <f>IF(E49&lt;0,-999999999,B49*(PRICE_TOM-FERT_TOM)+C49*(PRICE_CAR-FERT_CAR)+F49*(PRICE_MES-FERT_MES)-(FARMER_SALARY+A49*TEMP_COST)-FIXED_COSTS)</f>
        <v>-999999999</v>
      </c>
    </row>
    <row r="50">
      <c r="A50" s="5" t="n">
        <v>0</v>
      </c>
      <c r="B50" s="5" t="n">
        <v>1</v>
      </c>
      <c r="C50" s="5" t="n">
        <v>16</v>
      </c>
      <c r="D50" s="18">
        <f>SEASON_HRS_TOM*B50*(1+DIM_TOM)^B50+SEASON_HRS_CAR*C50*(1+DIM_CAR)^C50</f>
        <v>811.5626979170698</v>
      </c>
      <c r="E50" s="18">
        <f>(FARMER_FIELD_HRS+A50*TEMP_HRS)-D50</f>
        <v>-91.56269791706984</v>
      </c>
      <c r="F50" s="21">
        <f>IF(E50&lt;0,0,MIN(COUNTIF(Labor!$C$59:$C$88,"&lt;="&amp;E50),MAXBED_MES,TOTAL_BEDS-B50-C50))</f>
        <v>0</v>
      </c>
      <c r="G50" s="21">
        <f>B50+C50+F50</f>
        <v>17</v>
      </c>
      <c r="H50" s="22">
        <f>IF(E50&lt;0,-999999999,B50*(PRICE_TOM-FERT_TOM)+C50*(PRICE_CAR-FERT_CAR)+F50*(PRICE_MES-FERT_MES)-(FARMER_SALARY+A50*TEMP_COST)-FIXED_COSTS)</f>
        <v>-999999999</v>
      </c>
    </row>
    <row r="51">
      <c r="A51" s="5" t="n">
        <v>0</v>
      </c>
      <c r="B51" s="5" t="n">
        <v>1</v>
      </c>
      <c r="C51" s="5" t="n">
        <v>17</v>
      </c>
      <c r="D51" s="18">
        <f>SEASON_HRS_TOM*B51*(1+DIM_TOM)^B51+SEASON_HRS_CAR*C51*(1+DIM_CAR)^C51</f>
        <v>875.0253132003088</v>
      </c>
      <c r="E51" s="18">
        <f>(FARMER_FIELD_HRS+A51*TEMP_HRS)-D51</f>
        <v>-155.0253132003088</v>
      </c>
      <c r="F51" s="21">
        <f>IF(E51&lt;0,0,MIN(COUNTIF(Labor!$C$59:$C$88,"&lt;="&amp;E51),MAXBED_MES,TOTAL_BEDS-B51-C51))</f>
        <v>0</v>
      </c>
      <c r="G51" s="21">
        <f>B51+C51+F51</f>
        <v>18</v>
      </c>
      <c r="H51" s="22">
        <f>IF(E51&lt;0,-999999999,B51*(PRICE_TOM-FERT_TOM)+C51*(PRICE_CAR-FERT_CAR)+F51*(PRICE_MES-FERT_MES)-(FARMER_SALARY+A51*TEMP_COST)-FIXED_COSTS)</f>
        <v>-999999999</v>
      </c>
    </row>
    <row r="52">
      <c r="A52" s="5" t="n">
        <v>0</v>
      </c>
      <c r="B52" s="5" t="n">
        <v>1</v>
      </c>
      <c r="C52" s="5" t="n">
        <v>18</v>
      </c>
      <c r="D52" s="18">
        <f>SEASON_HRS_TOM*B52*(1+DIM_TOM)^B52+SEASON_HRS_CAR*C52*(1+DIM_CAR)^C52</f>
        <v>941.2157075615115</v>
      </c>
      <c r="E52" s="18">
        <f>(FARMER_FIELD_HRS+A52*TEMP_HRS)-D52</f>
        <v>-221.21570756151152</v>
      </c>
      <c r="F52" s="21">
        <f>IF(E52&lt;0,0,MIN(COUNTIF(Labor!$C$59:$C$88,"&lt;="&amp;E52),MAXBED_MES,TOTAL_BEDS-B52-C52))</f>
        <v>0</v>
      </c>
      <c r="G52" s="21">
        <f>B52+C52+F52</f>
        <v>19</v>
      </c>
      <c r="H52" s="22">
        <f>IF(E52&lt;0,-999999999,B52*(PRICE_TOM-FERT_TOM)+C52*(PRICE_CAR-FERT_CAR)+F52*(PRICE_MES-FERT_MES)-(FARMER_SALARY+A52*TEMP_COST)-FIXED_COSTS)</f>
        <v>-999999999</v>
      </c>
    </row>
    <row r="53">
      <c r="A53" s="5" t="n">
        <v>0</v>
      </c>
      <c r="B53" s="5" t="n">
        <v>1</v>
      </c>
      <c r="C53" s="5" t="n">
        <v>19</v>
      </c>
      <c r="D53" s="18">
        <f>SEASON_HRS_TOM*B53*(1+DIM_TOM)^B53+SEASON_HRS_CAR*C53*(1+DIM_CAR)^C53</f>
        <v>1010.2306058200242</v>
      </c>
      <c r="E53" s="18">
        <f>(FARMER_FIELD_HRS+A53*TEMP_HRS)-D53</f>
        <v>-290.23060582002415</v>
      </c>
      <c r="F53" s="21">
        <f>IF(E53&lt;0,0,MIN(COUNTIF(Labor!$C$59:$C$88,"&lt;="&amp;E53),MAXBED_MES,TOTAL_BEDS-B53-C53))</f>
        <v>0</v>
      </c>
      <c r="G53" s="21">
        <f>B53+C53+F53</f>
        <v>20</v>
      </c>
      <c r="H53" s="22">
        <f>IF(E53&lt;0,-999999999,B53*(PRICE_TOM-FERT_TOM)+C53*(PRICE_CAR-FERT_CAR)+F53*(PRICE_MES-FERT_MES)-(FARMER_SALARY+A53*TEMP_COST)-FIXED_COSTS)</f>
        <v>-999999999</v>
      </c>
    </row>
    <row r="54">
      <c r="A54" s="5" t="n">
        <v>0</v>
      </c>
      <c r="B54" s="5" t="n">
        <v>1</v>
      </c>
      <c r="C54" s="5" t="n">
        <v>20</v>
      </c>
      <c r="D54" s="18">
        <f>SEASON_HRS_TOM*B54*(1+DIM_TOM)^B54+SEASON_HRS_CAR*C54*(1+DIM_CAR)^C54</f>
        <v>1082.1698641742366</v>
      </c>
      <c r="E54" s="18">
        <f>(FARMER_FIELD_HRS+A54*TEMP_HRS)-D54</f>
        <v>-362.16986417423664</v>
      </c>
      <c r="F54" s="21">
        <f>IF(E54&lt;0,0,MIN(COUNTIF(Labor!$C$59:$C$88,"&lt;="&amp;E54),MAXBED_MES,TOTAL_BEDS-B54-C54))</f>
        <v>0</v>
      </c>
      <c r="G54" s="21">
        <f>B54+C54+F54</f>
        <v>21</v>
      </c>
      <c r="H54" s="22">
        <f>IF(E54&lt;0,-999999999,B54*(PRICE_TOM-FERT_TOM)+C54*(PRICE_CAR-FERT_CAR)+F54*(PRICE_MES-FERT_MES)-(FARMER_SALARY+A54*TEMP_COST)-FIXED_COSTS)</f>
        <v>-999999999</v>
      </c>
    </row>
    <row r="55">
      <c r="A55" s="5" t="n">
        <v>0</v>
      </c>
      <c r="B55" s="5" t="n">
        <v>2</v>
      </c>
      <c r="C55" s="5" t="n">
        <v>0</v>
      </c>
      <c r="D55" s="18">
        <f>SEASON_HRS_TOM*B55*(1+DIM_TOM)^B55+SEASON_HRS_CAR*C55*(1+DIM_CAR)^C55</f>
        <v>217.80000000000004</v>
      </c>
      <c r="E55" s="18">
        <f>(FARMER_FIELD_HRS+A55*TEMP_HRS)-D55</f>
        <v>502.19999999999993</v>
      </c>
      <c r="F55" s="21">
        <f>IF(E55&lt;0,0,MIN(COUNTIF(Labor!$C$59:$C$88,"&lt;="&amp;E55),MAXBED_MES,TOTAL_BEDS-B55-C55))</f>
        <v>9</v>
      </c>
      <c r="G55" s="21">
        <f>B55+C55+F55</f>
        <v>11</v>
      </c>
      <c r="H55" s="22">
        <f>IF(E55&lt;0,-999999999,B55*(PRICE_TOM-FERT_TOM)+C55*(PRICE_CAR-FERT_CAR)+F55*(PRICE_MES-FERT_MES)-(FARMER_SALARY+A55*TEMP_COST)-FIXED_COSTS)</f>
        <v>-37780</v>
      </c>
    </row>
    <row r="56">
      <c r="A56" s="5" t="n">
        <v>0</v>
      </c>
      <c r="B56" s="5" t="n">
        <v>2</v>
      </c>
      <c r="C56" s="5" t="n">
        <v>1</v>
      </c>
      <c r="D56" s="18">
        <f>SEASON_HRS_TOM*B56*(1+DIM_TOM)^B56+SEASON_HRS_CAR*C56*(1+DIM_CAR)^C56</f>
        <v>248.55000000000004</v>
      </c>
      <c r="E56" s="18">
        <f>(FARMER_FIELD_HRS+A56*TEMP_HRS)-D56</f>
        <v>471.44999999999993</v>
      </c>
      <c r="F56" s="21">
        <f>IF(E56&lt;0,0,MIN(COUNTIF(Labor!$C$59:$C$88,"&lt;="&amp;E56),MAXBED_MES,TOTAL_BEDS-B56-C56))</f>
        <v>9</v>
      </c>
      <c r="G56" s="21">
        <f>B56+C56+F56</f>
        <v>12</v>
      </c>
      <c r="H56" s="22">
        <f>IF(E56&lt;0,-999999999,B56*(PRICE_TOM-FERT_TOM)+C56*(PRICE_CAR-FERT_CAR)+F56*(PRICE_MES-FERT_MES)-(FARMER_SALARY+A56*TEMP_COST)-FIXED_COSTS)</f>
        <v>-36126</v>
      </c>
    </row>
    <row r="57">
      <c r="A57" s="5" t="n">
        <v>0</v>
      </c>
      <c r="B57" s="5" t="n">
        <v>2</v>
      </c>
      <c r="C57" s="5" t="n">
        <v>2</v>
      </c>
      <c r="D57" s="18">
        <f>SEASON_HRS_TOM*B57*(1+DIM_TOM)^B57+SEASON_HRS_CAR*C57*(1+DIM_CAR)^C57</f>
        <v>280.83750000000003</v>
      </c>
      <c r="E57" s="18">
        <f>(FARMER_FIELD_HRS+A57*TEMP_HRS)-D57</f>
        <v>439.16249999999997</v>
      </c>
      <c r="F57" s="21">
        <f>IF(E57&lt;0,0,MIN(COUNTIF(Labor!$C$59:$C$88,"&lt;="&amp;E57),MAXBED_MES,TOTAL_BEDS-B57-C57))</f>
        <v>8</v>
      </c>
      <c r="G57" s="21">
        <f>B57+C57+F57</f>
        <v>12</v>
      </c>
      <c r="H57" s="22">
        <f>IF(E57&lt;0,-999999999,B57*(PRICE_TOM-FERT_TOM)+C57*(PRICE_CAR-FERT_CAR)+F57*(PRICE_MES-FERT_MES)-(FARMER_SALARY+A57*TEMP_COST)-FIXED_COSTS)</f>
        <v>-36292</v>
      </c>
    </row>
    <row r="58">
      <c r="A58" s="5" t="n">
        <v>0</v>
      </c>
      <c r="B58" s="5" t="n">
        <v>2</v>
      </c>
      <c r="C58" s="5" t="n">
        <v>3</v>
      </c>
      <c r="D58" s="18">
        <f>SEASON_HRS_TOM*B58*(1+DIM_TOM)^B58+SEASON_HRS_CAR*C58*(1+DIM_CAR)^C58</f>
        <v>314.72015625</v>
      </c>
      <c r="E58" s="18">
        <f>(FARMER_FIELD_HRS+A58*TEMP_HRS)-D58</f>
        <v>405.27984375</v>
      </c>
      <c r="F58" s="21">
        <f>IF(E58&lt;0,0,MIN(COUNTIF(Labor!$C$59:$C$88,"&lt;="&amp;E58),MAXBED_MES,TOTAL_BEDS-B58-C58))</f>
        <v>8</v>
      </c>
      <c r="G58" s="21">
        <f>B58+C58+F58</f>
        <v>13</v>
      </c>
      <c r="H58" s="22">
        <f>IF(E58&lt;0,-999999999,B58*(PRICE_TOM-FERT_TOM)+C58*(PRICE_CAR-FERT_CAR)+F58*(PRICE_MES-FERT_MES)-(FARMER_SALARY+A58*TEMP_COST)-FIXED_COSTS)</f>
        <v>-34638</v>
      </c>
    </row>
    <row r="59">
      <c r="A59" s="5" t="n">
        <v>0</v>
      </c>
      <c r="B59" s="5" t="n">
        <v>2</v>
      </c>
      <c r="C59" s="5" t="n">
        <v>4</v>
      </c>
      <c r="D59" s="18">
        <f>SEASON_HRS_TOM*B59*(1+DIM_TOM)^B59+SEASON_HRS_CAR*C59*(1+DIM_CAR)^C59</f>
        <v>350.257546875</v>
      </c>
      <c r="E59" s="18">
        <f>(FARMER_FIELD_HRS+A59*TEMP_HRS)-D59</f>
        <v>369.742453125</v>
      </c>
      <c r="F59" s="21">
        <f>IF(E59&lt;0,0,MIN(COUNTIF(Labor!$C$59:$C$88,"&lt;="&amp;E59),MAXBED_MES,TOTAL_BEDS-B59-C59))</f>
        <v>7</v>
      </c>
      <c r="G59" s="21">
        <f>B59+C59+F59</f>
        <v>13</v>
      </c>
      <c r="H59" s="22">
        <f>IF(E59&lt;0,-999999999,B59*(PRICE_TOM-FERT_TOM)+C59*(PRICE_CAR-FERT_CAR)+F59*(PRICE_MES-FERT_MES)-(FARMER_SALARY+A59*TEMP_COST)-FIXED_COSTS)</f>
        <v>-34804</v>
      </c>
    </row>
    <row r="60">
      <c r="A60" s="5" t="n">
        <v>0</v>
      </c>
      <c r="B60" s="5" t="n">
        <v>2</v>
      </c>
      <c r="C60" s="5" t="n">
        <v>5</v>
      </c>
      <c r="D60" s="18">
        <f>SEASON_HRS_TOM*B60*(1+DIM_TOM)^B60+SEASON_HRS_CAR*C60*(1+DIM_CAR)^C60</f>
        <v>387.5112319335937</v>
      </c>
      <c r="E60" s="18">
        <f>(FARMER_FIELD_HRS+A60*TEMP_HRS)-D60</f>
        <v>332.4887680664063</v>
      </c>
      <c r="F60" s="21">
        <f>IF(E60&lt;0,0,MIN(COUNTIF(Labor!$C$59:$C$88,"&lt;="&amp;E60),MAXBED_MES,TOTAL_BEDS-B60-C60))</f>
        <v>6</v>
      </c>
      <c r="G60" s="21">
        <f>B60+C60+F60</f>
        <v>13</v>
      </c>
      <c r="H60" s="22">
        <f>IF(E60&lt;0,-999999999,B60*(PRICE_TOM-FERT_TOM)+C60*(PRICE_CAR-FERT_CAR)+F60*(PRICE_MES-FERT_MES)-(FARMER_SALARY+A60*TEMP_COST)-FIXED_COSTS)</f>
        <v>-34970</v>
      </c>
    </row>
    <row r="61">
      <c r="A61" s="5" t="n">
        <v>0</v>
      </c>
      <c r="B61" s="5" t="n">
        <v>2</v>
      </c>
      <c r="C61" s="5" t="n">
        <v>6</v>
      </c>
      <c r="D61" s="18">
        <f>SEASON_HRS_TOM*B61*(1+DIM_TOM)^B61+SEASON_HRS_CAR*C61*(1+DIM_CAR)^C61</f>
        <v>426.54481527832024</v>
      </c>
      <c r="E61" s="18">
        <f>(FARMER_FIELD_HRS+A61*TEMP_HRS)-D61</f>
        <v>293.45518472167976</v>
      </c>
      <c r="F61" s="21">
        <f>IF(E61&lt;0,0,MIN(COUNTIF(Labor!$C$59:$C$88,"&lt;="&amp;E61),MAXBED_MES,TOTAL_BEDS-B61-C61))</f>
        <v>6</v>
      </c>
      <c r="G61" s="21">
        <f>B61+C61+F61</f>
        <v>14</v>
      </c>
      <c r="H61" s="22">
        <f>IF(E61&lt;0,-999999999,B61*(PRICE_TOM-FERT_TOM)+C61*(PRICE_CAR-FERT_CAR)+F61*(PRICE_MES-FERT_MES)-(FARMER_SALARY+A61*TEMP_COST)-FIXED_COSTS)</f>
        <v>-33316</v>
      </c>
    </row>
    <row r="62">
      <c r="A62" s="5" t="n">
        <v>0</v>
      </c>
      <c r="B62" s="5" t="n">
        <v>2</v>
      </c>
      <c r="C62" s="5" t="n">
        <v>7</v>
      </c>
      <c r="D62" s="18">
        <f>SEASON_HRS_TOM*B62*(1+DIM_TOM)^B62+SEASON_HRS_CAR*C62*(1+DIM_CAR)^C62</f>
        <v>467.42400827032463</v>
      </c>
      <c r="E62" s="18">
        <f>(FARMER_FIELD_HRS+A62*TEMP_HRS)-D62</f>
        <v>252.57599172967537</v>
      </c>
      <c r="F62" s="21">
        <f>IF(E62&lt;0,0,MIN(COUNTIF(Labor!$C$59:$C$88,"&lt;="&amp;E62),MAXBED_MES,TOTAL_BEDS-B62-C62))</f>
        <v>5</v>
      </c>
      <c r="G62" s="21">
        <f>B62+C62+F62</f>
        <v>14</v>
      </c>
      <c r="H62" s="22">
        <f>IF(E62&lt;0,-999999999,B62*(PRICE_TOM-FERT_TOM)+C62*(PRICE_CAR-FERT_CAR)+F62*(PRICE_MES-FERT_MES)-(FARMER_SALARY+A62*TEMP_COST)-FIXED_COSTS)</f>
        <v>-33482</v>
      </c>
    </row>
    <row r="63">
      <c r="A63" s="5" t="n">
        <v>0</v>
      </c>
      <c r="B63" s="5" t="n">
        <v>2</v>
      </c>
      <c r="C63" s="5" t="n">
        <v>8</v>
      </c>
      <c r="D63" s="18">
        <f>SEASON_HRS_TOM*B63*(1+DIM_TOM)^B63+SEASON_HRS_CAR*C63*(1+DIM_CAR)^C63</f>
        <v>510.2166954023802</v>
      </c>
      <c r="E63" s="18">
        <f>(FARMER_FIELD_HRS+A63*TEMP_HRS)-D63</f>
        <v>209.7833045976198</v>
      </c>
      <c r="F63" s="21">
        <f>IF(E63&lt;0,0,MIN(COUNTIF(Labor!$C$59:$C$88,"&lt;="&amp;E63),MAXBED_MES,TOTAL_BEDS-B63-C63))</f>
        <v>4</v>
      </c>
      <c r="G63" s="21">
        <f>B63+C63+F63</f>
        <v>14</v>
      </c>
      <c r="H63" s="22">
        <f>IF(E63&lt;0,-999999999,B63*(PRICE_TOM-FERT_TOM)+C63*(PRICE_CAR-FERT_CAR)+F63*(PRICE_MES-FERT_MES)-(FARMER_SALARY+A63*TEMP_COST)-FIXED_COSTS)</f>
        <v>-33648</v>
      </c>
    </row>
    <row r="64">
      <c r="A64" s="5" t="n">
        <v>0</v>
      </c>
      <c r="B64" s="5" t="n">
        <v>2</v>
      </c>
      <c r="C64" s="5" t="n">
        <v>9</v>
      </c>
      <c r="D64" s="18">
        <f>SEASON_HRS_TOM*B64*(1+DIM_TOM)^B64+SEASON_HRS_CAR*C64*(1+DIM_CAR)^C64</f>
        <v>554.9930018858696</v>
      </c>
      <c r="E64" s="18">
        <f>(FARMER_FIELD_HRS+A64*TEMP_HRS)-D64</f>
        <v>165.0069981141304</v>
      </c>
      <c r="F64" s="21">
        <f>IF(E64&lt;0,0,MIN(COUNTIF(Labor!$C$59:$C$88,"&lt;="&amp;E64),MAXBED_MES,TOTAL_BEDS-B64-C64))</f>
        <v>3</v>
      </c>
      <c r="G64" s="21">
        <f>B64+C64+F64</f>
        <v>14</v>
      </c>
      <c r="H64" s="22">
        <f>IF(E64&lt;0,-999999999,B64*(PRICE_TOM-FERT_TOM)+C64*(PRICE_CAR-FERT_CAR)+F64*(PRICE_MES-FERT_MES)-(FARMER_SALARY+A64*TEMP_COST)-FIXED_COSTS)</f>
        <v>-33814</v>
      </c>
    </row>
    <row r="65">
      <c r="A65" s="5" t="n">
        <v>0</v>
      </c>
      <c r="B65" s="5" t="n">
        <v>2</v>
      </c>
      <c r="C65" s="5" t="n">
        <v>10</v>
      </c>
      <c r="D65" s="18">
        <f>SEASON_HRS_TOM*B65*(1+DIM_TOM)^B65+SEASON_HRS_CAR*C65*(1+DIM_CAR)^C65</f>
        <v>601.825363258907</v>
      </c>
      <c r="E65" s="18">
        <f>(FARMER_FIELD_HRS+A65*TEMP_HRS)-D65</f>
        <v>118.17463674109297</v>
      </c>
      <c r="F65" s="21">
        <f>IF(E65&lt;0,0,MIN(COUNTIF(Labor!$C$59:$C$88,"&lt;="&amp;E65),MAXBED_MES,TOTAL_BEDS-B65-C65))</f>
        <v>2</v>
      </c>
      <c r="G65" s="21">
        <f>B65+C65+F65</f>
        <v>14</v>
      </c>
      <c r="H65" s="22">
        <f>IF(E65&lt;0,-999999999,B65*(PRICE_TOM-FERT_TOM)+C65*(PRICE_CAR-FERT_CAR)+F65*(PRICE_MES-FERT_MES)-(FARMER_SALARY+A65*TEMP_COST)-FIXED_COSTS)</f>
        <v>-33980</v>
      </c>
    </row>
    <row r="66">
      <c r="A66" s="5" t="n">
        <v>0</v>
      </c>
      <c r="B66" s="5" t="n">
        <v>2</v>
      </c>
      <c r="C66" s="5" t="n">
        <v>11</v>
      </c>
      <c r="D66" s="18">
        <f>SEASON_HRS_TOM*B66*(1+DIM_TOM)^B66+SEASON_HRS_CAR*C66*(1+DIM_CAR)^C66</f>
        <v>650.7885970744177</v>
      </c>
      <c r="E66" s="18">
        <f>(FARMER_FIELD_HRS+A66*TEMP_HRS)-D66</f>
        <v>69.21140292558232</v>
      </c>
      <c r="F66" s="21">
        <f>IF(E66&lt;0,0,MIN(COUNTIF(Labor!$C$59:$C$88,"&lt;="&amp;E66),MAXBED_MES,TOTAL_BEDS-B66-C66))</f>
        <v>1</v>
      </c>
      <c r="G66" s="21">
        <f>B66+C66+F66</f>
        <v>14</v>
      </c>
      <c r="H66" s="22">
        <f>IF(E66&lt;0,-999999999,B66*(PRICE_TOM-FERT_TOM)+C66*(PRICE_CAR-FERT_CAR)+F66*(PRICE_MES-FERT_MES)-(FARMER_SALARY+A66*TEMP_COST)-FIXED_COSTS)</f>
        <v>-34146</v>
      </c>
    </row>
    <row r="67">
      <c r="A67" s="5" t="n">
        <v>0</v>
      </c>
      <c r="B67" s="5" t="n">
        <v>2</v>
      </c>
      <c r="C67" s="5" t="n">
        <v>12</v>
      </c>
      <c r="D67" s="18">
        <f>SEASON_HRS_TOM*B67*(1+DIM_TOM)^B67+SEASON_HRS_CAR*C67*(1+DIM_CAR)^C67</f>
        <v>701.959976728667</v>
      </c>
      <c r="E67" s="18">
        <f>(FARMER_FIELD_HRS+A67*TEMP_HRS)-D67</f>
        <v>18.040023271332984</v>
      </c>
      <c r="F67" s="21">
        <f>IF(E67&lt;0,0,MIN(COUNTIF(Labor!$C$59:$C$88,"&lt;="&amp;E67),MAXBED_MES,TOTAL_BEDS-B67-C67))</f>
        <v>0</v>
      </c>
      <c r="G67" s="21">
        <f>B67+C67+F67</f>
        <v>14</v>
      </c>
      <c r="H67" s="22">
        <f>IF(E67&lt;0,-999999999,B67*(PRICE_TOM-FERT_TOM)+C67*(PRICE_CAR-FERT_CAR)+F67*(PRICE_MES-FERT_MES)-(FARMER_SALARY+A67*TEMP_COST)-FIXED_COSTS)</f>
        <v>-34312</v>
      </c>
    </row>
    <row r="68">
      <c r="A68" s="5" t="n">
        <v>0</v>
      </c>
      <c r="B68" s="5" t="n">
        <v>2</v>
      </c>
      <c r="C68" s="5" t="n">
        <v>13</v>
      </c>
      <c r="D68" s="18">
        <f>SEASON_HRS_TOM*B68*(1+DIM_TOM)^B68+SEASON_HRS_CAR*C68*(1+DIM_CAR)^C68</f>
        <v>755.4193074924572</v>
      </c>
      <c r="E68" s="18">
        <f>(FARMER_FIELD_HRS+A68*TEMP_HRS)-D68</f>
        <v>-35.419307492457165</v>
      </c>
      <c r="F68" s="21">
        <f>IF(E68&lt;0,0,MIN(COUNTIF(Labor!$C$59:$C$88,"&lt;="&amp;E68),MAXBED_MES,TOTAL_BEDS-B68-C68))</f>
        <v>0</v>
      </c>
      <c r="G68" s="21">
        <f>B68+C68+F68</f>
        <v>15</v>
      </c>
      <c r="H68" s="22">
        <f>IF(E68&lt;0,-999999999,B68*(PRICE_TOM-FERT_TOM)+C68*(PRICE_CAR-FERT_CAR)+F68*(PRICE_MES-FERT_MES)-(FARMER_SALARY+A68*TEMP_COST)-FIXED_COSTS)</f>
        <v>-999999999</v>
      </c>
    </row>
    <row r="69">
      <c r="A69" s="5" t="n">
        <v>0</v>
      </c>
      <c r="B69" s="5" t="n">
        <v>2</v>
      </c>
      <c r="C69" s="5" t="n">
        <v>14</v>
      </c>
      <c r="D69" s="18">
        <f>SEASON_HRS_TOM*B69*(1+DIM_TOM)^B69+SEASON_HRS_CAR*C69*(1+DIM_CAR)^C69</f>
        <v>811.2490048089817</v>
      </c>
      <c r="E69" s="18">
        <f>(FARMER_FIELD_HRS+A69*TEMP_HRS)-D69</f>
        <v>-91.24900480898168</v>
      </c>
      <c r="F69" s="21">
        <f>IF(E69&lt;0,0,MIN(COUNTIF(Labor!$C$59:$C$88,"&lt;="&amp;E69),MAXBED_MES,TOTAL_BEDS-B69-C69))</f>
        <v>0</v>
      </c>
      <c r="G69" s="21">
        <f>B69+C69+F69</f>
        <v>16</v>
      </c>
      <c r="H69" s="22">
        <f>IF(E69&lt;0,-999999999,B69*(PRICE_TOM-FERT_TOM)+C69*(PRICE_CAR-FERT_CAR)+F69*(PRICE_MES-FERT_MES)-(FARMER_SALARY+A69*TEMP_COST)-FIXED_COSTS)</f>
        <v>-999999999</v>
      </c>
    </row>
    <row r="70">
      <c r="A70" s="5" t="n">
        <v>0</v>
      </c>
      <c r="B70" s="5" t="n">
        <v>2</v>
      </c>
      <c r="C70" s="5" t="n">
        <v>15</v>
      </c>
      <c r="D70" s="18">
        <f>SEASON_HRS_TOM*B70*(1+DIM_TOM)^B70+SEASON_HRS_CAR*C70*(1+DIM_CAR)^C70</f>
        <v>869.5341749241494</v>
      </c>
      <c r="E70" s="18">
        <f>(FARMER_FIELD_HRS+A70*TEMP_HRS)-D70</f>
        <v>-149.5341749241494</v>
      </c>
      <c r="F70" s="21">
        <f>IF(E70&lt;0,0,MIN(COUNTIF(Labor!$C$59:$C$88,"&lt;="&amp;E70),MAXBED_MES,TOTAL_BEDS-B70-C70))</f>
        <v>0</v>
      </c>
      <c r="G70" s="21">
        <f>B70+C70+F70</f>
        <v>17</v>
      </c>
      <c r="H70" s="22">
        <f>IF(E70&lt;0,-999999999,B70*(PRICE_TOM-FERT_TOM)+C70*(PRICE_CAR-FERT_CAR)+F70*(PRICE_MES-FERT_MES)-(FARMER_SALARY+A70*TEMP_COST)-FIXED_COSTS)</f>
        <v>-999999999</v>
      </c>
    </row>
    <row r="71">
      <c r="A71" s="5" t="n">
        <v>0</v>
      </c>
      <c r="B71" s="5" t="n">
        <v>2</v>
      </c>
      <c r="C71" s="5" t="n">
        <v>16</v>
      </c>
      <c r="D71" s="18">
        <f>SEASON_HRS_TOM*B71*(1+DIM_TOM)^B71+SEASON_HRS_CAR*C71*(1+DIM_CAR)^C71</f>
        <v>930.3626979170699</v>
      </c>
      <c r="E71" s="18">
        <f>(FARMER_FIELD_HRS+A71*TEMP_HRS)-D71</f>
        <v>-210.3626979170699</v>
      </c>
      <c r="F71" s="21">
        <f>IF(E71&lt;0,0,MIN(COUNTIF(Labor!$C$59:$C$88,"&lt;="&amp;E71),MAXBED_MES,TOTAL_BEDS-B71-C71))</f>
        <v>0</v>
      </c>
      <c r="G71" s="21">
        <f>B71+C71+F71</f>
        <v>18</v>
      </c>
      <c r="H71" s="22">
        <f>IF(E71&lt;0,-999999999,B71*(PRICE_TOM-FERT_TOM)+C71*(PRICE_CAR-FERT_CAR)+F71*(PRICE_MES-FERT_MES)-(FARMER_SALARY+A71*TEMP_COST)-FIXED_COSTS)</f>
        <v>-999999999</v>
      </c>
    </row>
    <row r="72">
      <c r="A72" s="5" t="n">
        <v>0</v>
      </c>
      <c r="B72" s="5" t="n">
        <v>2</v>
      </c>
      <c r="C72" s="5" t="n">
        <v>17</v>
      </c>
      <c r="D72" s="18">
        <f>SEASON_HRS_TOM*B72*(1+DIM_TOM)^B72+SEASON_HRS_CAR*C72*(1+DIM_CAR)^C72</f>
        <v>993.8253132003089</v>
      </c>
      <c r="E72" s="18">
        <f>(FARMER_FIELD_HRS+A72*TEMP_HRS)-D72</f>
        <v>-273.82531320030887</v>
      </c>
      <c r="F72" s="21">
        <f>IF(E72&lt;0,0,MIN(COUNTIF(Labor!$C$59:$C$88,"&lt;="&amp;E72),MAXBED_MES,TOTAL_BEDS-B72-C72))</f>
        <v>0</v>
      </c>
      <c r="G72" s="21">
        <f>B72+C72+F72</f>
        <v>19</v>
      </c>
      <c r="H72" s="22">
        <f>IF(E72&lt;0,-999999999,B72*(PRICE_TOM-FERT_TOM)+C72*(PRICE_CAR-FERT_CAR)+F72*(PRICE_MES-FERT_MES)-(FARMER_SALARY+A72*TEMP_COST)-FIXED_COSTS)</f>
        <v>-999999999</v>
      </c>
    </row>
    <row r="73">
      <c r="A73" s="5" t="n">
        <v>0</v>
      </c>
      <c r="B73" s="5" t="n">
        <v>2</v>
      </c>
      <c r="C73" s="5" t="n">
        <v>18</v>
      </c>
      <c r="D73" s="18">
        <f>SEASON_HRS_TOM*B73*(1+DIM_TOM)^B73+SEASON_HRS_CAR*C73*(1+DIM_CAR)^C73</f>
        <v>1060.0157075615116</v>
      </c>
      <c r="E73" s="18">
        <f>(FARMER_FIELD_HRS+A73*TEMP_HRS)-D73</f>
        <v>-340.0157075615116</v>
      </c>
      <c r="F73" s="21">
        <f>IF(E73&lt;0,0,MIN(COUNTIF(Labor!$C$59:$C$88,"&lt;="&amp;E73),MAXBED_MES,TOTAL_BEDS-B73-C73))</f>
        <v>0</v>
      </c>
      <c r="G73" s="21">
        <f>B73+C73+F73</f>
        <v>20</v>
      </c>
      <c r="H73" s="22">
        <f>IF(E73&lt;0,-999999999,B73*(PRICE_TOM-FERT_TOM)+C73*(PRICE_CAR-FERT_CAR)+F73*(PRICE_MES-FERT_MES)-(FARMER_SALARY+A73*TEMP_COST)-FIXED_COSTS)</f>
        <v>-999999999</v>
      </c>
    </row>
    <row r="74">
      <c r="A74" s="5" t="n">
        <v>0</v>
      </c>
      <c r="B74" s="5" t="n">
        <v>2</v>
      </c>
      <c r="C74" s="5" t="n">
        <v>19</v>
      </c>
      <c r="D74" s="18">
        <f>SEASON_HRS_TOM*B74*(1+DIM_TOM)^B74+SEASON_HRS_CAR*C74*(1+DIM_CAR)^C74</f>
        <v>1129.0306058200242</v>
      </c>
      <c r="E74" s="18">
        <f>(FARMER_FIELD_HRS+A74*TEMP_HRS)-D74</f>
        <v>-409.0306058200242</v>
      </c>
      <c r="F74" s="21">
        <f>IF(E74&lt;0,0,MIN(COUNTIF(Labor!$C$59:$C$88,"&lt;="&amp;E74),MAXBED_MES,TOTAL_BEDS-B74-C74))</f>
        <v>0</v>
      </c>
      <c r="G74" s="21">
        <f>B74+C74+F74</f>
        <v>21</v>
      </c>
      <c r="H74" s="22">
        <f>IF(E74&lt;0,-999999999,B74*(PRICE_TOM-FERT_TOM)+C74*(PRICE_CAR-FERT_CAR)+F74*(PRICE_MES-FERT_MES)-(FARMER_SALARY+A74*TEMP_COST)-FIXED_COSTS)</f>
        <v>-999999999</v>
      </c>
    </row>
    <row r="75">
      <c r="A75" s="5" t="n">
        <v>0</v>
      </c>
      <c r="B75" s="5" t="n">
        <v>2</v>
      </c>
      <c r="C75" s="5" t="n">
        <v>20</v>
      </c>
      <c r="D75" s="18">
        <f>SEASON_HRS_TOM*B75*(1+DIM_TOM)^B75+SEASON_HRS_CAR*C75*(1+DIM_CAR)^C75</f>
        <v>1200.9698641742366</v>
      </c>
      <c r="E75" s="18">
        <f>(FARMER_FIELD_HRS+A75*TEMP_HRS)-D75</f>
        <v>-480.9698641742366</v>
      </c>
      <c r="F75" s="21">
        <f>IF(E75&lt;0,0,MIN(COUNTIF(Labor!$C$59:$C$88,"&lt;="&amp;E75),MAXBED_MES,TOTAL_BEDS-B75-C75))</f>
        <v>0</v>
      </c>
      <c r="G75" s="21">
        <f>B75+C75+F75</f>
        <v>22</v>
      </c>
      <c r="H75" s="22">
        <f>IF(E75&lt;0,-999999999,B75*(PRICE_TOM-FERT_TOM)+C75*(PRICE_CAR-FERT_CAR)+F75*(PRICE_MES-FERT_MES)-(FARMER_SALARY+A75*TEMP_COST)-FIXED_COSTS)</f>
        <v>-999999999</v>
      </c>
    </row>
    <row r="76">
      <c r="A76" s="5" t="n">
        <v>0</v>
      </c>
      <c r="B76" s="5" t="n">
        <v>3</v>
      </c>
      <c r="C76" s="5" t="n">
        <v>0</v>
      </c>
      <c r="D76" s="18">
        <f>SEASON_HRS_TOM*B76*(1+DIM_TOM)^B76+SEASON_HRS_CAR*C76*(1+DIM_CAR)^C76</f>
        <v>359.3700000000001</v>
      </c>
      <c r="E76" s="18">
        <f>(FARMER_FIELD_HRS+A76*TEMP_HRS)-D76</f>
        <v>360.6299999999999</v>
      </c>
      <c r="F76" s="21">
        <f>IF(E76&lt;0,0,MIN(COUNTIF(Labor!$C$59:$C$88,"&lt;="&amp;E76),MAXBED_MES,TOTAL_BEDS-B76-C76))</f>
        <v>7</v>
      </c>
      <c r="G76" s="21">
        <f>B76+C76+F76</f>
        <v>10</v>
      </c>
      <c r="H76" s="22">
        <f>IF(E76&lt;0,-999999999,B76*(PRICE_TOM-FERT_TOM)+C76*(PRICE_CAR-FERT_CAR)+F76*(PRICE_MES-FERT_MES)-(FARMER_SALARY+A76*TEMP_COST)-FIXED_COSTS)</f>
        <v>-33500</v>
      </c>
    </row>
    <row r="77">
      <c r="A77" s="5" t="n">
        <v>0</v>
      </c>
      <c r="B77" s="5" t="n">
        <v>3</v>
      </c>
      <c r="C77" s="5" t="n">
        <v>1</v>
      </c>
      <c r="D77" s="18">
        <f>SEASON_HRS_TOM*B77*(1+DIM_TOM)^B77+SEASON_HRS_CAR*C77*(1+DIM_CAR)^C77</f>
        <v>390.1200000000001</v>
      </c>
      <c r="E77" s="18">
        <f>(FARMER_FIELD_HRS+A77*TEMP_HRS)-D77</f>
        <v>329.8799999999999</v>
      </c>
      <c r="F77" s="21">
        <f>IF(E77&lt;0,0,MIN(COUNTIF(Labor!$C$59:$C$88,"&lt;="&amp;E77),MAXBED_MES,TOTAL_BEDS-B77-C77))</f>
        <v>6</v>
      </c>
      <c r="G77" s="21">
        <f>B77+C77+F77</f>
        <v>10</v>
      </c>
      <c r="H77" s="22">
        <f>IF(E77&lt;0,-999999999,B77*(PRICE_TOM-FERT_TOM)+C77*(PRICE_CAR-FERT_CAR)+F77*(PRICE_MES-FERT_MES)-(FARMER_SALARY+A77*TEMP_COST)-FIXED_COSTS)</f>
        <v>-33666</v>
      </c>
    </row>
    <row r="78">
      <c r="A78" s="5" t="n">
        <v>0</v>
      </c>
      <c r="B78" s="5" t="n">
        <v>3</v>
      </c>
      <c r="C78" s="5" t="n">
        <v>2</v>
      </c>
      <c r="D78" s="18">
        <f>SEASON_HRS_TOM*B78*(1+DIM_TOM)^B78+SEASON_HRS_CAR*C78*(1+DIM_CAR)^C78</f>
        <v>422.40750000000014</v>
      </c>
      <c r="E78" s="18">
        <f>(FARMER_FIELD_HRS+A78*TEMP_HRS)-D78</f>
        <v>297.59249999999986</v>
      </c>
      <c r="F78" s="21">
        <f>IF(E78&lt;0,0,MIN(COUNTIF(Labor!$C$59:$C$88,"&lt;="&amp;E78),MAXBED_MES,TOTAL_BEDS-B78-C78))</f>
        <v>6</v>
      </c>
      <c r="G78" s="21">
        <f>B78+C78+F78</f>
        <v>11</v>
      </c>
      <c r="H78" s="22">
        <f>IF(E78&lt;0,-999999999,B78*(PRICE_TOM-FERT_TOM)+C78*(PRICE_CAR-FERT_CAR)+F78*(PRICE_MES-FERT_MES)-(FARMER_SALARY+A78*TEMP_COST)-FIXED_COSTS)</f>
        <v>-32012</v>
      </c>
    </row>
    <row r="79">
      <c r="A79" s="5" t="n">
        <v>0</v>
      </c>
      <c r="B79" s="5" t="n">
        <v>3</v>
      </c>
      <c r="C79" s="5" t="n">
        <v>3</v>
      </c>
      <c r="D79" s="18">
        <f>SEASON_HRS_TOM*B79*(1+DIM_TOM)^B79+SEASON_HRS_CAR*C79*(1+DIM_CAR)^C79</f>
        <v>456.2901562500001</v>
      </c>
      <c r="E79" s="18">
        <f>(FARMER_FIELD_HRS+A79*TEMP_HRS)-D79</f>
        <v>263.7098437499999</v>
      </c>
      <c r="F79" s="21">
        <f>IF(E79&lt;0,0,MIN(COUNTIF(Labor!$C$59:$C$88,"&lt;="&amp;E79),MAXBED_MES,TOTAL_BEDS-B79-C79))</f>
        <v>5</v>
      </c>
      <c r="G79" s="21">
        <f>B79+C79+F79</f>
        <v>11</v>
      </c>
      <c r="H79" s="22">
        <f>IF(E79&lt;0,-999999999,B79*(PRICE_TOM-FERT_TOM)+C79*(PRICE_CAR-FERT_CAR)+F79*(PRICE_MES-FERT_MES)-(FARMER_SALARY+A79*TEMP_COST)-FIXED_COSTS)</f>
        <v>-32178</v>
      </c>
    </row>
    <row r="80">
      <c r="A80" s="5" t="n">
        <v>0</v>
      </c>
      <c r="B80" s="5" t="n">
        <v>3</v>
      </c>
      <c r="C80" s="5" t="n">
        <v>4</v>
      </c>
      <c r="D80" s="18">
        <f>SEASON_HRS_TOM*B80*(1+DIM_TOM)^B80+SEASON_HRS_CAR*C80*(1+DIM_CAR)^C80</f>
        <v>491.82754687500005</v>
      </c>
      <c r="E80" s="18">
        <f>(FARMER_FIELD_HRS+A80*TEMP_HRS)-D80</f>
        <v>228.17245312499995</v>
      </c>
      <c r="F80" s="21">
        <f>IF(E80&lt;0,0,MIN(COUNTIF(Labor!$C$59:$C$88,"&lt;="&amp;E80),MAXBED_MES,TOTAL_BEDS-B80-C80))</f>
        <v>4</v>
      </c>
      <c r="G80" s="21">
        <f>B80+C80+F80</f>
        <v>11</v>
      </c>
      <c r="H80" s="22">
        <f>IF(E80&lt;0,-999999999,B80*(PRICE_TOM-FERT_TOM)+C80*(PRICE_CAR-FERT_CAR)+F80*(PRICE_MES-FERT_MES)-(FARMER_SALARY+A80*TEMP_COST)-FIXED_COSTS)</f>
        <v>-32344</v>
      </c>
    </row>
    <row r="81">
      <c r="A81" s="5" t="n">
        <v>0</v>
      </c>
      <c r="B81" s="5" t="n">
        <v>3</v>
      </c>
      <c r="C81" s="5" t="n">
        <v>5</v>
      </c>
      <c r="D81" s="18">
        <f>SEASON_HRS_TOM*B81*(1+DIM_TOM)^B81+SEASON_HRS_CAR*C81*(1+DIM_CAR)^C81</f>
        <v>529.0812319335938</v>
      </c>
      <c r="E81" s="18">
        <f>(FARMER_FIELD_HRS+A81*TEMP_HRS)-D81</f>
        <v>190.9187680664062</v>
      </c>
      <c r="F81" s="21">
        <f>IF(E81&lt;0,0,MIN(COUNTIF(Labor!$C$59:$C$88,"&lt;="&amp;E81),MAXBED_MES,TOTAL_BEDS-B81-C81))</f>
        <v>4</v>
      </c>
      <c r="G81" s="21">
        <f>B81+C81+F81</f>
        <v>12</v>
      </c>
      <c r="H81" s="22">
        <f>IF(E81&lt;0,-999999999,B81*(PRICE_TOM-FERT_TOM)+C81*(PRICE_CAR-FERT_CAR)+F81*(PRICE_MES-FERT_MES)-(FARMER_SALARY+A81*TEMP_COST)-FIXED_COSTS)</f>
        <v>-30690</v>
      </c>
    </row>
    <row r="82">
      <c r="A82" s="5" t="n">
        <v>0</v>
      </c>
      <c r="B82" s="5" t="n">
        <v>3</v>
      </c>
      <c r="C82" s="5" t="n">
        <v>6</v>
      </c>
      <c r="D82" s="18">
        <f>SEASON_HRS_TOM*B82*(1+DIM_TOM)^B82+SEASON_HRS_CAR*C82*(1+DIM_CAR)^C82</f>
        <v>568.1148152783203</v>
      </c>
      <c r="E82" s="18">
        <f>(FARMER_FIELD_HRS+A82*TEMP_HRS)-D82</f>
        <v>151.8851847216797</v>
      </c>
      <c r="F82" s="21">
        <f>IF(E82&lt;0,0,MIN(COUNTIF(Labor!$C$59:$C$88,"&lt;="&amp;E82),MAXBED_MES,TOTAL_BEDS-B82-C82))</f>
        <v>3</v>
      </c>
      <c r="G82" s="21">
        <f>B82+C82+F82</f>
        <v>12</v>
      </c>
      <c r="H82" s="22">
        <f>IF(E82&lt;0,-999999999,B82*(PRICE_TOM-FERT_TOM)+C82*(PRICE_CAR-FERT_CAR)+F82*(PRICE_MES-FERT_MES)-(FARMER_SALARY+A82*TEMP_COST)-FIXED_COSTS)</f>
        <v>-30856</v>
      </c>
    </row>
    <row r="83">
      <c r="A83" s="5" t="n">
        <v>0</v>
      </c>
      <c r="B83" s="5" t="n">
        <v>3</v>
      </c>
      <c r="C83" s="5" t="n">
        <v>7</v>
      </c>
      <c r="D83" s="18">
        <f>SEASON_HRS_TOM*B83*(1+DIM_TOM)^B83+SEASON_HRS_CAR*C83*(1+DIM_CAR)^C83</f>
        <v>608.9940082703247</v>
      </c>
      <c r="E83" s="18">
        <f>(FARMER_FIELD_HRS+A83*TEMP_HRS)-D83</f>
        <v>111.00599172967532</v>
      </c>
      <c r="F83" s="21">
        <f>IF(E83&lt;0,0,MIN(COUNTIF(Labor!$C$59:$C$88,"&lt;="&amp;E83),MAXBED_MES,TOTAL_BEDS-B83-C83))</f>
        <v>2</v>
      </c>
      <c r="G83" s="21">
        <f>B83+C83+F83</f>
        <v>12</v>
      </c>
      <c r="H83" s="22">
        <f>IF(E83&lt;0,-999999999,B83*(PRICE_TOM-FERT_TOM)+C83*(PRICE_CAR-FERT_CAR)+F83*(PRICE_MES-FERT_MES)-(FARMER_SALARY+A83*TEMP_COST)-FIXED_COSTS)</f>
        <v>-31022</v>
      </c>
    </row>
    <row r="84">
      <c r="A84" s="5" t="n">
        <v>0</v>
      </c>
      <c r="B84" s="5" t="n">
        <v>3</v>
      </c>
      <c r="C84" s="5" t="n">
        <v>8</v>
      </c>
      <c r="D84" s="18">
        <f>SEASON_HRS_TOM*B84*(1+DIM_TOM)^B84+SEASON_HRS_CAR*C84*(1+DIM_CAR)^C84</f>
        <v>651.7866954023802</v>
      </c>
      <c r="E84" s="18">
        <f>(FARMER_FIELD_HRS+A84*TEMP_HRS)-D84</f>
        <v>68.21330459761975</v>
      </c>
      <c r="F84" s="21">
        <f>IF(E84&lt;0,0,MIN(COUNTIF(Labor!$C$59:$C$88,"&lt;="&amp;E84),MAXBED_MES,TOTAL_BEDS-B84-C84))</f>
        <v>1</v>
      </c>
      <c r="G84" s="21">
        <f>B84+C84+F84</f>
        <v>12</v>
      </c>
      <c r="H84" s="22">
        <f>IF(E84&lt;0,-999999999,B84*(PRICE_TOM-FERT_TOM)+C84*(PRICE_CAR-FERT_CAR)+F84*(PRICE_MES-FERT_MES)-(FARMER_SALARY+A84*TEMP_COST)-FIXED_COSTS)</f>
        <v>-31188</v>
      </c>
    </row>
    <row r="85">
      <c r="A85" s="5" t="n">
        <v>0</v>
      </c>
      <c r="B85" s="5" t="n">
        <v>3</v>
      </c>
      <c r="C85" s="5" t="n">
        <v>9</v>
      </c>
      <c r="D85" s="18">
        <f>SEASON_HRS_TOM*B85*(1+DIM_TOM)^B85+SEASON_HRS_CAR*C85*(1+DIM_CAR)^C85</f>
        <v>696.5630018858697</v>
      </c>
      <c r="E85" s="18">
        <f>(FARMER_FIELD_HRS+A85*TEMP_HRS)-D85</f>
        <v>23.436998114130347</v>
      </c>
      <c r="F85" s="21">
        <f>IF(E85&lt;0,0,MIN(COUNTIF(Labor!$C$59:$C$88,"&lt;="&amp;E85),MAXBED_MES,TOTAL_BEDS-B85-C85))</f>
        <v>0</v>
      </c>
      <c r="G85" s="21">
        <f>B85+C85+F85</f>
        <v>12</v>
      </c>
      <c r="H85" s="22">
        <f>IF(E85&lt;0,-999999999,B85*(PRICE_TOM-FERT_TOM)+C85*(PRICE_CAR-FERT_CAR)+F85*(PRICE_MES-FERT_MES)-(FARMER_SALARY+A85*TEMP_COST)-FIXED_COSTS)</f>
        <v>-31354</v>
      </c>
    </row>
    <row r="86">
      <c r="A86" s="5" t="n">
        <v>0</v>
      </c>
      <c r="B86" s="5" t="n">
        <v>3</v>
      </c>
      <c r="C86" s="5" t="n">
        <v>10</v>
      </c>
      <c r="D86" s="18">
        <f>SEASON_HRS_TOM*B86*(1+DIM_TOM)^B86+SEASON_HRS_CAR*C86*(1+DIM_CAR)^C86</f>
        <v>743.3953632589071</v>
      </c>
      <c r="E86" s="18">
        <f>(FARMER_FIELD_HRS+A86*TEMP_HRS)-D86</f>
        <v>-23.395363258907082</v>
      </c>
      <c r="F86" s="21">
        <f>IF(E86&lt;0,0,MIN(COUNTIF(Labor!$C$59:$C$88,"&lt;="&amp;E86),MAXBED_MES,TOTAL_BEDS-B86-C86))</f>
        <v>0</v>
      </c>
      <c r="G86" s="21">
        <f>B86+C86+F86</f>
        <v>13</v>
      </c>
      <c r="H86" s="22">
        <f>IF(E86&lt;0,-999999999,B86*(PRICE_TOM-FERT_TOM)+C86*(PRICE_CAR-FERT_CAR)+F86*(PRICE_MES-FERT_MES)-(FARMER_SALARY+A86*TEMP_COST)-FIXED_COSTS)</f>
        <v>-999999999</v>
      </c>
    </row>
    <row r="87">
      <c r="A87" s="5" t="n">
        <v>0</v>
      </c>
      <c r="B87" s="5" t="n">
        <v>3</v>
      </c>
      <c r="C87" s="5" t="n">
        <v>11</v>
      </c>
      <c r="D87" s="18">
        <f>SEASON_HRS_TOM*B87*(1+DIM_TOM)^B87+SEASON_HRS_CAR*C87*(1+DIM_CAR)^C87</f>
        <v>792.3585970744177</v>
      </c>
      <c r="E87" s="18">
        <f>(FARMER_FIELD_HRS+A87*TEMP_HRS)-D87</f>
        <v>-72.35859707441773</v>
      </c>
      <c r="F87" s="21">
        <f>IF(E87&lt;0,0,MIN(COUNTIF(Labor!$C$59:$C$88,"&lt;="&amp;E87),MAXBED_MES,TOTAL_BEDS-B87-C87))</f>
        <v>0</v>
      </c>
      <c r="G87" s="21">
        <f>B87+C87+F87</f>
        <v>14</v>
      </c>
      <c r="H87" s="22">
        <f>IF(E87&lt;0,-999999999,B87*(PRICE_TOM-FERT_TOM)+C87*(PRICE_CAR-FERT_CAR)+F87*(PRICE_MES-FERT_MES)-(FARMER_SALARY+A87*TEMP_COST)-FIXED_COSTS)</f>
        <v>-999999999</v>
      </c>
    </row>
    <row r="88">
      <c r="A88" s="5" t="n">
        <v>0</v>
      </c>
      <c r="B88" s="5" t="n">
        <v>3</v>
      </c>
      <c r="C88" s="5" t="n">
        <v>12</v>
      </c>
      <c r="D88" s="18">
        <f>SEASON_HRS_TOM*B88*(1+DIM_TOM)^B88+SEASON_HRS_CAR*C88*(1+DIM_CAR)^C88</f>
        <v>843.5299767286671</v>
      </c>
      <c r="E88" s="18">
        <f>(FARMER_FIELD_HRS+A88*TEMP_HRS)-D88</f>
        <v>-123.52997672866707</v>
      </c>
      <c r="F88" s="21">
        <f>IF(E88&lt;0,0,MIN(COUNTIF(Labor!$C$59:$C$88,"&lt;="&amp;E88),MAXBED_MES,TOTAL_BEDS-B88-C88))</f>
        <v>0</v>
      </c>
      <c r="G88" s="21">
        <f>B88+C88+F88</f>
        <v>15</v>
      </c>
      <c r="H88" s="22">
        <f>IF(E88&lt;0,-999999999,B88*(PRICE_TOM-FERT_TOM)+C88*(PRICE_CAR-FERT_CAR)+F88*(PRICE_MES-FERT_MES)-(FARMER_SALARY+A88*TEMP_COST)-FIXED_COSTS)</f>
        <v>-999999999</v>
      </c>
    </row>
    <row r="89">
      <c r="A89" s="5" t="n">
        <v>0</v>
      </c>
      <c r="B89" s="5" t="n">
        <v>3</v>
      </c>
      <c r="C89" s="5" t="n">
        <v>13</v>
      </c>
      <c r="D89" s="18">
        <f>SEASON_HRS_TOM*B89*(1+DIM_TOM)^B89+SEASON_HRS_CAR*C89*(1+DIM_CAR)^C89</f>
        <v>896.9893074924572</v>
      </c>
      <c r="E89" s="18">
        <f>(FARMER_FIELD_HRS+A89*TEMP_HRS)-D89</f>
        <v>-176.98930749245721</v>
      </c>
      <c r="F89" s="21">
        <f>IF(E89&lt;0,0,MIN(COUNTIF(Labor!$C$59:$C$88,"&lt;="&amp;E89),MAXBED_MES,TOTAL_BEDS-B89-C89))</f>
        <v>0</v>
      </c>
      <c r="G89" s="21">
        <f>B89+C89+F89</f>
        <v>16</v>
      </c>
      <c r="H89" s="22">
        <f>IF(E89&lt;0,-999999999,B89*(PRICE_TOM-FERT_TOM)+C89*(PRICE_CAR-FERT_CAR)+F89*(PRICE_MES-FERT_MES)-(FARMER_SALARY+A89*TEMP_COST)-FIXED_COSTS)</f>
        <v>-999999999</v>
      </c>
    </row>
    <row r="90">
      <c r="A90" s="5" t="n">
        <v>0</v>
      </c>
      <c r="B90" s="5" t="n">
        <v>3</v>
      </c>
      <c r="C90" s="5" t="n">
        <v>14</v>
      </c>
      <c r="D90" s="18">
        <f>SEASON_HRS_TOM*B90*(1+DIM_TOM)^B90+SEASON_HRS_CAR*C90*(1+DIM_CAR)^C90</f>
        <v>952.8190048089817</v>
      </c>
      <c r="E90" s="18">
        <f>(FARMER_FIELD_HRS+A90*TEMP_HRS)-D90</f>
        <v>-232.81900480898173</v>
      </c>
      <c r="F90" s="21">
        <f>IF(E90&lt;0,0,MIN(COUNTIF(Labor!$C$59:$C$88,"&lt;="&amp;E90),MAXBED_MES,TOTAL_BEDS-B90-C90))</f>
        <v>0</v>
      </c>
      <c r="G90" s="21">
        <f>B90+C90+F90</f>
        <v>17</v>
      </c>
      <c r="H90" s="22">
        <f>IF(E90&lt;0,-999999999,B90*(PRICE_TOM-FERT_TOM)+C90*(PRICE_CAR-FERT_CAR)+F90*(PRICE_MES-FERT_MES)-(FARMER_SALARY+A90*TEMP_COST)-FIXED_COSTS)</f>
        <v>-999999999</v>
      </c>
    </row>
    <row r="91">
      <c r="A91" s="5" t="n">
        <v>0</v>
      </c>
      <c r="B91" s="5" t="n">
        <v>3</v>
      </c>
      <c r="C91" s="5" t="n">
        <v>15</v>
      </c>
      <c r="D91" s="18">
        <f>SEASON_HRS_TOM*B91*(1+DIM_TOM)^B91+SEASON_HRS_CAR*C91*(1+DIM_CAR)^C91</f>
        <v>1011.1041749241494</v>
      </c>
      <c r="E91" s="18">
        <f>(FARMER_FIELD_HRS+A91*TEMP_HRS)-D91</f>
        <v>-291.10417492414945</v>
      </c>
      <c r="F91" s="21">
        <f>IF(E91&lt;0,0,MIN(COUNTIF(Labor!$C$59:$C$88,"&lt;="&amp;E91),MAXBED_MES,TOTAL_BEDS-B91-C91))</f>
        <v>0</v>
      </c>
      <c r="G91" s="21">
        <f>B91+C91+F91</f>
        <v>18</v>
      </c>
      <c r="H91" s="22">
        <f>IF(E91&lt;0,-999999999,B91*(PRICE_TOM-FERT_TOM)+C91*(PRICE_CAR-FERT_CAR)+F91*(PRICE_MES-FERT_MES)-(FARMER_SALARY+A91*TEMP_COST)-FIXED_COSTS)</f>
        <v>-999999999</v>
      </c>
    </row>
    <row r="92">
      <c r="A92" s="5" t="n">
        <v>0</v>
      </c>
      <c r="B92" s="5" t="n">
        <v>3</v>
      </c>
      <c r="C92" s="5" t="n">
        <v>16</v>
      </c>
      <c r="D92" s="18">
        <f>SEASON_HRS_TOM*B92*(1+DIM_TOM)^B92+SEASON_HRS_CAR*C92*(1+DIM_CAR)^C92</f>
        <v>1071.93269791707</v>
      </c>
      <c r="E92" s="18">
        <f>(FARMER_FIELD_HRS+A92*TEMP_HRS)-D92</f>
        <v>-351.9326979170701</v>
      </c>
      <c r="F92" s="21">
        <f>IF(E92&lt;0,0,MIN(COUNTIF(Labor!$C$59:$C$88,"&lt;="&amp;E92),MAXBED_MES,TOTAL_BEDS-B92-C92))</f>
        <v>0</v>
      </c>
      <c r="G92" s="21">
        <f>B92+C92+F92</f>
        <v>19</v>
      </c>
      <c r="H92" s="22">
        <f>IF(E92&lt;0,-999999999,B92*(PRICE_TOM-FERT_TOM)+C92*(PRICE_CAR-FERT_CAR)+F92*(PRICE_MES-FERT_MES)-(FARMER_SALARY+A92*TEMP_COST)-FIXED_COSTS)</f>
        <v>-999999999</v>
      </c>
    </row>
    <row r="93">
      <c r="A93" s="5" t="n">
        <v>0</v>
      </c>
      <c r="B93" s="5" t="n">
        <v>3</v>
      </c>
      <c r="C93" s="5" t="n">
        <v>17</v>
      </c>
      <c r="D93" s="18">
        <f>SEASON_HRS_TOM*B93*(1+DIM_TOM)^B93+SEASON_HRS_CAR*C93*(1+DIM_CAR)^C93</f>
        <v>1135.395313200309</v>
      </c>
      <c r="E93" s="18">
        <f>(FARMER_FIELD_HRS+A93*TEMP_HRS)-D93</f>
        <v>-415.3953132003089</v>
      </c>
      <c r="F93" s="21">
        <f>IF(E93&lt;0,0,MIN(COUNTIF(Labor!$C$59:$C$88,"&lt;="&amp;E93),MAXBED_MES,TOTAL_BEDS-B93-C93))</f>
        <v>0</v>
      </c>
      <c r="G93" s="21">
        <f>B93+C93+F93</f>
        <v>20</v>
      </c>
      <c r="H93" s="22">
        <f>IF(E93&lt;0,-999999999,B93*(PRICE_TOM-FERT_TOM)+C93*(PRICE_CAR-FERT_CAR)+F93*(PRICE_MES-FERT_MES)-(FARMER_SALARY+A93*TEMP_COST)-FIXED_COSTS)</f>
        <v>-999999999</v>
      </c>
    </row>
    <row r="94">
      <c r="A94" s="5" t="n">
        <v>0</v>
      </c>
      <c r="B94" s="5" t="n">
        <v>3</v>
      </c>
      <c r="C94" s="5" t="n">
        <v>18</v>
      </c>
      <c r="D94" s="18">
        <f>SEASON_HRS_TOM*B94*(1+DIM_TOM)^B94+SEASON_HRS_CAR*C94*(1+DIM_CAR)^C94</f>
        <v>1201.5857075615118</v>
      </c>
      <c r="E94" s="18">
        <f>(FARMER_FIELD_HRS+A94*TEMP_HRS)-D94</f>
        <v>-481.58570756151175</v>
      </c>
      <c r="F94" s="21">
        <f>IF(E94&lt;0,0,MIN(COUNTIF(Labor!$C$59:$C$88,"&lt;="&amp;E94),MAXBED_MES,TOTAL_BEDS-B94-C94))</f>
        <v>0</v>
      </c>
      <c r="G94" s="21">
        <f>B94+C94+F94</f>
        <v>21</v>
      </c>
      <c r="H94" s="22">
        <f>IF(E94&lt;0,-999999999,B94*(PRICE_TOM-FERT_TOM)+C94*(PRICE_CAR-FERT_CAR)+F94*(PRICE_MES-FERT_MES)-(FARMER_SALARY+A94*TEMP_COST)-FIXED_COSTS)</f>
        <v>-999999999</v>
      </c>
    </row>
    <row r="95">
      <c r="A95" s="5" t="n">
        <v>0</v>
      </c>
      <c r="B95" s="5" t="n">
        <v>3</v>
      </c>
      <c r="C95" s="5" t="n">
        <v>19</v>
      </c>
      <c r="D95" s="18">
        <f>SEASON_HRS_TOM*B95*(1+DIM_TOM)^B95+SEASON_HRS_CAR*C95*(1+DIM_CAR)^C95</f>
        <v>1270.6006058200242</v>
      </c>
      <c r="E95" s="18">
        <f>(FARMER_FIELD_HRS+A95*TEMP_HRS)-D95</f>
        <v>-550.6006058200242</v>
      </c>
      <c r="F95" s="21">
        <f>IF(E95&lt;0,0,MIN(COUNTIF(Labor!$C$59:$C$88,"&lt;="&amp;E95),MAXBED_MES,TOTAL_BEDS-B95-C95))</f>
        <v>0</v>
      </c>
      <c r="G95" s="21">
        <f>B95+C95+F95</f>
        <v>22</v>
      </c>
      <c r="H95" s="22">
        <f>IF(E95&lt;0,-999999999,B95*(PRICE_TOM-FERT_TOM)+C95*(PRICE_CAR-FERT_CAR)+F95*(PRICE_MES-FERT_MES)-(FARMER_SALARY+A95*TEMP_COST)-FIXED_COSTS)</f>
        <v>-999999999</v>
      </c>
    </row>
    <row r="96">
      <c r="A96" s="5" t="n">
        <v>0</v>
      </c>
      <c r="B96" s="5" t="n">
        <v>3</v>
      </c>
      <c r="C96" s="5" t="n">
        <v>20</v>
      </c>
      <c r="D96" s="18">
        <f>SEASON_HRS_TOM*B96*(1+DIM_TOM)^B96+SEASON_HRS_CAR*C96*(1+DIM_CAR)^C96</f>
        <v>1342.5398641742368</v>
      </c>
      <c r="E96" s="18">
        <f>(FARMER_FIELD_HRS+A96*TEMP_HRS)-D96</f>
        <v>-622.5398641742368</v>
      </c>
      <c r="F96" s="21">
        <f>IF(E96&lt;0,0,MIN(COUNTIF(Labor!$C$59:$C$88,"&lt;="&amp;E96),MAXBED_MES,TOTAL_BEDS-B96-C96))</f>
        <v>0</v>
      </c>
      <c r="G96" s="21">
        <f>B96+C96+F96</f>
        <v>23</v>
      </c>
      <c r="H96" s="22">
        <f>IF(E96&lt;0,-999999999,B96*(PRICE_TOM-FERT_TOM)+C96*(PRICE_CAR-FERT_CAR)+F96*(PRICE_MES-FERT_MES)-(FARMER_SALARY+A96*TEMP_COST)-FIXED_COSTS)</f>
        <v>-999999999</v>
      </c>
    </row>
    <row r="97">
      <c r="A97" s="5" t="n">
        <v>0</v>
      </c>
      <c r="B97" s="5" t="n">
        <v>4</v>
      </c>
      <c r="C97" s="5" t="n">
        <v>0</v>
      </c>
      <c r="D97" s="18">
        <f>SEASON_HRS_TOM*B97*(1+DIM_TOM)^B97+SEASON_HRS_CAR*C97*(1+DIM_CAR)^C97</f>
        <v>527.0760000000001</v>
      </c>
      <c r="E97" s="18">
        <f>(FARMER_FIELD_HRS+A97*TEMP_HRS)-D97</f>
        <v>192.92399999999986</v>
      </c>
      <c r="F97" s="21">
        <f>IF(E97&lt;0,0,MIN(COUNTIF(Labor!$C$59:$C$88,"&lt;="&amp;E97),MAXBED_MES,TOTAL_BEDS-B97-C97))</f>
        <v>4</v>
      </c>
      <c r="G97" s="21">
        <f>B97+C97+F97</f>
        <v>8</v>
      </c>
      <c r="H97" s="22">
        <f>IF(E97&lt;0,-999999999,B97*(PRICE_TOM-FERT_TOM)+C97*(PRICE_CAR-FERT_CAR)+F97*(PRICE_MES-FERT_MES)-(FARMER_SALARY+A97*TEMP_COST)-FIXED_COSTS)</f>
        <v>-31040</v>
      </c>
    </row>
    <row r="98">
      <c r="A98" s="5" t="n">
        <v>0</v>
      </c>
      <c r="B98" s="5" t="n">
        <v>4</v>
      </c>
      <c r="C98" s="5" t="n">
        <v>1</v>
      </c>
      <c r="D98" s="18">
        <f>SEASON_HRS_TOM*B98*(1+DIM_TOM)^B98+SEASON_HRS_CAR*C98*(1+DIM_CAR)^C98</f>
        <v>557.8260000000001</v>
      </c>
      <c r="E98" s="18">
        <f>(FARMER_FIELD_HRS+A98*TEMP_HRS)-D98</f>
        <v>162.17399999999986</v>
      </c>
      <c r="F98" s="21">
        <f>IF(E98&lt;0,0,MIN(COUNTIF(Labor!$C$59:$C$88,"&lt;="&amp;E98),MAXBED_MES,TOTAL_BEDS-B98-C98))</f>
        <v>3</v>
      </c>
      <c r="G98" s="21">
        <f>B98+C98+F98</f>
        <v>8</v>
      </c>
      <c r="H98" s="22">
        <f>IF(E98&lt;0,-999999999,B98*(PRICE_TOM-FERT_TOM)+C98*(PRICE_CAR-FERT_CAR)+F98*(PRICE_MES-FERT_MES)-(FARMER_SALARY+A98*TEMP_COST)-FIXED_COSTS)</f>
        <v>-31206</v>
      </c>
    </row>
    <row r="99">
      <c r="A99" s="5" t="n">
        <v>0</v>
      </c>
      <c r="B99" s="5" t="n">
        <v>4</v>
      </c>
      <c r="C99" s="5" t="n">
        <v>2</v>
      </c>
      <c r="D99" s="18">
        <f>SEASON_HRS_TOM*B99*(1+DIM_TOM)^B99+SEASON_HRS_CAR*C99*(1+DIM_CAR)^C99</f>
        <v>590.1135000000002</v>
      </c>
      <c r="E99" s="18">
        <f>(FARMER_FIELD_HRS+A99*TEMP_HRS)-D99</f>
        <v>129.88649999999984</v>
      </c>
      <c r="F99" s="21">
        <f>IF(E99&lt;0,0,MIN(COUNTIF(Labor!$C$59:$C$88,"&lt;="&amp;E99),MAXBED_MES,TOTAL_BEDS-B99-C99))</f>
        <v>2</v>
      </c>
      <c r="G99" s="21">
        <f>B99+C99+F99</f>
        <v>8</v>
      </c>
      <c r="H99" s="22">
        <f>IF(E99&lt;0,-999999999,B99*(PRICE_TOM-FERT_TOM)+C99*(PRICE_CAR-FERT_CAR)+F99*(PRICE_MES-FERT_MES)-(FARMER_SALARY+A99*TEMP_COST)-FIXED_COSTS)</f>
        <v>-31372</v>
      </c>
    </row>
    <row r="100">
      <c r="A100" s="5" t="n">
        <v>0</v>
      </c>
      <c r="B100" s="5" t="n">
        <v>4</v>
      </c>
      <c r="C100" s="5" t="n">
        <v>3</v>
      </c>
      <c r="D100" s="18">
        <f>SEASON_HRS_TOM*B100*(1+DIM_TOM)^B100+SEASON_HRS_CAR*C100*(1+DIM_CAR)^C100</f>
        <v>623.9961562500001</v>
      </c>
      <c r="E100" s="18">
        <f>(FARMER_FIELD_HRS+A100*TEMP_HRS)-D100</f>
        <v>96.00384374999987</v>
      </c>
      <c r="F100" s="21">
        <f>IF(E100&lt;0,0,MIN(COUNTIF(Labor!$C$59:$C$88,"&lt;="&amp;E100),MAXBED_MES,TOTAL_BEDS-B100-C100))</f>
        <v>2</v>
      </c>
      <c r="G100" s="21">
        <f>B100+C100+F100</f>
        <v>9</v>
      </c>
      <c r="H100" s="22">
        <f>IF(E100&lt;0,-999999999,B100*(PRICE_TOM-FERT_TOM)+C100*(PRICE_CAR-FERT_CAR)+F100*(PRICE_MES-FERT_MES)-(FARMER_SALARY+A100*TEMP_COST)-FIXED_COSTS)</f>
        <v>-29718</v>
      </c>
    </row>
    <row r="101">
      <c r="A101" s="5" t="n">
        <v>0</v>
      </c>
      <c r="B101" s="5" t="n">
        <v>4</v>
      </c>
      <c r="C101" s="5" t="n">
        <v>4</v>
      </c>
      <c r="D101" s="18">
        <f>SEASON_HRS_TOM*B101*(1+DIM_TOM)^B101+SEASON_HRS_CAR*C101*(1+DIM_CAR)^C101</f>
        <v>659.5335468750001</v>
      </c>
      <c r="E101" s="18">
        <f>(FARMER_FIELD_HRS+A101*TEMP_HRS)-D101</f>
        <v>60.46645312499993</v>
      </c>
      <c r="F101" s="21">
        <f>IF(E101&lt;0,0,MIN(COUNTIF(Labor!$C$59:$C$88,"&lt;="&amp;E101),MAXBED_MES,TOTAL_BEDS-B101-C101))</f>
        <v>1</v>
      </c>
      <c r="G101" s="21">
        <f>B101+C101+F101</f>
        <v>9</v>
      </c>
      <c r="H101" s="22">
        <f>IF(E101&lt;0,-999999999,B101*(PRICE_TOM-FERT_TOM)+C101*(PRICE_CAR-FERT_CAR)+F101*(PRICE_MES-FERT_MES)-(FARMER_SALARY+A101*TEMP_COST)-FIXED_COSTS)</f>
        <v>-29884</v>
      </c>
    </row>
    <row r="102">
      <c r="A102" s="5" t="n">
        <v>0</v>
      </c>
      <c r="B102" s="5" t="n">
        <v>4</v>
      </c>
      <c r="C102" s="5" t="n">
        <v>5</v>
      </c>
      <c r="D102" s="18">
        <f>SEASON_HRS_TOM*B102*(1+DIM_TOM)^B102+SEASON_HRS_CAR*C102*(1+DIM_CAR)^C102</f>
        <v>696.7872319335938</v>
      </c>
      <c r="E102" s="18">
        <f>(FARMER_FIELD_HRS+A102*TEMP_HRS)-D102</f>
        <v>23.21276806640617</v>
      </c>
      <c r="F102" s="21">
        <f>IF(E102&lt;0,0,MIN(COUNTIF(Labor!$C$59:$C$88,"&lt;="&amp;E102),MAXBED_MES,TOTAL_BEDS-B102-C102))</f>
        <v>0</v>
      </c>
      <c r="G102" s="21">
        <f>B102+C102+F102</f>
        <v>9</v>
      </c>
      <c r="H102" s="22">
        <f>IF(E102&lt;0,-999999999,B102*(PRICE_TOM-FERT_TOM)+C102*(PRICE_CAR-FERT_CAR)+F102*(PRICE_MES-FERT_MES)-(FARMER_SALARY+A102*TEMP_COST)-FIXED_COSTS)</f>
        <v>-30050</v>
      </c>
    </row>
    <row r="103">
      <c r="A103" s="5" t="n">
        <v>0</v>
      </c>
      <c r="B103" s="5" t="n">
        <v>4</v>
      </c>
      <c r="C103" s="5" t="n">
        <v>6</v>
      </c>
      <c r="D103" s="18">
        <f>SEASON_HRS_TOM*B103*(1+DIM_TOM)^B103+SEASON_HRS_CAR*C103*(1+DIM_CAR)^C103</f>
        <v>735.8208152783203</v>
      </c>
      <c r="E103" s="18">
        <f>(FARMER_FIELD_HRS+A103*TEMP_HRS)-D103</f>
        <v>-15.82081527832031</v>
      </c>
      <c r="F103" s="21">
        <f>IF(E103&lt;0,0,MIN(COUNTIF(Labor!$C$59:$C$88,"&lt;="&amp;E103),MAXBED_MES,TOTAL_BEDS-B103-C103))</f>
        <v>0</v>
      </c>
      <c r="G103" s="21">
        <f>B103+C103+F103</f>
        <v>10</v>
      </c>
      <c r="H103" s="22">
        <f>IF(E103&lt;0,-999999999,B103*(PRICE_TOM-FERT_TOM)+C103*(PRICE_CAR-FERT_CAR)+F103*(PRICE_MES-FERT_MES)-(FARMER_SALARY+A103*TEMP_COST)-FIXED_COSTS)</f>
        <v>-999999999</v>
      </c>
    </row>
    <row r="104">
      <c r="A104" s="5" t="n">
        <v>0</v>
      </c>
      <c r="B104" s="5" t="n">
        <v>4</v>
      </c>
      <c r="C104" s="5" t="n">
        <v>7</v>
      </c>
      <c r="D104" s="18">
        <f>SEASON_HRS_TOM*B104*(1+DIM_TOM)^B104+SEASON_HRS_CAR*C104*(1+DIM_CAR)^C104</f>
        <v>776.7000082703247</v>
      </c>
      <c r="E104" s="18">
        <f>(FARMER_FIELD_HRS+A104*TEMP_HRS)-D104</f>
        <v>-56.7000082703247</v>
      </c>
      <c r="F104" s="21">
        <f>IF(E104&lt;0,0,MIN(COUNTIF(Labor!$C$59:$C$88,"&lt;="&amp;E104),MAXBED_MES,TOTAL_BEDS-B104-C104))</f>
        <v>0</v>
      </c>
      <c r="G104" s="21">
        <f>B104+C104+F104</f>
        <v>11</v>
      </c>
      <c r="H104" s="22">
        <f>IF(E104&lt;0,-999999999,B104*(PRICE_TOM-FERT_TOM)+C104*(PRICE_CAR-FERT_CAR)+F104*(PRICE_MES-FERT_MES)-(FARMER_SALARY+A104*TEMP_COST)-FIXED_COSTS)</f>
        <v>-999999999</v>
      </c>
    </row>
    <row r="105">
      <c r="A105" s="5" t="n">
        <v>0</v>
      </c>
      <c r="B105" s="5" t="n">
        <v>4</v>
      </c>
      <c r="C105" s="5" t="n">
        <v>8</v>
      </c>
      <c r="D105" s="18">
        <f>SEASON_HRS_TOM*B105*(1+DIM_TOM)^B105+SEASON_HRS_CAR*C105*(1+DIM_CAR)^C105</f>
        <v>819.4926954023803</v>
      </c>
      <c r="E105" s="18">
        <f>(FARMER_FIELD_HRS+A105*TEMP_HRS)-D105</f>
        <v>-99.49269540238026</v>
      </c>
      <c r="F105" s="21">
        <f>IF(E105&lt;0,0,MIN(COUNTIF(Labor!$C$59:$C$88,"&lt;="&amp;E105),MAXBED_MES,TOTAL_BEDS-B105-C105))</f>
        <v>0</v>
      </c>
      <c r="G105" s="21">
        <f>B105+C105+F105</f>
        <v>12</v>
      </c>
      <c r="H105" s="22">
        <f>IF(E105&lt;0,-999999999,B105*(PRICE_TOM-FERT_TOM)+C105*(PRICE_CAR-FERT_CAR)+F105*(PRICE_MES-FERT_MES)-(FARMER_SALARY+A105*TEMP_COST)-FIXED_COSTS)</f>
        <v>-999999999</v>
      </c>
    </row>
    <row r="106">
      <c r="A106" s="5" t="n">
        <v>0</v>
      </c>
      <c r="B106" s="5" t="n">
        <v>4</v>
      </c>
      <c r="C106" s="5" t="n">
        <v>9</v>
      </c>
      <c r="D106" s="18">
        <f>SEASON_HRS_TOM*B106*(1+DIM_TOM)^B106+SEASON_HRS_CAR*C106*(1+DIM_CAR)^C106</f>
        <v>864.2690018858698</v>
      </c>
      <c r="E106" s="18">
        <f>(FARMER_FIELD_HRS+A106*TEMP_HRS)-D106</f>
        <v>-144.26900188586978</v>
      </c>
      <c r="F106" s="21">
        <f>IF(E106&lt;0,0,MIN(COUNTIF(Labor!$C$59:$C$88,"&lt;="&amp;E106),MAXBED_MES,TOTAL_BEDS-B106-C106))</f>
        <v>0</v>
      </c>
      <c r="G106" s="21">
        <f>B106+C106+F106</f>
        <v>13</v>
      </c>
      <c r="H106" s="22">
        <f>IF(E106&lt;0,-999999999,B106*(PRICE_TOM-FERT_TOM)+C106*(PRICE_CAR-FERT_CAR)+F106*(PRICE_MES-FERT_MES)-(FARMER_SALARY+A106*TEMP_COST)-FIXED_COSTS)</f>
        <v>-999999999</v>
      </c>
    </row>
    <row r="107">
      <c r="A107" s="5" t="n">
        <v>0</v>
      </c>
      <c r="B107" s="5" t="n">
        <v>4</v>
      </c>
      <c r="C107" s="5" t="n">
        <v>10</v>
      </c>
      <c r="D107" s="18">
        <f>SEASON_HRS_TOM*B107*(1+DIM_TOM)^B107+SEASON_HRS_CAR*C107*(1+DIM_CAR)^C107</f>
        <v>911.1013632589072</v>
      </c>
      <c r="E107" s="18">
        <f>(FARMER_FIELD_HRS+A107*TEMP_HRS)-D107</f>
        <v>-191.1013632589072</v>
      </c>
      <c r="F107" s="21">
        <f>IF(E107&lt;0,0,MIN(COUNTIF(Labor!$C$59:$C$88,"&lt;="&amp;E107),MAXBED_MES,TOTAL_BEDS-B107-C107))</f>
        <v>0</v>
      </c>
      <c r="G107" s="21">
        <f>B107+C107+F107</f>
        <v>14</v>
      </c>
      <c r="H107" s="22">
        <f>IF(E107&lt;0,-999999999,B107*(PRICE_TOM-FERT_TOM)+C107*(PRICE_CAR-FERT_CAR)+F107*(PRICE_MES-FERT_MES)-(FARMER_SALARY+A107*TEMP_COST)-FIXED_COSTS)</f>
        <v>-999999999</v>
      </c>
    </row>
    <row r="108">
      <c r="A108" s="5" t="n">
        <v>0</v>
      </c>
      <c r="B108" s="5" t="n">
        <v>4</v>
      </c>
      <c r="C108" s="5" t="n">
        <v>11</v>
      </c>
      <c r="D108" s="18">
        <f>SEASON_HRS_TOM*B108*(1+DIM_TOM)^B108+SEASON_HRS_CAR*C108*(1+DIM_CAR)^C108</f>
        <v>960.0645970744177</v>
      </c>
      <c r="E108" s="18">
        <f>(FARMER_FIELD_HRS+A108*TEMP_HRS)-D108</f>
        <v>-240.06459707441775</v>
      </c>
      <c r="F108" s="21">
        <f>IF(E108&lt;0,0,MIN(COUNTIF(Labor!$C$59:$C$88,"&lt;="&amp;E108),MAXBED_MES,TOTAL_BEDS-B108-C108))</f>
        <v>0</v>
      </c>
      <c r="G108" s="21">
        <f>B108+C108+F108</f>
        <v>15</v>
      </c>
      <c r="H108" s="22">
        <f>IF(E108&lt;0,-999999999,B108*(PRICE_TOM-FERT_TOM)+C108*(PRICE_CAR-FERT_CAR)+F108*(PRICE_MES-FERT_MES)-(FARMER_SALARY+A108*TEMP_COST)-FIXED_COSTS)</f>
        <v>-999999999</v>
      </c>
    </row>
    <row r="109">
      <c r="A109" s="5" t="n">
        <v>0</v>
      </c>
      <c r="B109" s="5" t="n">
        <v>4</v>
      </c>
      <c r="C109" s="5" t="n">
        <v>12</v>
      </c>
      <c r="D109" s="18">
        <f>SEASON_HRS_TOM*B109*(1+DIM_TOM)^B109+SEASON_HRS_CAR*C109*(1+DIM_CAR)^C109</f>
        <v>1011.2359767286671</v>
      </c>
      <c r="E109" s="18">
        <f>(FARMER_FIELD_HRS+A109*TEMP_HRS)-D109</f>
        <v>-291.2359767286671</v>
      </c>
      <c r="F109" s="21">
        <f>IF(E109&lt;0,0,MIN(COUNTIF(Labor!$C$59:$C$88,"&lt;="&amp;E109),MAXBED_MES,TOTAL_BEDS-B109-C109))</f>
        <v>0</v>
      </c>
      <c r="G109" s="21">
        <f>B109+C109+F109</f>
        <v>16</v>
      </c>
      <c r="H109" s="22">
        <f>IF(E109&lt;0,-999999999,B109*(PRICE_TOM-FERT_TOM)+C109*(PRICE_CAR-FERT_CAR)+F109*(PRICE_MES-FERT_MES)-(FARMER_SALARY+A109*TEMP_COST)-FIXED_COSTS)</f>
        <v>-999999999</v>
      </c>
    </row>
    <row r="110">
      <c r="A110" s="5" t="n">
        <v>0</v>
      </c>
      <c r="B110" s="5" t="n">
        <v>4</v>
      </c>
      <c r="C110" s="5" t="n">
        <v>13</v>
      </c>
      <c r="D110" s="18">
        <f>SEASON_HRS_TOM*B110*(1+DIM_TOM)^B110+SEASON_HRS_CAR*C110*(1+DIM_CAR)^C110</f>
        <v>1064.6953074924572</v>
      </c>
      <c r="E110" s="18">
        <f>(FARMER_FIELD_HRS+A110*TEMP_HRS)-D110</f>
        <v>-344.69530749245723</v>
      </c>
      <c r="F110" s="21">
        <f>IF(E110&lt;0,0,MIN(COUNTIF(Labor!$C$59:$C$88,"&lt;="&amp;E110),MAXBED_MES,TOTAL_BEDS-B110-C110))</f>
        <v>0</v>
      </c>
      <c r="G110" s="21">
        <f>B110+C110+F110</f>
        <v>17</v>
      </c>
      <c r="H110" s="22">
        <f>IF(E110&lt;0,-999999999,B110*(PRICE_TOM-FERT_TOM)+C110*(PRICE_CAR-FERT_CAR)+F110*(PRICE_MES-FERT_MES)-(FARMER_SALARY+A110*TEMP_COST)-FIXED_COSTS)</f>
        <v>-999999999</v>
      </c>
    </row>
    <row r="111">
      <c r="A111" s="5" t="n">
        <v>0</v>
      </c>
      <c r="B111" s="5" t="n">
        <v>4</v>
      </c>
      <c r="C111" s="5" t="n">
        <v>14</v>
      </c>
      <c r="D111" s="18">
        <f>SEASON_HRS_TOM*B111*(1+DIM_TOM)^B111+SEASON_HRS_CAR*C111*(1+DIM_CAR)^C111</f>
        <v>1120.5250048089817</v>
      </c>
      <c r="E111" s="18">
        <f>(FARMER_FIELD_HRS+A111*TEMP_HRS)-D111</f>
        <v>-400.52500480898175</v>
      </c>
      <c r="F111" s="21">
        <f>IF(E111&lt;0,0,MIN(COUNTIF(Labor!$C$59:$C$88,"&lt;="&amp;E111),MAXBED_MES,TOTAL_BEDS-B111-C111))</f>
        <v>0</v>
      </c>
      <c r="G111" s="21">
        <f>B111+C111+F111</f>
        <v>18</v>
      </c>
      <c r="H111" s="22">
        <f>IF(E111&lt;0,-999999999,B111*(PRICE_TOM-FERT_TOM)+C111*(PRICE_CAR-FERT_CAR)+F111*(PRICE_MES-FERT_MES)-(FARMER_SALARY+A111*TEMP_COST)-FIXED_COSTS)</f>
        <v>-999999999</v>
      </c>
    </row>
    <row r="112">
      <c r="A112" s="5" t="n">
        <v>0</v>
      </c>
      <c r="B112" s="5" t="n">
        <v>4</v>
      </c>
      <c r="C112" s="5" t="n">
        <v>15</v>
      </c>
      <c r="D112" s="18">
        <f>SEASON_HRS_TOM*B112*(1+DIM_TOM)^B112+SEASON_HRS_CAR*C112*(1+DIM_CAR)^C112</f>
        <v>1178.8101749241496</v>
      </c>
      <c r="E112" s="18">
        <f>(FARMER_FIELD_HRS+A112*TEMP_HRS)-D112</f>
        <v>-458.8101749241496</v>
      </c>
      <c r="F112" s="21">
        <f>IF(E112&lt;0,0,MIN(COUNTIF(Labor!$C$59:$C$88,"&lt;="&amp;E112),MAXBED_MES,TOTAL_BEDS-B112-C112))</f>
        <v>0</v>
      </c>
      <c r="G112" s="21">
        <f>B112+C112+F112</f>
        <v>19</v>
      </c>
      <c r="H112" s="22">
        <f>IF(E112&lt;0,-999999999,B112*(PRICE_TOM-FERT_TOM)+C112*(PRICE_CAR-FERT_CAR)+F112*(PRICE_MES-FERT_MES)-(FARMER_SALARY+A112*TEMP_COST)-FIXED_COSTS)</f>
        <v>-999999999</v>
      </c>
    </row>
    <row r="113">
      <c r="A113" s="5" t="n">
        <v>0</v>
      </c>
      <c r="B113" s="5" t="n">
        <v>4</v>
      </c>
      <c r="C113" s="5" t="n">
        <v>16</v>
      </c>
      <c r="D113" s="18">
        <f>SEASON_HRS_TOM*B113*(1+DIM_TOM)^B113+SEASON_HRS_CAR*C113*(1+DIM_CAR)^C113</f>
        <v>1239.63869791707</v>
      </c>
      <c r="E113" s="18">
        <f>(FARMER_FIELD_HRS+A113*TEMP_HRS)-D113</f>
        <v>-519.63869791707</v>
      </c>
      <c r="F113" s="21">
        <f>IF(E113&lt;0,0,MIN(COUNTIF(Labor!$C$59:$C$88,"&lt;="&amp;E113),MAXBED_MES,TOTAL_BEDS-B113-C113))</f>
        <v>0</v>
      </c>
      <c r="G113" s="21">
        <f>B113+C113+F113</f>
        <v>20</v>
      </c>
      <c r="H113" s="22">
        <f>IF(E113&lt;0,-999999999,B113*(PRICE_TOM-FERT_TOM)+C113*(PRICE_CAR-FERT_CAR)+F113*(PRICE_MES-FERT_MES)-(FARMER_SALARY+A113*TEMP_COST)-FIXED_COSTS)</f>
        <v>-999999999</v>
      </c>
    </row>
    <row r="114">
      <c r="A114" s="5" t="n">
        <v>0</v>
      </c>
      <c r="B114" s="5" t="n">
        <v>4</v>
      </c>
      <c r="C114" s="5" t="n">
        <v>17</v>
      </c>
      <c r="D114" s="18">
        <f>SEASON_HRS_TOM*B114*(1+DIM_TOM)^B114+SEASON_HRS_CAR*C114*(1+DIM_CAR)^C114</f>
        <v>1303.101313200309</v>
      </c>
      <c r="E114" s="18">
        <f>(FARMER_FIELD_HRS+A114*TEMP_HRS)-D114</f>
        <v>-583.101313200309</v>
      </c>
      <c r="F114" s="21">
        <f>IF(E114&lt;0,0,MIN(COUNTIF(Labor!$C$59:$C$88,"&lt;="&amp;E114),MAXBED_MES,TOTAL_BEDS-B114-C114))</f>
        <v>0</v>
      </c>
      <c r="G114" s="21">
        <f>B114+C114+F114</f>
        <v>21</v>
      </c>
      <c r="H114" s="22">
        <f>IF(E114&lt;0,-999999999,B114*(PRICE_TOM-FERT_TOM)+C114*(PRICE_CAR-FERT_CAR)+F114*(PRICE_MES-FERT_MES)-(FARMER_SALARY+A114*TEMP_COST)-FIXED_COSTS)</f>
        <v>-999999999</v>
      </c>
    </row>
    <row r="115">
      <c r="A115" s="5" t="n">
        <v>0</v>
      </c>
      <c r="B115" s="5" t="n">
        <v>4</v>
      </c>
      <c r="C115" s="5" t="n">
        <v>18</v>
      </c>
      <c r="D115" s="18">
        <f>SEASON_HRS_TOM*B115*(1+DIM_TOM)^B115+SEASON_HRS_CAR*C115*(1+DIM_CAR)^C115</f>
        <v>1369.2917075615117</v>
      </c>
      <c r="E115" s="18">
        <f>(FARMER_FIELD_HRS+A115*TEMP_HRS)-D115</f>
        <v>-649.2917075615117</v>
      </c>
      <c r="F115" s="21">
        <f>IF(E115&lt;0,0,MIN(COUNTIF(Labor!$C$59:$C$88,"&lt;="&amp;E115),MAXBED_MES,TOTAL_BEDS-B115-C115))</f>
        <v>0</v>
      </c>
      <c r="G115" s="21">
        <f>B115+C115+F115</f>
        <v>22</v>
      </c>
      <c r="H115" s="22">
        <f>IF(E115&lt;0,-999999999,B115*(PRICE_TOM-FERT_TOM)+C115*(PRICE_CAR-FERT_CAR)+F115*(PRICE_MES-FERT_MES)-(FARMER_SALARY+A115*TEMP_COST)-FIXED_COSTS)</f>
        <v>-999999999</v>
      </c>
    </row>
    <row r="116">
      <c r="A116" s="5" t="n">
        <v>0</v>
      </c>
      <c r="B116" s="5" t="n">
        <v>4</v>
      </c>
      <c r="C116" s="5" t="n">
        <v>19</v>
      </c>
      <c r="D116" s="18">
        <f>SEASON_HRS_TOM*B116*(1+DIM_TOM)^B116+SEASON_HRS_CAR*C116*(1+DIM_CAR)^C116</f>
        <v>1438.3066058200243</v>
      </c>
      <c r="E116" s="18">
        <f>(FARMER_FIELD_HRS+A116*TEMP_HRS)-D116</f>
        <v>-718.3066058200243</v>
      </c>
      <c r="F116" s="21">
        <f>IF(E116&lt;0,0,MIN(COUNTIF(Labor!$C$59:$C$88,"&lt;="&amp;E116),MAXBED_MES,TOTAL_BEDS-B116-C116))</f>
        <v>0</v>
      </c>
      <c r="G116" s="21">
        <f>B116+C116+F116</f>
        <v>23</v>
      </c>
      <c r="H116" s="22">
        <f>IF(E116&lt;0,-999999999,B116*(PRICE_TOM-FERT_TOM)+C116*(PRICE_CAR-FERT_CAR)+F116*(PRICE_MES-FERT_MES)-(FARMER_SALARY+A116*TEMP_COST)-FIXED_COSTS)</f>
        <v>-999999999</v>
      </c>
    </row>
    <row r="117">
      <c r="A117" s="5" t="n">
        <v>0</v>
      </c>
      <c r="B117" s="5" t="n">
        <v>4</v>
      </c>
      <c r="C117" s="5" t="n">
        <v>20</v>
      </c>
      <c r="D117" s="18">
        <f>SEASON_HRS_TOM*B117*(1+DIM_TOM)^B117+SEASON_HRS_CAR*C117*(1+DIM_CAR)^C117</f>
        <v>1510.2458641742367</v>
      </c>
      <c r="E117" s="18">
        <f>(FARMER_FIELD_HRS+A117*TEMP_HRS)-D117</f>
        <v>-790.2458641742367</v>
      </c>
      <c r="F117" s="21">
        <f>IF(E117&lt;0,0,MIN(COUNTIF(Labor!$C$59:$C$88,"&lt;="&amp;E117),MAXBED_MES,TOTAL_BEDS-B117-C117))</f>
        <v>0</v>
      </c>
      <c r="G117" s="21">
        <f>B117+C117+F117</f>
        <v>24</v>
      </c>
      <c r="H117" s="22">
        <f>IF(E117&lt;0,-999999999,B117*(PRICE_TOM-FERT_TOM)+C117*(PRICE_CAR-FERT_CAR)+F117*(PRICE_MES-FERT_MES)-(FARMER_SALARY+A117*TEMP_COST)-FIXED_COSTS)</f>
        <v>-999999999</v>
      </c>
    </row>
    <row r="118">
      <c r="A118" s="5" t="n">
        <v>0</v>
      </c>
      <c r="B118" s="5" t="n">
        <v>5</v>
      </c>
      <c r="C118" s="5" t="n">
        <v>0</v>
      </c>
      <c r="D118" s="18">
        <f>SEASON_HRS_TOM*B118*(1+DIM_TOM)^B118+SEASON_HRS_CAR*C118*(1+DIM_CAR)^C118</f>
        <v>724.7295000000003</v>
      </c>
      <c r="E118" s="18">
        <f>(FARMER_FIELD_HRS+A118*TEMP_HRS)-D118</f>
        <v>-4.729500000000257</v>
      </c>
      <c r="F118" s="21">
        <f>IF(E118&lt;0,0,MIN(COUNTIF(Labor!$C$59:$C$88,"&lt;="&amp;E118),MAXBED_MES,TOTAL_BEDS-B118-C118))</f>
        <v>0</v>
      </c>
      <c r="G118" s="21">
        <f>B118+C118+F118</f>
        <v>5</v>
      </c>
      <c r="H118" s="22">
        <f>IF(E118&lt;0,-999999999,B118*(PRICE_TOM-FERT_TOM)+C118*(PRICE_CAR-FERT_CAR)+F118*(PRICE_MES-FERT_MES)-(FARMER_SALARY+A118*TEMP_COST)-FIXED_COSTS)</f>
        <v>-999999999</v>
      </c>
    </row>
    <row r="119">
      <c r="A119" s="5" t="n">
        <v>0</v>
      </c>
      <c r="B119" s="5" t="n">
        <v>5</v>
      </c>
      <c r="C119" s="5" t="n">
        <v>1</v>
      </c>
      <c r="D119" s="18">
        <f>SEASON_HRS_TOM*B119*(1+DIM_TOM)^B119+SEASON_HRS_CAR*C119*(1+DIM_CAR)^C119</f>
        <v>755.4795000000003</v>
      </c>
      <c r="E119" s="18">
        <f>(FARMER_FIELD_HRS+A119*TEMP_HRS)-D119</f>
        <v>-35.47950000000026</v>
      </c>
      <c r="F119" s="21">
        <f>IF(E119&lt;0,0,MIN(COUNTIF(Labor!$C$59:$C$88,"&lt;="&amp;E119),MAXBED_MES,TOTAL_BEDS-B119-C119))</f>
        <v>0</v>
      </c>
      <c r="G119" s="21">
        <f>B119+C119+F119</f>
        <v>6</v>
      </c>
      <c r="H119" s="22">
        <f>IF(E119&lt;0,-999999999,B119*(PRICE_TOM-FERT_TOM)+C119*(PRICE_CAR-FERT_CAR)+F119*(PRICE_MES-FERT_MES)-(FARMER_SALARY+A119*TEMP_COST)-FIXED_COSTS)</f>
        <v>-999999999</v>
      </c>
    </row>
    <row r="120">
      <c r="A120" s="5" t="n">
        <v>0</v>
      </c>
      <c r="B120" s="5" t="n">
        <v>5</v>
      </c>
      <c r="C120" s="5" t="n">
        <v>2</v>
      </c>
      <c r="D120" s="18">
        <f>SEASON_HRS_TOM*B120*(1+DIM_TOM)^B120+SEASON_HRS_CAR*C120*(1+DIM_CAR)^C120</f>
        <v>787.7670000000003</v>
      </c>
      <c r="E120" s="18">
        <f>(FARMER_FIELD_HRS+A120*TEMP_HRS)-D120</f>
        <v>-67.76700000000028</v>
      </c>
      <c r="F120" s="21">
        <f>IF(E120&lt;0,0,MIN(COUNTIF(Labor!$C$59:$C$88,"&lt;="&amp;E120),MAXBED_MES,TOTAL_BEDS-B120-C120))</f>
        <v>0</v>
      </c>
      <c r="G120" s="21">
        <f>B120+C120+F120</f>
        <v>7</v>
      </c>
      <c r="H120" s="22">
        <f>IF(E120&lt;0,-999999999,B120*(PRICE_TOM-FERT_TOM)+C120*(PRICE_CAR-FERT_CAR)+F120*(PRICE_MES-FERT_MES)-(FARMER_SALARY+A120*TEMP_COST)-FIXED_COSTS)</f>
        <v>-999999999</v>
      </c>
    </row>
    <row r="121">
      <c r="A121" s="5" t="n">
        <v>0</v>
      </c>
      <c r="B121" s="5" t="n">
        <v>5</v>
      </c>
      <c r="C121" s="5" t="n">
        <v>3</v>
      </c>
      <c r="D121" s="18">
        <f>SEASON_HRS_TOM*B121*(1+DIM_TOM)^B121+SEASON_HRS_CAR*C121*(1+DIM_CAR)^C121</f>
        <v>821.6496562500002</v>
      </c>
      <c r="E121" s="18">
        <f>(FARMER_FIELD_HRS+A121*TEMP_HRS)-D121</f>
        <v>-101.64965625000025</v>
      </c>
      <c r="F121" s="21">
        <f>IF(E121&lt;0,0,MIN(COUNTIF(Labor!$C$59:$C$88,"&lt;="&amp;E121),MAXBED_MES,TOTAL_BEDS-B121-C121))</f>
        <v>0</v>
      </c>
      <c r="G121" s="21">
        <f>B121+C121+F121</f>
        <v>8</v>
      </c>
      <c r="H121" s="22">
        <f>IF(E121&lt;0,-999999999,B121*(PRICE_TOM-FERT_TOM)+C121*(PRICE_CAR-FERT_CAR)+F121*(PRICE_MES-FERT_MES)-(FARMER_SALARY+A121*TEMP_COST)-FIXED_COSTS)</f>
        <v>-999999999</v>
      </c>
    </row>
    <row r="122">
      <c r="A122" s="5" t="n">
        <v>0</v>
      </c>
      <c r="B122" s="5" t="n">
        <v>5</v>
      </c>
      <c r="C122" s="5" t="n">
        <v>4</v>
      </c>
      <c r="D122" s="18">
        <f>SEASON_HRS_TOM*B122*(1+DIM_TOM)^B122+SEASON_HRS_CAR*C122*(1+DIM_CAR)^C122</f>
        <v>857.1870468750002</v>
      </c>
      <c r="E122" s="18">
        <f>(FARMER_FIELD_HRS+A122*TEMP_HRS)-D122</f>
        <v>-137.1870468750002</v>
      </c>
      <c r="F122" s="21">
        <f>IF(E122&lt;0,0,MIN(COUNTIF(Labor!$C$59:$C$88,"&lt;="&amp;E122),MAXBED_MES,TOTAL_BEDS-B122-C122))</f>
        <v>0</v>
      </c>
      <c r="G122" s="21">
        <f>B122+C122+F122</f>
        <v>9</v>
      </c>
      <c r="H122" s="22">
        <f>IF(E122&lt;0,-999999999,B122*(PRICE_TOM-FERT_TOM)+C122*(PRICE_CAR-FERT_CAR)+F122*(PRICE_MES-FERT_MES)-(FARMER_SALARY+A122*TEMP_COST)-FIXED_COSTS)</f>
        <v>-999999999</v>
      </c>
    </row>
    <row r="123">
      <c r="A123" s="5" t="n">
        <v>0</v>
      </c>
      <c r="B123" s="5" t="n">
        <v>5</v>
      </c>
      <c r="C123" s="5" t="n">
        <v>5</v>
      </c>
      <c r="D123" s="18">
        <f>SEASON_HRS_TOM*B123*(1+DIM_TOM)^B123+SEASON_HRS_CAR*C123*(1+DIM_CAR)^C123</f>
        <v>894.440731933594</v>
      </c>
      <c r="E123" s="18">
        <f>(FARMER_FIELD_HRS+A123*TEMP_HRS)-D123</f>
        <v>-174.44073193359395</v>
      </c>
      <c r="F123" s="21">
        <f>IF(E123&lt;0,0,MIN(COUNTIF(Labor!$C$59:$C$88,"&lt;="&amp;E123),MAXBED_MES,TOTAL_BEDS-B123-C123))</f>
        <v>0</v>
      </c>
      <c r="G123" s="21">
        <f>B123+C123+F123</f>
        <v>10</v>
      </c>
      <c r="H123" s="22">
        <f>IF(E123&lt;0,-999999999,B123*(PRICE_TOM-FERT_TOM)+C123*(PRICE_CAR-FERT_CAR)+F123*(PRICE_MES-FERT_MES)-(FARMER_SALARY+A123*TEMP_COST)-FIXED_COSTS)</f>
        <v>-999999999</v>
      </c>
    </row>
    <row r="124">
      <c r="A124" s="5" t="n">
        <v>0</v>
      </c>
      <c r="B124" s="5" t="n">
        <v>5</v>
      </c>
      <c r="C124" s="5" t="n">
        <v>6</v>
      </c>
      <c r="D124" s="18">
        <f>SEASON_HRS_TOM*B124*(1+DIM_TOM)^B124+SEASON_HRS_CAR*C124*(1+DIM_CAR)^C124</f>
        <v>933.4743152783204</v>
      </c>
      <c r="E124" s="18">
        <f>(FARMER_FIELD_HRS+A124*TEMP_HRS)-D124</f>
        <v>-213.47431527832043</v>
      </c>
      <c r="F124" s="21">
        <f>IF(E124&lt;0,0,MIN(COUNTIF(Labor!$C$59:$C$88,"&lt;="&amp;E124),MAXBED_MES,TOTAL_BEDS-B124-C124))</f>
        <v>0</v>
      </c>
      <c r="G124" s="21">
        <f>B124+C124+F124</f>
        <v>11</v>
      </c>
      <c r="H124" s="22">
        <f>IF(E124&lt;0,-999999999,B124*(PRICE_TOM-FERT_TOM)+C124*(PRICE_CAR-FERT_CAR)+F124*(PRICE_MES-FERT_MES)-(FARMER_SALARY+A124*TEMP_COST)-FIXED_COSTS)</f>
        <v>-999999999</v>
      </c>
    </row>
    <row r="125">
      <c r="A125" s="5" t="n">
        <v>0</v>
      </c>
      <c r="B125" s="5" t="n">
        <v>5</v>
      </c>
      <c r="C125" s="5" t="n">
        <v>7</v>
      </c>
      <c r="D125" s="18">
        <f>SEASON_HRS_TOM*B125*(1+DIM_TOM)^B125+SEASON_HRS_CAR*C125*(1+DIM_CAR)^C125</f>
        <v>974.3535082703248</v>
      </c>
      <c r="E125" s="18">
        <f>(FARMER_FIELD_HRS+A125*TEMP_HRS)-D125</f>
        <v>-254.35350827032482</v>
      </c>
      <c r="F125" s="21">
        <f>IF(E125&lt;0,0,MIN(COUNTIF(Labor!$C$59:$C$88,"&lt;="&amp;E125),MAXBED_MES,TOTAL_BEDS-B125-C125))</f>
        <v>0</v>
      </c>
      <c r="G125" s="21">
        <f>B125+C125+F125</f>
        <v>12</v>
      </c>
      <c r="H125" s="22">
        <f>IF(E125&lt;0,-999999999,B125*(PRICE_TOM-FERT_TOM)+C125*(PRICE_CAR-FERT_CAR)+F125*(PRICE_MES-FERT_MES)-(FARMER_SALARY+A125*TEMP_COST)-FIXED_COSTS)</f>
        <v>-999999999</v>
      </c>
    </row>
    <row r="126">
      <c r="A126" s="5" t="n">
        <v>0</v>
      </c>
      <c r="B126" s="5" t="n">
        <v>5</v>
      </c>
      <c r="C126" s="5" t="n">
        <v>8</v>
      </c>
      <c r="D126" s="18">
        <f>SEASON_HRS_TOM*B126*(1+DIM_TOM)^B126+SEASON_HRS_CAR*C126*(1+DIM_CAR)^C126</f>
        <v>1017.1461954023804</v>
      </c>
      <c r="E126" s="18">
        <f>(FARMER_FIELD_HRS+A126*TEMP_HRS)-D126</f>
        <v>-297.1461954023804</v>
      </c>
      <c r="F126" s="21">
        <f>IF(E126&lt;0,0,MIN(COUNTIF(Labor!$C$59:$C$88,"&lt;="&amp;E126),MAXBED_MES,TOTAL_BEDS-B126-C126))</f>
        <v>0</v>
      </c>
      <c r="G126" s="21">
        <f>B126+C126+F126</f>
        <v>13</v>
      </c>
      <c r="H126" s="22">
        <f>IF(E126&lt;0,-999999999,B126*(PRICE_TOM-FERT_TOM)+C126*(PRICE_CAR-FERT_CAR)+F126*(PRICE_MES-FERT_MES)-(FARMER_SALARY+A126*TEMP_COST)-FIXED_COSTS)</f>
        <v>-999999999</v>
      </c>
    </row>
    <row r="127">
      <c r="A127" s="5" t="n">
        <v>0</v>
      </c>
      <c r="B127" s="5" t="n">
        <v>5</v>
      </c>
      <c r="C127" s="5" t="n">
        <v>9</v>
      </c>
      <c r="D127" s="18">
        <f>SEASON_HRS_TOM*B127*(1+DIM_TOM)^B127+SEASON_HRS_CAR*C127*(1+DIM_CAR)^C127</f>
        <v>1061.92250188587</v>
      </c>
      <c r="E127" s="18">
        <f>(FARMER_FIELD_HRS+A127*TEMP_HRS)-D127</f>
        <v>-341.9225018858699</v>
      </c>
      <c r="F127" s="21">
        <f>IF(E127&lt;0,0,MIN(COUNTIF(Labor!$C$59:$C$88,"&lt;="&amp;E127),MAXBED_MES,TOTAL_BEDS-B127-C127))</f>
        <v>0</v>
      </c>
      <c r="G127" s="21">
        <f>B127+C127+F127</f>
        <v>14</v>
      </c>
      <c r="H127" s="22">
        <f>IF(E127&lt;0,-999999999,B127*(PRICE_TOM-FERT_TOM)+C127*(PRICE_CAR-FERT_CAR)+F127*(PRICE_MES-FERT_MES)-(FARMER_SALARY+A127*TEMP_COST)-FIXED_COSTS)</f>
        <v>-999999999</v>
      </c>
    </row>
    <row r="128">
      <c r="A128" s="5" t="n">
        <v>0</v>
      </c>
      <c r="B128" s="5" t="n">
        <v>5</v>
      </c>
      <c r="C128" s="5" t="n">
        <v>10</v>
      </c>
      <c r="D128" s="18">
        <f>SEASON_HRS_TOM*B128*(1+DIM_TOM)^B128+SEASON_HRS_CAR*C128*(1+DIM_CAR)^C128</f>
        <v>1108.7548632589073</v>
      </c>
      <c r="E128" s="18">
        <f>(FARMER_FIELD_HRS+A128*TEMP_HRS)-D128</f>
        <v>-388.75486325890733</v>
      </c>
      <c r="F128" s="21">
        <f>IF(E128&lt;0,0,MIN(COUNTIF(Labor!$C$59:$C$88,"&lt;="&amp;E128),MAXBED_MES,TOTAL_BEDS-B128-C128))</f>
        <v>0</v>
      </c>
      <c r="G128" s="21">
        <f>B128+C128+F128</f>
        <v>15</v>
      </c>
      <c r="H128" s="22">
        <f>IF(E128&lt;0,-999999999,B128*(PRICE_TOM-FERT_TOM)+C128*(PRICE_CAR-FERT_CAR)+F128*(PRICE_MES-FERT_MES)-(FARMER_SALARY+A128*TEMP_COST)-FIXED_COSTS)</f>
        <v>-999999999</v>
      </c>
    </row>
    <row r="129">
      <c r="A129" s="5" t="n">
        <v>0</v>
      </c>
      <c r="B129" s="5" t="n">
        <v>5</v>
      </c>
      <c r="C129" s="5" t="n">
        <v>11</v>
      </c>
      <c r="D129" s="18">
        <f>SEASON_HRS_TOM*B129*(1+DIM_TOM)^B129+SEASON_HRS_CAR*C129*(1+DIM_CAR)^C129</f>
        <v>1157.718097074418</v>
      </c>
      <c r="E129" s="18">
        <f>(FARMER_FIELD_HRS+A129*TEMP_HRS)-D129</f>
        <v>-437.718097074418</v>
      </c>
      <c r="F129" s="21">
        <f>IF(E129&lt;0,0,MIN(COUNTIF(Labor!$C$59:$C$88,"&lt;="&amp;E129),MAXBED_MES,TOTAL_BEDS-B129-C129))</f>
        <v>0</v>
      </c>
      <c r="G129" s="21">
        <f>B129+C129+F129</f>
        <v>16</v>
      </c>
      <c r="H129" s="22">
        <f>IF(E129&lt;0,-999999999,B129*(PRICE_TOM-FERT_TOM)+C129*(PRICE_CAR-FERT_CAR)+F129*(PRICE_MES-FERT_MES)-(FARMER_SALARY+A129*TEMP_COST)-FIXED_COSTS)</f>
        <v>-999999999</v>
      </c>
    </row>
    <row r="130">
      <c r="A130" s="5" t="n">
        <v>0</v>
      </c>
      <c r="B130" s="5" t="n">
        <v>5</v>
      </c>
      <c r="C130" s="5" t="n">
        <v>12</v>
      </c>
      <c r="D130" s="18">
        <f>SEASON_HRS_TOM*B130*(1+DIM_TOM)^B130+SEASON_HRS_CAR*C130*(1+DIM_CAR)^C130</f>
        <v>1208.8894767286672</v>
      </c>
      <c r="E130" s="18">
        <f>(FARMER_FIELD_HRS+A130*TEMP_HRS)-D130</f>
        <v>-488.8894767286672</v>
      </c>
      <c r="F130" s="21">
        <f>IF(E130&lt;0,0,MIN(COUNTIF(Labor!$C$59:$C$88,"&lt;="&amp;E130),MAXBED_MES,TOTAL_BEDS-B130-C130))</f>
        <v>0</v>
      </c>
      <c r="G130" s="21">
        <f>B130+C130+F130</f>
        <v>17</v>
      </c>
      <c r="H130" s="22">
        <f>IF(E130&lt;0,-999999999,B130*(PRICE_TOM-FERT_TOM)+C130*(PRICE_CAR-FERT_CAR)+F130*(PRICE_MES-FERT_MES)-(FARMER_SALARY+A130*TEMP_COST)-FIXED_COSTS)</f>
        <v>-999999999</v>
      </c>
    </row>
    <row r="131">
      <c r="A131" s="5" t="n">
        <v>0</v>
      </c>
      <c r="B131" s="5" t="n">
        <v>5</v>
      </c>
      <c r="C131" s="5" t="n">
        <v>13</v>
      </c>
      <c r="D131" s="18">
        <f>SEASON_HRS_TOM*B131*(1+DIM_TOM)^B131+SEASON_HRS_CAR*C131*(1+DIM_CAR)^C131</f>
        <v>1262.3488074924574</v>
      </c>
      <c r="E131" s="18">
        <f>(FARMER_FIELD_HRS+A131*TEMP_HRS)-D131</f>
        <v>-542.3488074924574</v>
      </c>
      <c r="F131" s="21">
        <f>IF(E131&lt;0,0,MIN(COUNTIF(Labor!$C$59:$C$88,"&lt;="&amp;E131),MAXBED_MES,TOTAL_BEDS-B131-C131))</f>
        <v>0</v>
      </c>
      <c r="G131" s="21">
        <f>B131+C131+F131</f>
        <v>18</v>
      </c>
      <c r="H131" s="22">
        <f>IF(E131&lt;0,-999999999,B131*(PRICE_TOM-FERT_TOM)+C131*(PRICE_CAR-FERT_CAR)+F131*(PRICE_MES-FERT_MES)-(FARMER_SALARY+A131*TEMP_COST)-FIXED_COSTS)</f>
        <v>-999999999</v>
      </c>
    </row>
    <row r="132">
      <c r="A132" s="5" t="n">
        <v>0</v>
      </c>
      <c r="B132" s="5" t="n">
        <v>5</v>
      </c>
      <c r="C132" s="5" t="n">
        <v>14</v>
      </c>
      <c r="D132" s="18">
        <f>SEASON_HRS_TOM*B132*(1+DIM_TOM)^B132+SEASON_HRS_CAR*C132*(1+DIM_CAR)^C132</f>
        <v>1318.1785048089819</v>
      </c>
      <c r="E132" s="18">
        <f>(FARMER_FIELD_HRS+A132*TEMP_HRS)-D132</f>
        <v>-598.1785048089819</v>
      </c>
      <c r="F132" s="21">
        <f>IF(E132&lt;0,0,MIN(COUNTIF(Labor!$C$59:$C$88,"&lt;="&amp;E132),MAXBED_MES,TOTAL_BEDS-B132-C132))</f>
        <v>0</v>
      </c>
      <c r="G132" s="21">
        <f>B132+C132+F132</f>
        <v>19</v>
      </c>
      <c r="H132" s="22">
        <f>IF(E132&lt;0,-999999999,B132*(PRICE_TOM-FERT_TOM)+C132*(PRICE_CAR-FERT_CAR)+F132*(PRICE_MES-FERT_MES)-(FARMER_SALARY+A132*TEMP_COST)-FIXED_COSTS)</f>
        <v>-999999999</v>
      </c>
    </row>
    <row r="133">
      <c r="A133" s="5" t="n">
        <v>0</v>
      </c>
      <c r="B133" s="5" t="n">
        <v>5</v>
      </c>
      <c r="C133" s="5" t="n">
        <v>15</v>
      </c>
      <c r="D133" s="18">
        <f>SEASON_HRS_TOM*B133*(1+DIM_TOM)^B133+SEASON_HRS_CAR*C133*(1+DIM_CAR)^C133</f>
        <v>1376.4636749241495</v>
      </c>
      <c r="E133" s="18">
        <f>(FARMER_FIELD_HRS+A133*TEMP_HRS)-D133</f>
        <v>-656.4636749241495</v>
      </c>
      <c r="F133" s="21">
        <f>IF(E133&lt;0,0,MIN(COUNTIF(Labor!$C$59:$C$88,"&lt;="&amp;E133),MAXBED_MES,TOTAL_BEDS-B133-C133))</f>
        <v>0</v>
      </c>
      <c r="G133" s="21">
        <f>B133+C133+F133</f>
        <v>20</v>
      </c>
      <c r="H133" s="22">
        <f>IF(E133&lt;0,-999999999,B133*(PRICE_TOM-FERT_TOM)+C133*(PRICE_CAR-FERT_CAR)+F133*(PRICE_MES-FERT_MES)-(FARMER_SALARY+A133*TEMP_COST)-FIXED_COSTS)</f>
        <v>-999999999</v>
      </c>
    </row>
    <row r="134">
      <c r="A134" s="5" t="n">
        <v>0</v>
      </c>
      <c r="B134" s="5" t="n">
        <v>5</v>
      </c>
      <c r="C134" s="5" t="n">
        <v>16</v>
      </c>
      <c r="D134" s="18">
        <f>SEASON_HRS_TOM*B134*(1+DIM_TOM)^B134+SEASON_HRS_CAR*C134*(1+DIM_CAR)^C134</f>
        <v>1437.29219791707</v>
      </c>
      <c r="E134" s="18">
        <f>(FARMER_FIELD_HRS+A134*TEMP_HRS)-D134</f>
        <v>-717.2921979170701</v>
      </c>
      <c r="F134" s="21">
        <f>IF(E134&lt;0,0,MIN(COUNTIF(Labor!$C$59:$C$88,"&lt;="&amp;E134),MAXBED_MES,TOTAL_BEDS-B134-C134))</f>
        <v>0</v>
      </c>
      <c r="G134" s="21">
        <f>B134+C134+F134</f>
        <v>21</v>
      </c>
      <c r="H134" s="22">
        <f>IF(E134&lt;0,-999999999,B134*(PRICE_TOM-FERT_TOM)+C134*(PRICE_CAR-FERT_CAR)+F134*(PRICE_MES-FERT_MES)-(FARMER_SALARY+A134*TEMP_COST)-FIXED_COSTS)</f>
        <v>-999999999</v>
      </c>
    </row>
    <row r="135">
      <c r="A135" s="5" t="n">
        <v>0</v>
      </c>
      <c r="B135" s="5" t="n">
        <v>5</v>
      </c>
      <c r="C135" s="5" t="n">
        <v>17</v>
      </c>
      <c r="D135" s="18">
        <f>SEASON_HRS_TOM*B135*(1+DIM_TOM)^B135+SEASON_HRS_CAR*C135*(1+DIM_CAR)^C135</f>
        <v>1500.754813200309</v>
      </c>
      <c r="E135" s="18">
        <f>(FARMER_FIELD_HRS+A135*TEMP_HRS)-D135</f>
        <v>-780.754813200309</v>
      </c>
      <c r="F135" s="21">
        <f>IF(E135&lt;0,0,MIN(COUNTIF(Labor!$C$59:$C$88,"&lt;="&amp;E135),MAXBED_MES,TOTAL_BEDS-B135-C135))</f>
        <v>0</v>
      </c>
      <c r="G135" s="21">
        <f>B135+C135+F135</f>
        <v>22</v>
      </c>
      <c r="H135" s="22">
        <f>IF(E135&lt;0,-999999999,B135*(PRICE_TOM-FERT_TOM)+C135*(PRICE_CAR-FERT_CAR)+F135*(PRICE_MES-FERT_MES)-(FARMER_SALARY+A135*TEMP_COST)-FIXED_COSTS)</f>
        <v>-999999999</v>
      </c>
    </row>
    <row r="136">
      <c r="A136" s="5" t="n">
        <v>0</v>
      </c>
      <c r="B136" s="5" t="n">
        <v>5</v>
      </c>
      <c r="C136" s="5" t="n">
        <v>18</v>
      </c>
      <c r="D136" s="18">
        <f>SEASON_HRS_TOM*B136*(1+DIM_TOM)^B136+SEASON_HRS_CAR*C136*(1+DIM_CAR)^C136</f>
        <v>1566.9452075615118</v>
      </c>
      <c r="E136" s="18">
        <f>(FARMER_FIELD_HRS+A136*TEMP_HRS)-D136</f>
        <v>-846.9452075615118</v>
      </c>
      <c r="F136" s="21">
        <f>IF(E136&lt;0,0,MIN(COUNTIF(Labor!$C$59:$C$88,"&lt;="&amp;E136),MAXBED_MES,TOTAL_BEDS-B136-C136))</f>
        <v>0</v>
      </c>
      <c r="G136" s="21">
        <f>B136+C136+F136</f>
        <v>23</v>
      </c>
      <c r="H136" s="22">
        <f>IF(E136&lt;0,-999999999,B136*(PRICE_TOM-FERT_TOM)+C136*(PRICE_CAR-FERT_CAR)+F136*(PRICE_MES-FERT_MES)-(FARMER_SALARY+A136*TEMP_COST)-FIXED_COSTS)</f>
        <v>-999999999</v>
      </c>
    </row>
    <row r="137">
      <c r="A137" s="5" t="n">
        <v>0</v>
      </c>
      <c r="B137" s="5" t="n">
        <v>5</v>
      </c>
      <c r="C137" s="5" t="n">
        <v>19</v>
      </c>
      <c r="D137" s="18">
        <f>SEASON_HRS_TOM*B137*(1+DIM_TOM)^B137+SEASON_HRS_CAR*C137*(1+DIM_CAR)^C137</f>
        <v>1635.9601058200244</v>
      </c>
      <c r="E137" s="18">
        <f>(FARMER_FIELD_HRS+A137*TEMP_HRS)-D137</f>
        <v>-915.9601058200244</v>
      </c>
      <c r="F137" s="21">
        <f>IF(E137&lt;0,0,MIN(COUNTIF(Labor!$C$59:$C$88,"&lt;="&amp;E137),MAXBED_MES,TOTAL_BEDS-B137-C137))</f>
        <v>0</v>
      </c>
      <c r="G137" s="21">
        <f>B137+C137+F137</f>
        <v>24</v>
      </c>
      <c r="H137" s="22">
        <f>IF(E137&lt;0,-999999999,B137*(PRICE_TOM-FERT_TOM)+C137*(PRICE_CAR-FERT_CAR)+F137*(PRICE_MES-FERT_MES)-(FARMER_SALARY+A137*TEMP_COST)-FIXED_COSTS)</f>
        <v>-999999999</v>
      </c>
    </row>
    <row r="138">
      <c r="A138" s="5" t="n">
        <v>0</v>
      </c>
      <c r="B138" s="5" t="n">
        <v>5</v>
      </c>
      <c r="C138" s="5" t="n">
        <v>20</v>
      </c>
      <c r="D138" s="18">
        <f>SEASON_HRS_TOM*B138*(1+DIM_TOM)^B138+SEASON_HRS_CAR*C138*(1+DIM_CAR)^C138</f>
        <v>1707.8993641742368</v>
      </c>
      <c r="E138" s="18">
        <f>(FARMER_FIELD_HRS+A138*TEMP_HRS)-D138</f>
        <v>-987.8993641742368</v>
      </c>
      <c r="F138" s="21">
        <f>IF(E138&lt;0,0,MIN(COUNTIF(Labor!$C$59:$C$88,"&lt;="&amp;E138),MAXBED_MES,TOTAL_BEDS-B138-C138))</f>
        <v>0</v>
      </c>
      <c r="G138" s="21">
        <f>B138+C138+F138</f>
        <v>25</v>
      </c>
      <c r="H138" s="22">
        <f>IF(E138&lt;0,-999999999,B138*(PRICE_TOM-FERT_TOM)+C138*(PRICE_CAR-FERT_CAR)+F138*(PRICE_MES-FERT_MES)-(FARMER_SALARY+A138*TEMP_COST)-FIXED_COSTS)</f>
        <v>-999999999</v>
      </c>
    </row>
    <row r="139">
      <c r="A139" s="5" t="n">
        <v>0</v>
      </c>
      <c r="B139" s="5" t="n">
        <v>6</v>
      </c>
      <c r="C139" s="5" t="n">
        <v>0</v>
      </c>
      <c r="D139" s="18">
        <f>SEASON_HRS_TOM*B139*(1+DIM_TOM)^B139+SEASON_HRS_CAR*C139*(1+DIM_CAR)^C139</f>
        <v>956.6429400000004</v>
      </c>
      <c r="E139" s="18">
        <f>(FARMER_FIELD_HRS+A139*TEMP_HRS)-D139</f>
        <v>-236.6429400000004</v>
      </c>
      <c r="F139" s="21">
        <f>IF(E139&lt;0,0,MIN(COUNTIF(Labor!$C$59:$C$88,"&lt;="&amp;E139),MAXBED_MES,TOTAL_BEDS-B139-C139))</f>
        <v>0</v>
      </c>
      <c r="G139" s="21">
        <f>B139+C139+F139</f>
        <v>6</v>
      </c>
      <c r="H139" s="22">
        <f>IF(E139&lt;0,-999999999,B139*(PRICE_TOM-FERT_TOM)+C139*(PRICE_CAR-FERT_CAR)+F139*(PRICE_MES-FERT_MES)-(FARMER_SALARY+A139*TEMP_COST)-FIXED_COSTS)</f>
        <v>-999999999</v>
      </c>
    </row>
    <row r="140">
      <c r="A140" s="5" t="n">
        <v>0</v>
      </c>
      <c r="B140" s="5" t="n">
        <v>6</v>
      </c>
      <c r="C140" s="5" t="n">
        <v>1</v>
      </c>
      <c r="D140" s="18">
        <f>SEASON_HRS_TOM*B140*(1+DIM_TOM)^B140+SEASON_HRS_CAR*C140*(1+DIM_CAR)^C140</f>
        <v>987.3929400000004</v>
      </c>
      <c r="E140" s="18">
        <f>(FARMER_FIELD_HRS+A140*TEMP_HRS)-D140</f>
        <v>-267.3929400000004</v>
      </c>
      <c r="F140" s="21">
        <f>IF(E140&lt;0,0,MIN(COUNTIF(Labor!$C$59:$C$88,"&lt;="&amp;E140),MAXBED_MES,TOTAL_BEDS-B140-C140))</f>
        <v>0</v>
      </c>
      <c r="G140" s="21">
        <f>B140+C140+F140</f>
        <v>7</v>
      </c>
      <c r="H140" s="22">
        <f>IF(E140&lt;0,-999999999,B140*(PRICE_TOM-FERT_TOM)+C140*(PRICE_CAR-FERT_CAR)+F140*(PRICE_MES-FERT_MES)-(FARMER_SALARY+A140*TEMP_COST)-FIXED_COSTS)</f>
        <v>-999999999</v>
      </c>
    </row>
    <row r="141">
      <c r="A141" s="5" t="n">
        <v>0</v>
      </c>
      <c r="B141" s="5" t="n">
        <v>6</v>
      </c>
      <c r="C141" s="5" t="n">
        <v>2</v>
      </c>
      <c r="D141" s="18">
        <f>SEASON_HRS_TOM*B141*(1+DIM_TOM)^B141+SEASON_HRS_CAR*C141*(1+DIM_CAR)^C141</f>
        <v>1019.6804400000004</v>
      </c>
      <c r="E141" s="18">
        <f>(FARMER_FIELD_HRS+A141*TEMP_HRS)-D141</f>
        <v>-299.68044000000043</v>
      </c>
      <c r="F141" s="21">
        <f>IF(E141&lt;0,0,MIN(COUNTIF(Labor!$C$59:$C$88,"&lt;="&amp;E141),MAXBED_MES,TOTAL_BEDS-B141-C141))</f>
        <v>0</v>
      </c>
      <c r="G141" s="21">
        <f>B141+C141+F141</f>
        <v>8</v>
      </c>
      <c r="H141" s="22">
        <f>IF(E141&lt;0,-999999999,B141*(PRICE_TOM-FERT_TOM)+C141*(PRICE_CAR-FERT_CAR)+F141*(PRICE_MES-FERT_MES)-(FARMER_SALARY+A141*TEMP_COST)-FIXED_COSTS)</f>
        <v>-999999999</v>
      </c>
    </row>
    <row r="142">
      <c r="A142" s="5" t="n">
        <v>0</v>
      </c>
      <c r="B142" s="5" t="n">
        <v>6</v>
      </c>
      <c r="C142" s="5" t="n">
        <v>3</v>
      </c>
      <c r="D142" s="18">
        <f>SEASON_HRS_TOM*B142*(1+DIM_TOM)^B142+SEASON_HRS_CAR*C142*(1+DIM_CAR)^C142</f>
        <v>1053.5630962500004</v>
      </c>
      <c r="E142" s="18">
        <f>(FARMER_FIELD_HRS+A142*TEMP_HRS)-D142</f>
        <v>-333.5630962500004</v>
      </c>
      <c r="F142" s="21">
        <f>IF(E142&lt;0,0,MIN(COUNTIF(Labor!$C$59:$C$88,"&lt;="&amp;E142),MAXBED_MES,TOTAL_BEDS-B142-C142))</f>
        <v>0</v>
      </c>
      <c r="G142" s="21">
        <f>B142+C142+F142</f>
        <v>9</v>
      </c>
      <c r="H142" s="22">
        <f>IF(E142&lt;0,-999999999,B142*(PRICE_TOM-FERT_TOM)+C142*(PRICE_CAR-FERT_CAR)+F142*(PRICE_MES-FERT_MES)-(FARMER_SALARY+A142*TEMP_COST)-FIXED_COSTS)</f>
        <v>-999999999</v>
      </c>
    </row>
    <row r="143">
      <c r="A143" s="5" t="n">
        <v>0</v>
      </c>
      <c r="B143" s="5" t="n">
        <v>6</v>
      </c>
      <c r="C143" s="5" t="n">
        <v>4</v>
      </c>
      <c r="D143" s="18">
        <f>SEASON_HRS_TOM*B143*(1+DIM_TOM)^B143+SEASON_HRS_CAR*C143*(1+DIM_CAR)^C143</f>
        <v>1089.1004868750003</v>
      </c>
      <c r="E143" s="18">
        <f>(FARMER_FIELD_HRS+A143*TEMP_HRS)-D143</f>
        <v>-369.10048687500034</v>
      </c>
      <c r="F143" s="21">
        <f>IF(E143&lt;0,0,MIN(COUNTIF(Labor!$C$59:$C$88,"&lt;="&amp;E143),MAXBED_MES,TOTAL_BEDS-B143-C143))</f>
        <v>0</v>
      </c>
      <c r="G143" s="21">
        <f>B143+C143+F143</f>
        <v>10</v>
      </c>
      <c r="H143" s="22">
        <f>IF(E143&lt;0,-999999999,B143*(PRICE_TOM-FERT_TOM)+C143*(PRICE_CAR-FERT_CAR)+F143*(PRICE_MES-FERT_MES)-(FARMER_SALARY+A143*TEMP_COST)-FIXED_COSTS)</f>
        <v>-999999999</v>
      </c>
    </row>
    <row r="144">
      <c r="A144" s="5" t="n">
        <v>0</v>
      </c>
      <c r="B144" s="5" t="n">
        <v>6</v>
      </c>
      <c r="C144" s="5" t="n">
        <v>5</v>
      </c>
      <c r="D144" s="18">
        <f>SEASON_HRS_TOM*B144*(1+DIM_TOM)^B144+SEASON_HRS_CAR*C144*(1+DIM_CAR)^C144</f>
        <v>1126.354171933594</v>
      </c>
      <c r="E144" s="18">
        <f>(FARMER_FIELD_HRS+A144*TEMP_HRS)-D144</f>
        <v>-406.354171933594</v>
      </c>
      <c r="F144" s="21">
        <f>IF(E144&lt;0,0,MIN(COUNTIF(Labor!$C$59:$C$88,"&lt;="&amp;E144),MAXBED_MES,TOTAL_BEDS-B144-C144))</f>
        <v>0</v>
      </c>
      <c r="G144" s="21">
        <f>B144+C144+F144</f>
        <v>11</v>
      </c>
      <c r="H144" s="22">
        <f>IF(E144&lt;0,-999999999,B144*(PRICE_TOM-FERT_TOM)+C144*(PRICE_CAR-FERT_CAR)+F144*(PRICE_MES-FERT_MES)-(FARMER_SALARY+A144*TEMP_COST)-FIXED_COSTS)</f>
        <v>-999999999</v>
      </c>
    </row>
    <row r="145">
      <c r="A145" s="5" t="n">
        <v>0</v>
      </c>
      <c r="B145" s="5" t="n">
        <v>6</v>
      </c>
      <c r="C145" s="5" t="n">
        <v>6</v>
      </c>
      <c r="D145" s="18">
        <f>SEASON_HRS_TOM*B145*(1+DIM_TOM)^B145+SEASON_HRS_CAR*C145*(1+DIM_CAR)^C145</f>
        <v>1165.3877552783206</v>
      </c>
      <c r="E145" s="18">
        <f>(FARMER_FIELD_HRS+A145*TEMP_HRS)-D145</f>
        <v>-445.3877552783206</v>
      </c>
      <c r="F145" s="21">
        <f>IF(E145&lt;0,0,MIN(COUNTIF(Labor!$C$59:$C$88,"&lt;="&amp;E145),MAXBED_MES,TOTAL_BEDS-B145-C145))</f>
        <v>0</v>
      </c>
      <c r="G145" s="21">
        <f>B145+C145+F145</f>
        <v>12</v>
      </c>
      <c r="H145" s="22">
        <f>IF(E145&lt;0,-999999999,B145*(PRICE_TOM-FERT_TOM)+C145*(PRICE_CAR-FERT_CAR)+F145*(PRICE_MES-FERT_MES)-(FARMER_SALARY+A145*TEMP_COST)-FIXED_COSTS)</f>
        <v>-999999999</v>
      </c>
    </row>
    <row r="146">
      <c r="A146" s="5" t="n">
        <v>0</v>
      </c>
      <c r="B146" s="5" t="n">
        <v>6</v>
      </c>
      <c r="C146" s="5" t="n">
        <v>7</v>
      </c>
      <c r="D146" s="18">
        <f>SEASON_HRS_TOM*B146*(1+DIM_TOM)^B146+SEASON_HRS_CAR*C146*(1+DIM_CAR)^C146</f>
        <v>1206.266948270325</v>
      </c>
      <c r="E146" s="18">
        <f>(FARMER_FIELD_HRS+A146*TEMP_HRS)-D146</f>
        <v>-486.266948270325</v>
      </c>
      <c r="F146" s="21">
        <f>IF(E146&lt;0,0,MIN(COUNTIF(Labor!$C$59:$C$88,"&lt;="&amp;E146),MAXBED_MES,TOTAL_BEDS-B146-C146))</f>
        <v>0</v>
      </c>
      <c r="G146" s="21">
        <f>B146+C146+F146</f>
        <v>13</v>
      </c>
      <c r="H146" s="22">
        <f>IF(E146&lt;0,-999999999,B146*(PRICE_TOM-FERT_TOM)+C146*(PRICE_CAR-FERT_CAR)+F146*(PRICE_MES-FERT_MES)-(FARMER_SALARY+A146*TEMP_COST)-FIXED_COSTS)</f>
        <v>-999999999</v>
      </c>
    </row>
    <row r="147">
      <c r="A147" s="5" t="n">
        <v>0</v>
      </c>
      <c r="B147" s="5" t="n">
        <v>6</v>
      </c>
      <c r="C147" s="5" t="n">
        <v>8</v>
      </c>
      <c r="D147" s="18">
        <f>SEASON_HRS_TOM*B147*(1+DIM_TOM)^B147+SEASON_HRS_CAR*C147*(1+DIM_CAR)^C147</f>
        <v>1249.0596354023805</v>
      </c>
      <c r="E147" s="18">
        <f>(FARMER_FIELD_HRS+A147*TEMP_HRS)-D147</f>
        <v>-529.0596354023805</v>
      </c>
      <c r="F147" s="21">
        <f>IF(E147&lt;0,0,MIN(COUNTIF(Labor!$C$59:$C$88,"&lt;="&amp;E147),MAXBED_MES,TOTAL_BEDS-B147-C147))</f>
        <v>0</v>
      </c>
      <c r="G147" s="21">
        <f>B147+C147+F147</f>
        <v>14</v>
      </c>
      <c r="H147" s="22">
        <f>IF(E147&lt;0,-999999999,B147*(PRICE_TOM-FERT_TOM)+C147*(PRICE_CAR-FERT_CAR)+F147*(PRICE_MES-FERT_MES)-(FARMER_SALARY+A147*TEMP_COST)-FIXED_COSTS)</f>
        <v>-999999999</v>
      </c>
    </row>
    <row r="148">
      <c r="A148" s="5" t="n">
        <v>0</v>
      </c>
      <c r="B148" s="5" t="n">
        <v>6</v>
      </c>
      <c r="C148" s="5" t="n">
        <v>9</v>
      </c>
      <c r="D148" s="18">
        <f>SEASON_HRS_TOM*B148*(1+DIM_TOM)^B148+SEASON_HRS_CAR*C148*(1+DIM_CAR)^C148</f>
        <v>1293.83594188587</v>
      </c>
      <c r="E148" s="18">
        <f>(FARMER_FIELD_HRS+A148*TEMP_HRS)-D148</f>
        <v>-573.8359418858699</v>
      </c>
      <c r="F148" s="21">
        <f>IF(E148&lt;0,0,MIN(COUNTIF(Labor!$C$59:$C$88,"&lt;="&amp;E148),MAXBED_MES,TOTAL_BEDS-B148-C148))</f>
        <v>0</v>
      </c>
      <c r="G148" s="21">
        <f>B148+C148+F148</f>
        <v>15</v>
      </c>
      <c r="H148" s="22">
        <f>IF(E148&lt;0,-999999999,B148*(PRICE_TOM-FERT_TOM)+C148*(PRICE_CAR-FERT_CAR)+F148*(PRICE_MES-FERT_MES)-(FARMER_SALARY+A148*TEMP_COST)-FIXED_COSTS)</f>
        <v>-999999999</v>
      </c>
    </row>
    <row r="149">
      <c r="A149" s="5" t="n">
        <v>0</v>
      </c>
      <c r="B149" s="5" t="n">
        <v>6</v>
      </c>
      <c r="C149" s="5" t="n">
        <v>10</v>
      </c>
      <c r="D149" s="18">
        <f>SEASON_HRS_TOM*B149*(1+DIM_TOM)^B149+SEASON_HRS_CAR*C149*(1+DIM_CAR)^C149</f>
        <v>1340.6683032589074</v>
      </c>
      <c r="E149" s="18">
        <f>(FARMER_FIELD_HRS+A149*TEMP_HRS)-D149</f>
        <v>-620.6683032589074</v>
      </c>
      <c r="F149" s="21">
        <f>IF(E149&lt;0,0,MIN(COUNTIF(Labor!$C$59:$C$88,"&lt;="&amp;E149),MAXBED_MES,TOTAL_BEDS-B149-C149))</f>
        <v>0</v>
      </c>
      <c r="G149" s="21">
        <f>B149+C149+F149</f>
        <v>16</v>
      </c>
      <c r="H149" s="22">
        <f>IF(E149&lt;0,-999999999,B149*(PRICE_TOM-FERT_TOM)+C149*(PRICE_CAR-FERT_CAR)+F149*(PRICE_MES-FERT_MES)-(FARMER_SALARY+A149*TEMP_COST)-FIXED_COSTS)</f>
        <v>-999999999</v>
      </c>
    </row>
    <row r="150">
      <c r="A150" s="5" t="n">
        <v>0</v>
      </c>
      <c r="B150" s="5" t="n">
        <v>6</v>
      </c>
      <c r="C150" s="5" t="n">
        <v>11</v>
      </c>
      <c r="D150" s="18">
        <f>SEASON_HRS_TOM*B150*(1+DIM_TOM)^B150+SEASON_HRS_CAR*C150*(1+DIM_CAR)^C150</f>
        <v>1389.631537074418</v>
      </c>
      <c r="E150" s="18">
        <f>(FARMER_FIELD_HRS+A150*TEMP_HRS)-D150</f>
        <v>-669.631537074418</v>
      </c>
      <c r="F150" s="21">
        <f>IF(E150&lt;0,0,MIN(COUNTIF(Labor!$C$59:$C$88,"&lt;="&amp;E150),MAXBED_MES,TOTAL_BEDS-B150-C150))</f>
        <v>0</v>
      </c>
      <c r="G150" s="21">
        <f>B150+C150+F150</f>
        <v>17</v>
      </c>
      <c r="H150" s="22">
        <f>IF(E150&lt;0,-999999999,B150*(PRICE_TOM-FERT_TOM)+C150*(PRICE_CAR-FERT_CAR)+F150*(PRICE_MES-FERT_MES)-(FARMER_SALARY+A150*TEMP_COST)-FIXED_COSTS)</f>
        <v>-999999999</v>
      </c>
    </row>
    <row r="151">
      <c r="A151" s="5" t="n">
        <v>0</v>
      </c>
      <c r="B151" s="5" t="n">
        <v>6</v>
      </c>
      <c r="C151" s="5" t="n">
        <v>12</v>
      </c>
      <c r="D151" s="18">
        <f>SEASON_HRS_TOM*B151*(1+DIM_TOM)^B151+SEASON_HRS_CAR*C151*(1+DIM_CAR)^C151</f>
        <v>1440.8029167286672</v>
      </c>
      <c r="E151" s="18">
        <f>(FARMER_FIELD_HRS+A151*TEMP_HRS)-D151</f>
        <v>-720.8029167286672</v>
      </c>
      <c r="F151" s="21">
        <f>IF(E151&lt;0,0,MIN(COUNTIF(Labor!$C$59:$C$88,"&lt;="&amp;E151),MAXBED_MES,TOTAL_BEDS-B151-C151))</f>
        <v>0</v>
      </c>
      <c r="G151" s="21">
        <f>B151+C151+F151</f>
        <v>18</v>
      </c>
      <c r="H151" s="22">
        <f>IF(E151&lt;0,-999999999,B151*(PRICE_TOM-FERT_TOM)+C151*(PRICE_CAR-FERT_CAR)+F151*(PRICE_MES-FERT_MES)-(FARMER_SALARY+A151*TEMP_COST)-FIXED_COSTS)</f>
        <v>-999999999</v>
      </c>
    </row>
    <row r="152">
      <c r="A152" s="5" t="n">
        <v>0</v>
      </c>
      <c r="B152" s="5" t="n">
        <v>6</v>
      </c>
      <c r="C152" s="5" t="n">
        <v>13</v>
      </c>
      <c r="D152" s="18">
        <f>SEASON_HRS_TOM*B152*(1+DIM_TOM)^B152+SEASON_HRS_CAR*C152*(1+DIM_CAR)^C152</f>
        <v>1494.2622474924574</v>
      </c>
      <c r="E152" s="18">
        <f>(FARMER_FIELD_HRS+A152*TEMP_HRS)-D152</f>
        <v>-774.2622474924574</v>
      </c>
      <c r="F152" s="21">
        <f>IF(E152&lt;0,0,MIN(COUNTIF(Labor!$C$59:$C$88,"&lt;="&amp;E152),MAXBED_MES,TOTAL_BEDS-B152-C152))</f>
        <v>0</v>
      </c>
      <c r="G152" s="21">
        <f>B152+C152+F152</f>
        <v>19</v>
      </c>
      <c r="H152" s="22">
        <f>IF(E152&lt;0,-999999999,B152*(PRICE_TOM-FERT_TOM)+C152*(PRICE_CAR-FERT_CAR)+F152*(PRICE_MES-FERT_MES)-(FARMER_SALARY+A152*TEMP_COST)-FIXED_COSTS)</f>
        <v>-999999999</v>
      </c>
    </row>
    <row r="153">
      <c r="A153" s="5" t="n">
        <v>0</v>
      </c>
      <c r="B153" s="5" t="n">
        <v>6</v>
      </c>
      <c r="C153" s="5" t="n">
        <v>14</v>
      </c>
      <c r="D153" s="18">
        <f>SEASON_HRS_TOM*B153*(1+DIM_TOM)^B153+SEASON_HRS_CAR*C153*(1+DIM_CAR)^C153</f>
        <v>1550.0919448089821</v>
      </c>
      <c r="E153" s="18">
        <f>(FARMER_FIELD_HRS+A153*TEMP_HRS)-D153</f>
        <v>-830.0919448089821</v>
      </c>
      <c r="F153" s="21">
        <f>IF(E153&lt;0,0,MIN(COUNTIF(Labor!$C$59:$C$88,"&lt;="&amp;E153),MAXBED_MES,TOTAL_BEDS-B153-C153))</f>
        <v>0</v>
      </c>
      <c r="G153" s="21">
        <f>B153+C153+F153</f>
        <v>20</v>
      </c>
      <c r="H153" s="22">
        <f>IF(E153&lt;0,-999999999,B153*(PRICE_TOM-FERT_TOM)+C153*(PRICE_CAR-FERT_CAR)+F153*(PRICE_MES-FERT_MES)-(FARMER_SALARY+A153*TEMP_COST)-FIXED_COSTS)</f>
        <v>-999999999</v>
      </c>
    </row>
    <row r="154">
      <c r="A154" s="5" t="n">
        <v>0</v>
      </c>
      <c r="B154" s="5" t="n">
        <v>6</v>
      </c>
      <c r="C154" s="5" t="n">
        <v>15</v>
      </c>
      <c r="D154" s="18">
        <f>SEASON_HRS_TOM*B154*(1+DIM_TOM)^B154+SEASON_HRS_CAR*C154*(1+DIM_CAR)^C154</f>
        <v>1608.3771149241497</v>
      </c>
      <c r="E154" s="18">
        <f>(FARMER_FIELD_HRS+A154*TEMP_HRS)-D154</f>
        <v>-888.3771149241497</v>
      </c>
      <c r="F154" s="21">
        <f>IF(E154&lt;0,0,MIN(COUNTIF(Labor!$C$59:$C$88,"&lt;="&amp;E154),MAXBED_MES,TOTAL_BEDS-B154-C154))</f>
        <v>0</v>
      </c>
      <c r="G154" s="21">
        <f>B154+C154+F154</f>
        <v>21</v>
      </c>
      <c r="H154" s="22">
        <f>IF(E154&lt;0,-999999999,B154*(PRICE_TOM-FERT_TOM)+C154*(PRICE_CAR-FERT_CAR)+F154*(PRICE_MES-FERT_MES)-(FARMER_SALARY+A154*TEMP_COST)-FIXED_COSTS)</f>
        <v>-999999999</v>
      </c>
    </row>
    <row r="155">
      <c r="A155" s="5" t="n">
        <v>0</v>
      </c>
      <c r="B155" s="5" t="n">
        <v>6</v>
      </c>
      <c r="C155" s="5" t="n">
        <v>16</v>
      </c>
      <c r="D155" s="18">
        <f>SEASON_HRS_TOM*B155*(1+DIM_TOM)^B155+SEASON_HRS_CAR*C155*(1+DIM_CAR)^C155</f>
        <v>1669.2056379170704</v>
      </c>
      <c r="E155" s="18">
        <f>(FARMER_FIELD_HRS+A155*TEMP_HRS)-D155</f>
        <v>-949.2056379170704</v>
      </c>
      <c r="F155" s="21">
        <f>IF(E155&lt;0,0,MIN(COUNTIF(Labor!$C$59:$C$88,"&lt;="&amp;E155),MAXBED_MES,TOTAL_BEDS-B155-C155))</f>
        <v>0</v>
      </c>
      <c r="G155" s="21">
        <f>B155+C155+F155</f>
        <v>22</v>
      </c>
      <c r="H155" s="22">
        <f>IF(E155&lt;0,-999999999,B155*(PRICE_TOM-FERT_TOM)+C155*(PRICE_CAR-FERT_CAR)+F155*(PRICE_MES-FERT_MES)-(FARMER_SALARY+A155*TEMP_COST)-FIXED_COSTS)</f>
        <v>-999999999</v>
      </c>
    </row>
    <row r="156">
      <c r="A156" s="5" t="n">
        <v>0</v>
      </c>
      <c r="B156" s="5" t="n">
        <v>6</v>
      </c>
      <c r="C156" s="5" t="n">
        <v>17</v>
      </c>
      <c r="D156" s="18">
        <f>SEASON_HRS_TOM*B156*(1+DIM_TOM)^B156+SEASON_HRS_CAR*C156*(1+DIM_CAR)^C156</f>
        <v>1732.6682532003092</v>
      </c>
      <c r="E156" s="18">
        <f>(FARMER_FIELD_HRS+A156*TEMP_HRS)-D156</f>
        <v>-1012.6682532003092</v>
      </c>
      <c r="F156" s="21">
        <f>IF(E156&lt;0,0,MIN(COUNTIF(Labor!$C$59:$C$88,"&lt;="&amp;E156),MAXBED_MES,TOTAL_BEDS-B156-C156))</f>
        <v>0</v>
      </c>
      <c r="G156" s="21">
        <f>B156+C156+F156</f>
        <v>23</v>
      </c>
      <c r="H156" s="22">
        <f>IF(E156&lt;0,-999999999,B156*(PRICE_TOM-FERT_TOM)+C156*(PRICE_CAR-FERT_CAR)+F156*(PRICE_MES-FERT_MES)-(FARMER_SALARY+A156*TEMP_COST)-FIXED_COSTS)</f>
        <v>-999999999</v>
      </c>
    </row>
    <row r="157">
      <c r="A157" s="5" t="n">
        <v>0</v>
      </c>
      <c r="B157" s="5" t="n">
        <v>6</v>
      </c>
      <c r="C157" s="5" t="n">
        <v>18</v>
      </c>
      <c r="D157" s="18">
        <f>SEASON_HRS_TOM*B157*(1+DIM_TOM)^B157+SEASON_HRS_CAR*C157*(1+DIM_CAR)^C157</f>
        <v>1798.858647561512</v>
      </c>
      <c r="E157" s="18">
        <f>(FARMER_FIELD_HRS+A157*TEMP_HRS)-D157</f>
        <v>-1078.858647561512</v>
      </c>
      <c r="F157" s="21">
        <f>IF(E157&lt;0,0,MIN(COUNTIF(Labor!$C$59:$C$88,"&lt;="&amp;E157),MAXBED_MES,TOTAL_BEDS-B157-C157))</f>
        <v>0</v>
      </c>
      <c r="G157" s="21">
        <f>B157+C157+F157</f>
        <v>24</v>
      </c>
      <c r="H157" s="22">
        <f>IF(E157&lt;0,-999999999,B157*(PRICE_TOM-FERT_TOM)+C157*(PRICE_CAR-FERT_CAR)+F157*(PRICE_MES-FERT_MES)-(FARMER_SALARY+A157*TEMP_COST)-FIXED_COSTS)</f>
        <v>-999999999</v>
      </c>
    </row>
    <row r="158">
      <c r="A158" s="5" t="n">
        <v>0</v>
      </c>
      <c r="B158" s="5" t="n">
        <v>6</v>
      </c>
      <c r="C158" s="5" t="n">
        <v>19</v>
      </c>
      <c r="D158" s="18">
        <f>SEASON_HRS_TOM*B158*(1+DIM_TOM)^B158+SEASON_HRS_CAR*C158*(1+DIM_CAR)^C158</f>
        <v>1867.8735458200244</v>
      </c>
      <c r="E158" s="18">
        <f>(FARMER_FIELD_HRS+A158*TEMP_HRS)-D158</f>
        <v>-1147.8735458200244</v>
      </c>
      <c r="F158" s="21">
        <f>IF(E158&lt;0,0,MIN(COUNTIF(Labor!$C$59:$C$88,"&lt;="&amp;E158),MAXBED_MES,TOTAL_BEDS-B158-C158))</f>
        <v>0</v>
      </c>
      <c r="G158" s="21">
        <f>B158+C158+F158</f>
        <v>25</v>
      </c>
      <c r="H158" s="22">
        <f>IF(E158&lt;0,-999999999,B158*(PRICE_TOM-FERT_TOM)+C158*(PRICE_CAR-FERT_CAR)+F158*(PRICE_MES-FERT_MES)-(FARMER_SALARY+A158*TEMP_COST)-FIXED_COSTS)</f>
        <v>-999999999</v>
      </c>
    </row>
    <row r="159">
      <c r="A159" s="5" t="n">
        <v>0</v>
      </c>
      <c r="B159" s="5" t="n">
        <v>6</v>
      </c>
      <c r="C159" s="5" t="n">
        <v>20</v>
      </c>
      <c r="D159" s="18">
        <f>SEASON_HRS_TOM*B159*(1+DIM_TOM)^B159+SEASON_HRS_CAR*C159*(1+DIM_CAR)^C159</f>
        <v>1939.812804174237</v>
      </c>
      <c r="E159" s="18">
        <f>(FARMER_FIELD_HRS+A159*TEMP_HRS)-D159</f>
        <v>-1219.812804174237</v>
      </c>
      <c r="F159" s="21">
        <f>IF(E159&lt;0,0,MIN(COUNTIF(Labor!$C$59:$C$88,"&lt;="&amp;E159),MAXBED_MES,TOTAL_BEDS-B159-C159))</f>
        <v>0</v>
      </c>
      <c r="G159" s="21">
        <f>B159+C159+F159</f>
        <v>26</v>
      </c>
      <c r="H159" s="22">
        <f>IF(E159&lt;0,-999999999,B159*(PRICE_TOM-FERT_TOM)+C159*(PRICE_CAR-FERT_CAR)+F159*(PRICE_MES-FERT_MES)-(FARMER_SALARY+A159*TEMP_COST)-FIXED_COSTS)</f>
        <v>-999999999</v>
      </c>
    </row>
    <row r="160">
      <c r="A160" s="5" t="n">
        <v>0</v>
      </c>
      <c r="B160" s="5" t="n">
        <v>7</v>
      </c>
      <c r="C160" s="5" t="n">
        <v>0</v>
      </c>
      <c r="D160" s="18">
        <f>SEASON_HRS_TOM*B160*(1+DIM_TOM)^B160+SEASON_HRS_CAR*C160*(1+DIM_CAR)^C160</f>
        <v>1227.6917730000007</v>
      </c>
      <c r="E160" s="18">
        <f>(FARMER_FIELD_HRS+A160*TEMP_HRS)-D160</f>
        <v>-507.6917730000007</v>
      </c>
      <c r="F160" s="21">
        <f>IF(E160&lt;0,0,MIN(COUNTIF(Labor!$C$59:$C$88,"&lt;="&amp;E160),MAXBED_MES,TOTAL_BEDS-B160-C160))</f>
        <v>0</v>
      </c>
      <c r="G160" s="21">
        <f>B160+C160+F160</f>
        <v>7</v>
      </c>
      <c r="H160" s="22">
        <f>IF(E160&lt;0,-999999999,B160*(PRICE_TOM-FERT_TOM)+C160*(PRICE_CAR-FERT_CAR)+F160*(PRICE_MES-FERT_MES)-(FARMER_SALARY+A160*TEMP_COST)-FIXED_COSTS)</f>
        <v>-999999999</v>
      </c>
    </row>
    <row r="161">
      <c r="A161" s="5" t="n">
        <v>0</v>
      </c>
      <c r="B161" s="5" t="n">
        <v>7</v>
      </c>
      <c r="C161" s="5" t="n">
        <v>1</v>
      </c>
      <c r="D161" s="18">
        <f>SEASON_HRS_TOM*B161*(1+DIM_TOM)^B161+SEASON_HRS_CAR*C161*(1+DIM_CAR)^C161</f>
        <v>1258.4417730000007</v>
      </c>
      <c r="E161" s="18">
        <f>(FARMER_FIELD_HRS+A161*TEMP_HRS)-D161</f>
        <v>-538.4417730000007</v>
      </c>
      <c r="F161" s="21">
        <f>IF(E161&lt;0,0,MIN(COUNTIF(Labor!$C$59:$C$88,"&lt;="&amp;E161),MAXBED_MES,TOTAL_BEDS-B161-C161))</f>
        <v>0</v>
      </c>
      <c r="G161" s="21">
        <f>B161+C161+F161</f>
        <v>8</v>
      </c>
      <c r="H161" s="22">
        <f>IF(E161&lt;0,-999999999,B161*(PRICE_TOM-FERT_TOM)+C161*(PRICE_CAR-FERT_CAR)+F161*(PRICE_MES-FERT_MES)-(FARMER_SALARY+A161*TEMP_COST)-FIXED_COSTS)</f>
        <v>-999999999</v>
      </c>
    </row>
    <row r="162">
      <c r="A162" s="5" t="n">
        <v>0</v>
      </c>
      <c r="B162" s="5" t="n">
        <v>7</v>
      </c>
      <c r="C162" s="5" t="n">
        <v>2</v>
      </c>
      <c r="D162" s="18">
        <f>SEASON_HRS_TOM*B162*(1+DIM_TOM)^B162+SEASON_HRS_CAR*C162*(1+DIM_CAR)^C162</f>
        <v>1290.7292730000006</v>
      </c>
      <c r="E162" s="18">
        <f>(FARMER_FIELD_HRS+A162*TEMP_HRS)-D162</f>
        <v>-570.7292730000006</v>
      </c>
      <c r="F162" s="21">
        <f>IF(E162&lt;0,0,MIN(COUNTIF(Labor!$C$59:$C$88,"&lt;="&amp;E162),MAXBED_MES,TOTAL_BEDS-B162-C162))</f>
        <v>0</v>
      </c>
      <c r="G162" s="21">
        <f>B162+C162+F162</f>
        <v>9</v>
      </c>
      <c r="H162" s="22">
        <f>IF(E162&lt;0,-999999999,B162*(PRICE_TOM-FERT_TOM)+C162*(PRICE_CAR-FERT_CAR)+F162*(PRICE_MES-FERT_MES)-(FARMER_SALARY+A162*TEMP_COST)-FIXED_COSTS)</f>
        <v>-999999999</v>
      </c>
    </row>
    <row r="163">
      <c r="A163" s="5" t="n">
        <v>0</v>
      </c>
      <c r="B163" s="5" t="n">
        <v>7</v>
      </c>
      <c r="C163" s="5" t="n">
        <v>3</v>
      </c>
      <c r="D163" s="18">
        <f>SEASON_HRS_TOM*B163*(1+DIM_TOM)^B163+SEASON_HRS_CAR*C163*(1+DIM_CAR)^C163</f>
        <v>1324.6119292500007</v>
      </c>
      <c r="E163" s="18">
        <f>(FARMER_FIELD_HRS+A163*TEMP_HRS)-D163</f>
        <v>-604.6119292500007</v>
      </c>
      <c r="F163" s="21">
        <f>IF(E163&lt;0,0,MIN(COUNTIF(Labor!$C$59:$C$88,"&lt;="&amp;E163),MAXBED_MES,TOTAL_BEDS-B163-C163))</f>
        <v>0</v>
      </c>
      <c r="G163" s="21">
        <f>B163+C163+F163</f>
        <v>10</v>
      </c>
      <c r="H163" s="22">
        <f>IF(E163&lt;0,-999999999,B163*(PRICE_TOM-FERT_TOM)+C163*(PRICE_CAR-FERT_CAR)+F163*(PRICE_MES-FERT_MES)-(FARMER_SALARY+A163*TEMP_COST)-FIXED_COSTS)</f>
        <v>-999999999</v>
      </c>
    </row>
    <row r="164">
      <c r="A164" s="5" t="n">
        <v>0</v>
      </c>
      <c r="B164" s="5" t="n">
        <v>7</v>
      </c>
      <c r="C164" s="5" t="n">
        <v>4</v>
      </c>
      <c r="D164" s="18">
        <f>SEASON_HRS_TOM*B164*(1+DIM_TOM)^B164+SEASON_HRS_CAR*C164*(1+DIM_CAR)^C164</f>
        <v>1360.1493198750006</v>
      </c>
      <c r="E164" s="18">
        <f>(FARMER_FIELD_HRS+A164*TEMP_HRS)-D164</f>
        <v>-640.1493198750006</v>
      </c>
      <c r="F164" s="21">
        <f>IF(E164&lt;0,0,MIN(COUNTIF(Labor!$C$59:$C$88,"&lt;="&amp;E164),MAXBED_MES,TOTAL_BEDS-B164-C164))</f>
        <v>0</v>
      </c>
      <c r="G164" s="21">
        <f>B164+C164+F164</f>
        <v>11</v>
      </c>
      <c r="H164" s="22">
        <f>IF(E164&lt;0,-999999999,B164*(PRICE_TOM-FERT_TOM)+C164*(PRICE_CAR-FERT_CAR)+F164*(PRICE_MES-FERT_MES)-(FARMER_SALARY+A164*TEMP_COST)-FIXED_COSTS)</f>
        <v>-999999999</v>
      </c>
    </row>
    <row r="165">
      <c r="A165" s="5" t="n">
        <v>0</v>
      </c>
      <c r="B165" s="5" t="n">
        <v>7</v>
      </c>
      <c r="C165" s="5" t="n">
        <v>5</v>
      </c>
      <c r="D165" s="18">
        <f>SEASON_HRS_TOM*B165*(1+DIM_TOM)^B165+SEASON_HRS_CAR*C165*(1+DIM_CAR)^C165</f>
        <v>1397.4030049335943</v>
      </c>
      <c r="E165" s="18">
        <f>(FARMER_FIELD_HRS+A165*TEMP_HRS)-D165</f>
        <v>-677.4030049335943</v>
      </c>
      <c r="F165" s="21">
        <f>IF(E165&lt;0,0,MIN(COUNTIF(Labor!$C$59:$C$88,"&lt;="&amp;E165),MAXBED_MES,TOTAL_BEDS-B165-C165))</f>
        <v>0</v>
      </c>
      <c r="G165" s="21">
        <f>B165+C165+F165</f>
        <v>12</v>
      </c>
      <c r="H165" s="22">
        <f>IF(E165&lt;0,-999999999,B165*(PRICE_TOM-FERT_TOM)+C165*(PRICE_CAR-FERT_CAR)+F165*(PRICE_MES-FERT_MES)-(FARMER_SALARY+A165*TEMP_COST)-FIXED_COSTS)</f>
        <v>-999999999</v>
      </c>
    </row>
    <row r="166">
      <c r="A166" s="5" t="n">
        <v>0</v>
      </c>
      <c r="B166" s="5" t="n">
        <v>7</v>
      </c>
      <c r="C166" s="5" t="n">
        <v>6</v>
      </c>
      <c r="D166" s="18">
        <f>SEASON_HRS_TOM*B166*(1+DIM_TOM)^B166+SEASON_HRS_CAR*C166*(1+DIM_CAR)^C166</f>
        <v>1436.4365882783209</v>
      </c>
      <c r="E166" s="18">
        <f>(FARMER_FIELD_HRS+A166*TEMP_HRS)-D166</f>
        <v>-716.4365882783209</v>
      </c>
      <c r="F166" s="21">
        <f>IF(E166&lt;0,0,MIN(COUNTIF(Labor!$C$59:$C$88,"&lt;="&amp;E166),MAXBED_MES,TOTAL_BEDS-B166-C166))</f>
        <v>0</v>
      </c>
      <c r="G166" s="21">
        <f>B166+C166+F166</f>
        <v>13</v>
      </c>
      <c r="H166" s="22">
        <f>IF(E166&lt;0,-999999999,B166*(PRICE_TOM-FERT_TOM)+C166*(PRICE_CAR-FERT_CAR)+F166*(PRICE_MES-FERT_MES)-(FARMER_SALARY+A166*TEMP_COST)-FIXED_COSTS)</f>
        <v>-999999999</v>
      </c>
    </row>
    <row r="167">
      <c r="A167" s="5" t="n">
        <v>0</v>
      </c>
      <c r="B167" s="5" t="n">
        <v>7</v>
      </c>
      <c r="C167" s="5" t="n">
        <v>7</v>
      </c>
      <c r="D167" s="18">
        <f>SEASON_HRS_TOM*B167*(1+DIM_TOM)^B167+SEASON_HRS_CAR*C167*(1+DIM_CAR)^C167</f>
        <v>1477.3157812703253</v>
      </c>
      <c r="E167" s="18">
        <f>(FARMER_FIELD_HRS+A167*TEMP_HRS)-D167</f>
        <v>-757.3157812703253</v>
      </c>
      <c r="F167" s="21">
        <f>IF(E167&lt;0,0,MIN(COUNTIF(Labor!$C$59:$C$88,"&lt;="&amp;E167),MAXBED_MES,TOTAL_BEDS-B167-C167))</f>
        <v>0</v>
      </c>
      <c r="G167" s="21">
        <f>B167+C167+F167</f>
        <v>14</v>
      </c>
      <c r="H167" s="22">
        <f>IF(E167&lt;0,-999999999,B167*(PRICE_TOM-FERT_TOM)+C167*(PRICE_CAR-FERT_CAR)+F167*(PRICE_MES-FERT_MES)-(FARMER_SALARY+A167*TEMP_COST)-FIXED_COSTS)</f>
        <v>-999999999</v>
      </c>
    </row>
    <row r="168">
      <c r="A168" s="5" t="n">
        <v>0</v>
      </c>
      <c r="B168" s="5" t="n">
        <v>7</v>
      </c>
      <c r="C168" s="5" t="n">
        <v>8</v>
      </c>
      <c r="D168" s="18">
        <f>SEASON_HRS_TOM*B168*(1+DIM_TOM)^B168+SEASON_HRS_CAR*C168*(1+DIM_CAR)^C168</f>
        <v>1520.1084684023808</v>
      </c>
      <c r="E168" s="18">
        <f>(FARMER_FIELD_HRS+A168*TEMP_HRS)-D168</f>
        <v>-800.1084684023808</v>
      </c>
      <c r="F168" s="21">
        <f>IF(E168&lt;0,0,MIN(COUNTIF(Labor!$C$59:$C$88,"&lt;="&amp;E168),MAXBED_MES,TOTAL_BEDS-B168-C168))</f>
        <v>0</v>
      </c>
      <c r="G168" s="21">
        <f>B168+C168+F168</f>
        <v>15</v>
      </c>
      <c r="H168" s="22">
        <f>IF(E168&lt;0,-999999999,B168*(PRICE_TOM-FERT_TOM)+C168*(PRICE_CAR-FERT_CAR)+F168*(PRICE_MES-FERT_MES)-(FARMER_SALARY+A168*TEMP_COST)-FIXED_COSTS)</f>
        <v>-999999999</v>
      </c>
    </row>
    <row r="169">
      <c r="A169" s="5" t="n">
        <v>0</v>
      </c>
      <c r="B169" s="5" t="n">
        <v>7</v>
      </c>
      <c r="C169" s="5" t="n">
        <v>9</v>
      </c>
      <c r="D169" s="18">
        <f>SEASON_HRS_TOM*B169*(1+DIM_TOM)^B169+SEASON_HRS_CAR*C169*(1+DIM_CAR)^C169</f>
        <v>1564.8847748858702</v>
      </c>
      <c r="E169" s="18">
        <f>(FARMER_FIELD_HRS+A169*TEMP_HRS)-D169</f>
        <v>-844.8847748858702</v>
      </c>
      <c r="F169" s="21">
        <f>IF(E169&lt;0,0,MIN(COUNTIF(Labor!$C$59:$C$88,"&lt;="&amp;E169),MAXBED_MES,TOTAL_BEDS-B169-C169))</f>
        <v>0</v>
      </c>
      <c r="G169" s="21">
        <f>B169+C169+F169</f>
        <v>16</v>
      </c>
      <c r="H169" s="22">
        <f>IF(E169&lt;0,-999999999,B169*(PRICE_TOM-FERT_TOM)+C169*(PRICE_CAR-FERT_CAR)+F169*(PRICE_MES-FERT_MES)-(FARMER_SALARY+A169*TEMP_COST)-FIXED_COSTS)</f>
        <v>-999999999</v>
      </c>
    </row>
    <row r="170">
      <c r="A170" s="5" t="n">
        <v>0</v>
      </c>
      <c r="B170" s="5" t="n">
        <v>7</v>
      </c>
      <c r="C170" s="5" t="n">
        <v>10</v>
      </c>
      <c r="D170" s="18">
        <f>SEASON_HRS_TOM*B170*(1+DIM_TOM)^B170+SEASON_HRS_CAR*C170*(1+DIM_CAR)^C170</f>
        <v>1611.7171362589077</v>
      </c>
      <c r="E170" s="18">
        <f>(FARMER_FIELD_HRS+A170*TEMP_HRS)-D170</f>
        <v>-891.7171362589077</v>
      </c>
      <c r="F170" s="21">
        <f>IF(E170&lt;0,0,MIN(COUNTIF(Labor!$C$59:$C$88,"&lt;="&amp;E170),MAXBED_MES,TOTAL_BEDS-B170-C170))</f>
        <v>0</v>
      </c>
      <c r="G170" s="21">
        <f>B170+C170+F170</f>
        <v>17</v>
      </c>
      <c r="H170" s="22">
        <f>IF(E170&lt;0,-999999999,B170*(PRICE_TOM-FERT_TOM)+C170*(PRICE_CAR-FERT_CAR)+F170*(PRICE_MES-FERT_MES)-(FARMER_SALARY+A170*TEMP_COST)-FIXED_COSTS)</f>
        <v>-999999999</v>
      </c>
    </row>
    <row r="171">
      <c r="A171" s="5" t="n">
        <v>0</v>
      </c>
      <c r="B171" s="5" t="n">
        <v>7</v>
      </c>
      <c r="C171" s="5" t="n">
        <v>11</v>
      </c>
      <c r="D171" s="18">
        <f>SEASON_HRS_TOM*B171*(1+DIM_TOM)^B171+SEASON_HRS_CAR*C171*(1+DIM_CAR)^C171</f>
        <v>1660.6803700744183</v>
      </c>
      <c r="E171" s="18">
        <f>(FARMER_FIELD_HRS+A171*TEMP_HRS)-D171</f>
        <v>-940.6803700744183</v>
      </c>
      <c r="F171" s="21">
        <f>IF(E171&lt;0,0,MIN(COUNTIF(Labor!$C$59:$C$88,"&lt;="&amp;E171),MAXBED_MES,TOTAL_BEDS-B171-C171))</f>
        <v>0</v>
      </c>
      <c r="G171" s="21">
        <f>B171+C171+F171</f>
        <v>18</v>
      </c>
      <c r="H171" s="22">
        <f>IF(E171&lt;0,-999999999,B171*(PRICE_TOM-FERT_TOM)+C171*(PRICE_CAR-FERT_CAR)+F171*(PRICE_MES-FERT_MES)-(FARMER_SALARY+A171*TEMP_COST)-FIXED_COSTS)</f>
        <v>-999999999</v>
      </c>
    </row>
    <row r="172">
      <c r="A172" s="5" t="n">
        <v>0</v>
      </c>
      <c r="B172" s="5" t="n">
        <v>7</v>
      </c>
      <c r="C172" s="5" t="n">
        <v>12</v>
      </c>
      <c r="D172" s="18">
        <f>SEASON_HRS_TOM*B172*(1+DIM_TOM)^B172+SEASON_HRS_CAR*C172*(1+DIM_CAR)^C172</f>
        <v>1711.8517497286675</v>
      </c>
      <c r="E172" s="18">
        <f>(FARMER_FIELD_HRS+A172*TEMP_HRS)-D172</f>
        <v>-991.8517497286675</v>
      </c>
      <c r="F172" s="21">
        <f>IF(E172&lt;0,0,MIN(COUNTIF(Labor!$C$59:$C$88,"&lt;="&amp;E172),MAXBED_MES,TOTAL_BEDS-B172-C172))</f>
        <v>0</v>
      </c>
      <c r="G172" s="21">
        <f>B172+C172+F172</f>
        <v>19</v>
      </c>
      <c r="H172" s="22">
        <f>IF(E172&lt;0,-999999999,B172*(PRICE_TOM-FERT_TOM)+C172*(PRICE_CAR-FERT_CAR)+F172*(PRICE_MES-FERT_MES)-(FARMER_SALARY+A172*TEMP_COST)-FIXED_COSTS)</f>
        <v>-999999999</v>
      </c>
    </row>
    <row r="173">
      <c r="A173" s="5" t="n">
        <v>0</v>
      </c>
      <c r="B173" s="5" t="n">
        <v>7</v>
      </c>
      <c r="C173" s="5" t="n">
        <v>13</v>
      </c>
      <c r="D173" s="18">
        <f>SEASON_HRS_TOM*B173*(1+DIM_TOM)^B173+SEASON_HRS_CAR*C173*(1+DIM_CAR)^C173</f>
        <v>1765.3110804924577</v>
      </c>
      <c r="E173" s="18">
        <f>(FARMER_FIELD_HRS+A173*TEMP_HRS)-D173</f>
        <v>-1045.3110804924577</v>
      </c>
      <c r="F173" s="21">
        <f>IF(E173&lt;0,0,MIN(COUNTIF(Labor!$C$59:$C$88,"&lt;="&amp;E173),MAXBED_MES,TOTAL_BEDS-B173-C173))</f>
        <v>0</v>
      </c>
      <c r="G173" s="21">
        <f>B173+C173+F173</f>
        <v>20</v>
      </c>
      <c r="H173" s="22">
        <f>IF(E173&lt;0,-999999999,B173*(PRICE_TOM-FERT_TOM)+C173*(PRICE_CAR-FERT_CAR)+F173*(PRICE_MES-FERT_MES)-(FARMER_SALARY+A173*TEMP_COST)-FIXED_COSTS)</f>
        <v>-999999999</v>
      </c>
    </row>
    <row r="174">
      <c r="A174" s="5" t="n">
        <v>0</v>
      </c>
      <c r="B174" s="5" t="n">
        <v>7</v>
      </c>
      <c r="C174" s="5" t="n">
        <v>14</v>
      </c>
      <c r="D174" s="18">
        <f>SEASON_HRS_TOM*B174*(1+DIM_TOM)^B174+SEASON_HRS_CAR*C174*(1+DIM_CAR)^C174</f>
        <v>1821.1407778089824</v>
      </c>
      <c r="E174" s="18">
        <f>(FARMER_FIELD_HRS+A174*TEMP_HRS)-D174</f>
        <v>-1101.1407778089824</v>
      </c>
      <c r="F174" s="21">
        <f>IF(E174&lt;0,0,MIN(COUNTIF(Labor!$C$59:$C$88,"&lt;="&amp;E174),MAXBED_MES,TOTAL_BEDS-B174-C174))</f>
        <v>0</v>
      </c>
      <c r="G174" s="21">
        <f>B174+C174+F174</f>
        <v>21</v>
      </c>
      <c r="H174" s="22">
        <f>IF(E174&lt;0,-999999999,B174*(PRICE_TOM-FERT_TOM)+C174*(PRICE_CAR-FERT_CAR)+F174*(PRICE_MES-FERT_MES)-(FARMER_SALARY+A174*TEMP_COST)-FIXED_COSTS)</f>
        <v>-999999999</v>
      </c>
    </row>
    <row r="175">
      <c r="A175" s="5" t="n">
        <v>0</v>
      </c>
      <c r="B175" s="5" t="n">
        <v>7</v>
      </c>
      <c r="C175" s="5" t="n">
        <v>15</v>
      </c>
      <c r="D175" s="18">
        <f>SEASON_HRS_TOM*B175*(1+DIM_TOM)^B175+SEASON_HRS_CAR*C175*(1+DIM_CAR)^C175</f>
        <v>1879.42594792415</v>
      </c>
      <c r="E175" s="18">
        <f>(FARMER_FIELD_HRS+A175*TEMP_HRS)-D175</f>
        <v>-1159.42594792415</v>
      </c>
      <c r="F175" s="21">
        <f>IF(E175&lt;0,0,MIN(COUNTIF(Labor!$C$59:$C$88,"&lt;="&amp;E175),MAXBED_MES,TOTAL_BEDS-B175-C175))</f>
        <v>0</v>
      </c>
      <c r="G175" s="21">
        <f>B175+C175+F175</f>
        <v>22</v>
      </c>
      <c r="H175" s="22">
        <f>IF(E175&lt;0,-999999999,B175*(PRICE_TOM-FERT_TOM)+C175*(PRICE_CAR-FERT_CAR)+F175*(PRICE_MES-FERT_MES)-(FARMER_SALARY+A175*TEMP_COST)-FIXED_COSTS)</f>
        <v>-999999999</v>
      </c>
    </row>
    <row r="176">
      <c r="A176" s="5" t="n">
        <v>0</v>
      </c>
      <c r="B176" s="5" t="n">
        <v>7</v>
      </c>
      <c r="C176" s="5" t="n">
        <v>16</v>
      </c>
      <c r="D176" s="18">
        <f>SEASON_HRS_TOM*B176*(1+DIM_TOM)^B176+SEASON_HRS_CAR*C176*(1+DIM_CAR)^C176</f>
        <v>1940.2544709170706</v>
      </c>
      <c r="E176" s="18">
        <f>(FARMER_FIELD_HRS+A176*TEMP_HRS)-D176</f>
        <v>-1220.2544709170706</v>
      </c>
      <c r="F176" s="21">
        <f>IF(E176&lt;0,0,MIN(COUNTIF(Labor!$C$59:$C$88,"&lt;="&amp;E176),MAXBED_MES,TOTAL_BEDS-B176-C176))</f>
        <v>0</v>
      </c>
      <c r="G176" s="21">
        <f>B176+C176+F176</f>
        <v>23</v>
      </c>
      <c r="H176" s="22">
        <f>IF(E176&lt;0,-999999999,B176*(PRICE_TOM-FERT_TOM)+C176*(PRICE_CAR-FERT_CAR)+F176*(PRICE_MES-FERT_MES)-(FARMER_SALARY+A176*TEMP_COST)-FIXED_COSTS)</f>
        <v>-999999999</v>
      </c>
    </row>
    <row r="177">
      <c r="A177" s="5" t="n">
        <v>0</v>
      </c>
      <c r="B177" s="5" t="n">
        <v>7</v>
      </c>
      <c r="C177" s="5" t="n">
        <v>17</v>
      </c>
      <c r="D177" s="18">
        <f>SEASON_HRS_TOM*B177*(1+DIM_TOM)^B177+SEASON_HRS_CAR*C177*(1+DIM_CAR)^C177</f>
        <v>2003.7170862003095</v>
      </c>
      <c r="E177" s="18">
        <f>(FARMER_FIELD_HRS+A177*TEMP_HRS)-D177</f>
        <v>-1283.7170862003095</v>
      </c>
      <c r="F177" s="21">
        <f>IF(E177&lt;0,0,MIN(COUNTIF(Labor!$C$59:$C$88,"&lt;="&amp;E177),MAXBED_MES,TOTAL_BEDS-B177-C177))</f>
        <v>0</v>
      </c>
      <c r="G177" s="21">
        <f>B177+C177+F177</f>
        <v>24</v>
      </c>
      <c r="H177" s="22">
        <f>IF(E177&lt;0,-999999999,B177*(PRICE_TOM-FERT_TOM)+C177*(PRICE_CAR-FERT_CAR)+F177*(PRICE_MES-FERT_MES)-(FARMER_SALARY+A177*TEMP_COST)-FIXED_COSTS)</f>
        <v>-999999999</v>
      </c>
    </row>
    <row r="178">
      <c r="A178" s="5" t="n">
        <v>0</v>
      </c>
      <c r="B178" s="5" t="n">
        <v>7</v>
      </c>
      <c r="C178" s="5" t="n">
        <v>18</v>
      </c>
      <c r="D178" s="18">
        <f>SEASON_HRS_TOM*B178*(1+DIM_TOM)^B178+SEASON_HRS_CAR*C178*(1+DIM_CAR)^C178</f>
        <v>2069.9074805615123</v>
      </c>
      <c r="E178" s="18">
        <f>(FARMER_FIELD_HRS+A178*TEMP_HRS)-D178</f>
        <v>-1349.9074805615123</v>
      </c>
      <c r="F178" s="21">
        <f>IF(E178&lt;0,0,MIN(COUNTIF(Labor!$C$59:$C$88,"&lt;="&amp;E178),MAXBED_MES,TOTAL_BEDS-B178-C178))</f>
        <v>0</v>
      </c>
      <c r="G178" s="21">
        <f>B178+C178+F178</f>
        <v>25</v>
      </c>
      <c r="H178" s="22">
        <f>IF(E178&lt;0,-999999999,B178*(PRICE_TOM-FERT_TOM)+C178*(PRICE_CAR-FERT_CAR)+F178*(PRICE_MES-FERT_MES)-(FARMER_SALARY+A178*TEMP_COST)-FIXED_COSTS)</f>
        <v>-999999999</v>
      </c>
    </row>
    <row r="179">
      <c r="A179" s="5" t="n">
        <v>0</v>
      </c>
      <c r="B179" s="5" t="n">
        <v>7</v>
      </c>
      <c r="C179" s="5" t="n">
        <v>19</v>
      </c>
      <c r="D179" s="18">
        <f>SEASON_HRS_TOM*B179*(1+DIM_TOM)^B179+SEASON_HRS_CAR*C179*(1+DIM_CAR)^C179</f>
        <v>2138.9223788200247</v>
      </c>
      <c r="E179" s="18">
        <f>(FARMER_FIELD_HRS+A179*TEMP_HRS)-D179</f>
        <v>-1418.9223788200247</v>
      </c>
      <c r="F179" s="21">
        <f>IF(E179&lt;0,0,MIN(COUNTIF(Labor!$C$59:$C$88,"&lt;="&amp;E179),MAXBED_MES,TOTAL_BEDS-B179-C179))</f>
        <v>0</v>
      </c>
      <c r="G179" s="21">
        <f>B179+C179+F179</f>
        <v>26</v>
      </c>
      <c r="H179" s="22">
        <f>IF(E179&lt;0,-999999999,B179*(PRICE_TOM-FERT_TOM)+C179*(PRICE_CAR-FERT_CAR)+F179*(PRICE_MES-FERT_MES)-(FARMER_SALARY+A179*TEMP_COST)-FIXED_COSTS)</f>
        <v>-999999999</v>
      </c>
    </row>
    <row r="180">
      <c r="A180" s="5" t="n">
        <v>0</v>
      </c>
      <c r="B180" s="5" t="n">
        <v>7</v>
      </c>
      <c r="C180" s="5" t="n">
        <v>20</v>
      </c>
      <c r="D180" s="18">
        <f>SEASON_HRS_TOM*B180*(1+DIM_TOM)^B180+SEASON_HRS_CAR*C180*(1+DIM_CAR)^C180</f>
        <v>2210.8616371742373</v>
      </c>
      <c r="E180" s="18">
        <f>(FARMER_FIELD_HRS+A180*TEMP_HRS)-D180</f>
        <v>-1490.8616371742373</v>
      </c>
      <c r="F180" s="21">
        <f>IF(E180&lt;0,0,MIN(COUNTIF(Labor!$C$59:$C$88,"&lt;="&amp;E180),MAXBED_MES,TOTAL_BEDS-B180-C180))</f>
        <v>0</v>
      </c>
      <c r="G180" s="21">
        <f>B180+C180+F180</f>
        <v>27</v>
      </c>
      <c r="H180" s="22">
        <f>IF(E180&lt;0,-999999999,B180*(PRICE_TOM-FERT_TOM)+C180*(PRICE_CAR-FERT_CAR)+F180*(PRICE_MES-FERT_MES)-(FARMER_SALARY+A180*TEMP_COST)-FIXED_COSTS)</f>
        <v>-999999999</v>
      </c>
    </row>
    <row r="181">
      <c r="A181" s="5" t="n">
        <v>0</v>
      </c>
      <c r="B181" s="5" t="n">
        <v>8</v>
      </c>
      <c r="C181" s="5" t="n">
        <v>0</v>
      </c>
      <c r="D181" s="18">
        <f>SEASON_HRS_TOM*B181*(1+DIM_TOM)^B181+SEASON_HRS_CAR*C181*(1+DIM_CAR)^C181</f>
        <v>1543.383943200001</v>
      </c>
      <c r="E181" s="18">
        <f>(FARMER_FIELD_HRS+A181*TEMP_HRS)-D181</f>
        <v>-823.3839432000011</v>
      </c>
      <c r="F181" s="21">
        <f>IF(E181&lt;0,0,MIN(COUNTIF(Labor!$C$59:$C$88,"&lt;="&amp;E181),MAXBED_MES,TOTAL_BEDS-B181-C181))</f>
        <v>0</v>
      </c>
      <c r="G181" s="21">
        <f>B181+C181+F181</f>
        <v>8</v>
      </c>
      <c r="H181" s="22">
        <f>IF(E181&lt;0,-999999999,B181*(PRICE_TOM-FERT_TOM)+C181*(PRICE_CAR-FERT_CAR)+F181*(PRICE_MES-FERT_MES)-(FARMER_SALARY+A181*TEMP_COST)-FIXED_COSTS)</f>
        <v>-999999999</v>
      </c>
    </row>
    <row r="182">
      <c r="A182" s="5" t="n">
        <v>0</v>
      </c>
      <c r="B182" s="5" t="n">
        <v>8</v>
      </c>
      <c r="C182" s="5" t="n">
        <v>1</v>
      </c>
      <c r="D182" s="18">
        <f>SEASON_HRS_TOM*B182*(1+DIM_TOM)^B182+SEASON_HRS_CAR*C182*(1+DIM_CAR)^C182</f>
        <v>1574.133943200001</v>
      </c>
      <c r="E182" s="18">
        <f>(FARMER_FIELD_HRS+A182*TEMP_HRS)-D182</f>
        <v>-854.1339432000011</v>
      </c>
      <c r="F182" s="21">
        <f>IF(E182&lt;0,0,MIN(COUNTIF(Labor!$C$59:$C$88,"&lt;="&amp;E182),MAXBED_MES,TOTAL_BEDS-B182-C182))</f>
        <v>0</v>
      </c>
      <c r="G182" s="21">
        <f>B182+C182+F182</f>
        <v>9</v>
      </c>
      <c r="H182" s="22">
        <f>IF(E182&lt;0,-999999999,B182*(PRICE_TOM-FERT_TOM)+C182*(PRICE_CAR-FERT_CAR)+F182*(PRICE_MES-FERT_MES)-(FARMER_SALARY+A182*TEMP_COST)-FIXED_COSTS)</f>
        <v>-999999999</v>
      </c>
    </row>
    <row r="183">
      <c r="A183" s="5" t="n">
        <v>0</v>
      </c>
      <c r="B183" s="5" t="n">
        <v>8</v>
      </c>
      <c r="C183" s="5" t="n">
        <v>2</v>
      </c>
      <c r="D183" s="18">
        <f>SEASON_HRS_TOM*B183*(1+DIM_TOM)^B183+SEASON_HRS_CAR*C183*(1+DIM_CAR)^C183</f>
        <v>1606.421443200001</v>
      </c>
      <c r="E183" s="18">
        <f>(FARMER_FIELD_HRS+A183*TEMP_HRS)-D183</f>
        <v>-886.421443200001</v>
      </c>
      <c r="F183" s="21">
        <f>IF(E183&lt;0,0,MIN(COUNTIF(Labor!$C$59:$C$88,"&lt;="&amp;E183),MAXBED_MES,TOTAL_BEDS-B183-C183))</f>
        <v>0</v>
      </c>
      <c r="G183" s="21">
        <f>B183+C183+F183</f>
        <v>10</v>
      </c>
      <c r="H183" s="22">
        <f>IF(E183&lt;0,-999999999,B183*(PRICE_TOM-FERT_TOM)+C183*(PRICE_CAR-FERT_CAR)+F183*(PRICE_MES-FERT_MES)-(FARMER_SALARY+A183*TEMP_COST)-FIXED_COSTS)</f>
        <v>-999999999</v>
      </c>
    </row>
    <row r="184">
      <c r="A184" s="5" t="n">
        <v>0</v>
      </c>
      <c r="B184" s="5" t="n">
        <v>8</v>
      </c>
      <c r="C184" s="5" t="n">
        <v>3</v>
      </c>
      <c r="D184" s="18">
        <f>SEASON_HRS_TOM*B184*(1+DIM_TOM)^B184+SEASON_HRS_CAR*C184*(1+DIM_CAR)^C184</f>
        <v>1640.304099450001</v>
      </c>
      <c r="E184" s="18">
        <f>(FARMER_FIELD_HRS+A184*TEMP_HRS)-D184</f>
        <v>-920.3040994500011</v>
      </c>
      <c r="F184" s="21">
        <f>IF(E184&lt;0,0,MIN(COUNTIF(Labor!$C$59:$C$88,"&lt;="&amp;E184),MAXBED_MES,TOTAL_BEDS-B184-C184))</f>
        <v>0</v>
      </c>
      <c r="G184" s="21">
        <f>B184+C184+F184</f>
        <v>11</v>
      </c>
      <c r="H184" s="22">
        <f>IF(E184&lt;0,-999999999,B184*(PRICE_TOM-FERT_TOM)+C184*(PRICE_CAR-FERT_CAR)+F184*(PRICE_MES-FERT_MES)-(FARMER_SALARY+A184*TEMP_COST)-FIXED_COSTS)</f>
        <v>-999999999</v>
      </c>
    </row>
    <row r="185">
      <c r="A185" s="5" t="n">
        <v>0</v>
      </c>
      <c r="B185" s="5" t="n">
        <v>8</v>
      </c>
      <c r="C185" s="5" t="n">
        <v>4</v>
      </c>
      <c r="D185" s="18">
        <f>SEASON_HRS_TOM*B185*(1+DIM_TOM)^B185+SEASON_HRS_CAR*C185*(1+DIM_CAR)^C185</f>
        <v>1675.841490075001</v>
      </c>
      <c r="E185" s="18">
        <f>(FARMER_FIELD_HRS+A185*TEMP_HRS)-D185</f>
        <v>-955.841490075001</v>
      </c>
      <c r="F185" s="21">
        <f>IF(E185&lt;0,0,MIN(COUNTIF(Labor!$C$59:$C$88,"&lt;="&amp;E185),MAXBED_MES,TOTAL_BEDS-B185-C185))</f>
        <v>0</v>
      </c>
      <c r="G185" s="21">
        <f>B185+C185+F185</f>
        <v>12</v>
      </c>
      <c r="H185" s="22">
        <f>IF(E185&lt;0,-999999999,B185*(PRICE_TOM-FERT_TOM)+C185*(PRICE_CAR-FERT_CAR)+F185*(PRICE_MES-FERT_MES)-(FARMER_SALARY+A185*TEMP_COST)-FIXED_COSTS)</f>
        <v>-999999999</v>
      </c>
    </row>
    <row r="186">
      <c r="A186" s="5" t="n">
        <v>0</v>
      </c>
      <c r="B186" s="5" t="n">
        <v>8</v>
      </c>
      <c r="C186" s="5" t="n">
        <v>5</v>
      </c>
      <c r="D186" s="18">
        <f>SEASON_HRS_TOM*B186*(1+DIM_TOM)^B186+SEASON_HRS_CAR*C186*(1+DIM_CAR)^C186</f>
        <v>1713.0951751335947</v>
      </c>
      <c r="E186" s="18">
        <f>(FARMER_FIELD_HRS+A186*TEMP_HRS)-D186</f>
        <v>-993.0951751335947</v>
      </c>
      <c r="F186" s="21">
        <f>IF(E186&lt;0,0,MIN(COUNTIF(Labor!$C$59:$C$88,"&lt;="&amp;E186),MAXBED_MES,TOTAL_BEDS-B186-C186))</f>
        <v>0</v>
      </c>
      <c r="G186" s="21">
        <f>B186+C186+F186</f>
        <v>13</v>
      </c>
      <c r="H186" s="22">
        <f>IF(E186&lt;0,-999999999,B186*(PRICE_TOM-FERT_TOM)+C186*(PRICE_CAR-FERT_CAR)+F186*(PRICE_MES-FERT_MES)-(FARMER_SALARY+A186*TEMP_COST)-FIXED_COSTS)</f>
        <v>-999999999</v>
      </c>
    </row>
    <row r="187">
      <c r="A187" s="5" t="n">
        <v>0</v>
      </c>
      <c r="B187" s="5" t="n">
        <v>8</v>
      </c>
      <c r="C187" s="5" t="n">
        <v>6</v>
      </c>
      <c r="D187" s="18">
        <f>SEASON_HRS_TOM*B187*(1+DIM_TOM)^B187+SEASON_HRS_CAR*C187*(1+DIM_CAR)^C187</f>
        <v>1752.1287584783213</v>
      </c>
      <c r="E187" s="18">
        <f>(FARMER_FIELD_HRS+A187*TEMP_HRS)-D187</f>
        <v>-1032.1287584783213</v>
      </c>
      <c r="F187" s="21">
        <f>IF(E187&lt;0,0,MIN(COUNTIF(Labor!$C$59:$C$88,"&lt;="&amp;E187),MAXBED_MES,TOTAL_BEDS-B187-C187))</f>
        <v>0</v>
      </c>
      <c r="G187" s="21">
        <f>B187+C187+F187</f>
        <v>14</v>
      </c>
      <c r="H187" s="22">
        <f>IF(E187&lt;0,-999999999,B187*(PRICE_TOM-FERT_TOM)+C187*(PRICE_CAR-FERT_CAR)+F187*(PRICE_MES-FERT_MES)-(FARMER_SALARY+A187*TEMP_COST)-FIXED_COSTS)</f>
        <v>-999999999</v>
      </c>
    </row>
    <row r="188">
      <c r="A188" s="5" t="n">
        <v>0</v>
      </c>
      <c r="B188" s="5" t="n">
        <v>8</v>
      </c>
      <c r="C188" s="5" t="n">
        <v>7</v>
      </c>
      <c r="D188" s="18">
        <f>SEASON_HRS_TOM*B188*(1+DIM_TOM)^B188+SEASON_HRS_CAR*C188*(1+DIM_CAR)^C188</f>
        <v>1793.0079514703257</v>
      </c>
      <c r="E188" s="18">
        <f>(FARMER_FIELD_HRS+A188*TEMP_HRS)-D188</f>
        <v>-1073.0079514703257</v>
      </c>
      <c r="F188" s="21">
        <f>IF(E188&lt;0,0,MIN(COUNTIF(Labor!$C$59:$C$88,"&lt;="&amp;E188),MAXBED_MES,TOTAL_BEDS-B188-C188))</f>
        <v>0</v>
      </c>
      <c r="G188" s="21">
        <f>B188+C188+F188</f>
        <v>15</v>
      </c>
      <c r="H188" s="22">
        <f>IF(E188&lt;0,-999999999,B188*(PRICE_TOM-FERT_TOM)+C188*(PRICE_CAR-FERT_CAR)+F188*(PRICE_MES-FERT_MES)-(FARMER_SALARY+A188*TEMP_COST)-FIXED_COSTS)</f>
        <v>-999999999</v>
      </c>
    </row>
    <row r="189">
      <c r="A189" s="5" t="n">
        <v>0</v>
      </c>
      <c r="B189" s="5" t="n">
        <v>8</v>
      </c>
      <c r="C189" s="5" t="n">
        <v>8</v>
      </c>
      <c r="D189" s="18">
        <f>SEASON_HRS_TOM*B189*(1+DIM_TOM)^B189+SEASON_HRS_CAR*C189*(1+DIM_CAR)^C189</f>
        <v>1835.8006386023812</v>
      </c>
      <c r="E189" s="18">
        <f>(FARMER_FIELD_HRS+A189*TEMP_HRS)-D189</f>
        <v>-1115.8006386023812</v>
      </c>
      <c r="F189" s="21">
        <f>IF(E189&lt;0,0,MIN(COUNTIF(Labor!$C$59:$C$88,"&lt;="&amp;E189),MAXBED_MES,TOTAL_BEDS-B189-C189))</f>
        <v>0</v>
      </c>
      <c r="G189" s="21">
        <f>B189+C189+F189</f>
        <v>16</v>
      </c>
      <c r="H189" s="22">
        <f>IF(E189&lt;0,-999999999,B189*(PRICE_TOM-FERT_TOM)+C189*(PRICE_CAR-FERT_CAR)+F189*(PRICE_MES-FERT_MES)-(FARMER_SALARY+A189*TEMP_COST)-FIXED_COSTS)</f>
        <v>-999999999</v>
      </c>
    </row>
    <row r="190">
      <c r="A190" s="5" t="n">
        <v>0</v>
      </c>
      <c r="B190" s="5" t="n">
        <v>8</v>
      </c>
      <c r="C190" s="5" t="n">
        <v>9</v>
      </c>
      <c r="D190" s="18">
        <f>SEASON_HRS_TOM*B190*(1+DIM_TOM)^B190+SEASON_HRS_CAR*C190*(1+DIM_CAR)^C190</f>
        <v>1880.5769450858706</v>
      </c>
      <c r="E190" s="18">
        <f>(FARMER_FIELD_HRS+A190*TEMP_HRS)-D190</f>
        <v>-1160.5769450858706</v>
      </c>
      <c r="F190" s="21">
        <f>IF(E190&lt;0,0,MIN(COUNTIF(Labor!$C$59:$C$88,"&lt;="&amp;E190),MAXBED_MES,TOTAL_BEDS-B190-C190))</f>
        <v>0</v>
      </c>
      <c r="G190" s="21">
        <f>B190+C190+F190</f>
        <v>17</v>
      </c>
      <c r="H190" s="22">
        <f>IF(E190&lt;0,-999999999,B190*(PRICE_TOM-FERT_TOM)+C190*(PRICE_CAR-FERT_CAR)+F190*(PRICE_MES-FERT_MES)-(FARMER_SALARY+A190*TEMP_COST)-FIXED_COSTS)</f>
        <v>-999999999</v>
      </c>
    </row>
    <row r="191">
      <c r="A191" s="5" t="n">
        <v>0</v>
      </c>
      <c r="B191" s="5" t="n">
        <v>8</v>
      </c>
      <c r="C191" s="5" t="n">
        <v>10</v>
      </c>
      <c r="D191" s="18">
        <f>SEASON_HRS_TOM*B191*(1+DIM_TOM)^B191+SEASON_HRS_CAR*C191*(1+DIM_CAR)^C191</f>
        <v>1927.409306458908</v>
      </c>
      <c r="E191" s="18">
        <f>(FARMER_FIELD_HRS+A191*TEMP_HRS)-D191</f>
        <v>-1207.409306458908</v>
      </c>
      <c r="F191" s="21">
        <f>IF(E191&lt;0,0,MIN(COUNTIF(Labor!$C$59:$C$88,"&lt;="&amp;E191),MAXBED_MES,TOTAL_BEDS-B191-C191))</f>
        <v>0</v>
      </c>
      <c r="G191" s="21">
        <f>B191+C191+F191</f>
        <v>18</v>
      </c>
      <c r="H191" s="22">
        <f>IF(E191&lt;0,-999999999,B191*(PRICE_TOM-FERT_TOM)+C191*(PRICE_CAR-FERT_CAR)+F191*(PRICE_MES-FERT_MES)-(FARMER_SALARY+A191*TEMP_COST)-FIXED_COSTS)</f>
        <v>-999999999</v>
      </c>
    </row>
    <row r="192">
      <c r="A192" s="5" t="n">
        <v>0</v>
      </c>
      <c r="B192" s="5" t="n">
        <v>8</v>
      </c>
      <c r="C192" s="5" t="n">
        <v>11</v>
      </c>
      <c r="D192" s="18">
        <f>SEASON_HRS_TOM*B192*(1+DIM_TOM)^B192+SEASON_HRS_CAR*C192*(1+DIM_CAR)^C192</f>
        <v>1976.3725402744187</v>
      </c>
      <c r="E192" s="18">
        <f>(FARMER_FIELD_HRS+A192*TEMP_HRS)-D192</f>
        <v>-1256.3725402744187</v>
      </c>
      <c r="F192" s="21">
        <f>IF(E192&lt;0,0,MIN(COUNTIF(Labor!$C$59:$C$88,"&lt;="&amp;E192),MAXBED_MES,TOTAL_BEDS-B192-C192))</f>
        <v>0</v>
      </c>
      <c r="G192" s="21">
        <f>B192+C192+F192</f>
        <v>19</v>
      </c>
      <c r="H192" s="22">
        <f>IF(E192&lt;0,-999999999,B192*(PRICE_TOM-FERT_TOM)+C192*(PRICE_CAR-FERT_CAR)+F192*(PRICE_MES-FERT_MES)-(FARMER_SALARY+A192*TEMP_COST)-FIXED_COSTS)</f>
        <v>-999999999</v>
      </c>
    </row>
    <row r="193">
      <c r="A193" s="5" t="n">
        <v>0</v>
      </c>
      <c r="B193" s="5" t="n">
        <v>8</v>
      </c>
      <c r="C193" s="5" t="n">
        <v>12</v>
      </c>
      <c r="D193" s="18">
        <f>SEASON_HRS_TOM*B193*(1+DIM_TOM)^B193+SEASON_HRS_CAR*C193*(1+DIM_CAR)^C193</f>
        <v>2027.543919928668</v>
      </c>
      <c r="E193" s="18">
        <f>(FARMER_FIELD_HRS+A193*TEMP_HRS)-D193</f>
        <v>-1307.543919928668</v>
      </c>
      <c r="F193" s="21">
        <f>IF(E193&lt;0,0,MIN(COUNTIF(Labor!$C$59:$C$88,"&lt;="&amp;E193),MAXBED_MES,TOTAL_BEDS-B193-C193))</f>
        <v>0</v>
      </c>
      <c r="G193" s="21">
        <f>B193+C193+F193</f>
        <v>20</v>
      </c>
      <c r="H193" s="22">
        <f>IF(E193&lt;0,-999999999,B193*(PRICE_TOM-FERT_TOM)+C193*(PRICE_CAR-FERT_CAR)+F193*(PRICE_MES-FERT_MES)-(FARMER_SALARY+A193*TEMP_COST)-FIXED_COSTS)</f>
        <v>-999999999</v>
      </c>
    </row>
    <row r="194">
      <c r="A194" s="5" t="n">
        <v>0</v>
      </c>
      <c r="B194" s="5" t="n">
        <v>8</v>
      </c>
      <c r="C194" s="5" t="n">
        <v>13</v>
      </c>
      <c r="D194" s="18">
        <f>SEASON_HRS_TOM*B194*(1+DIM_TOM)^B194+SEASON_HRS_CAR*C194*(1+DIM_CAR)^C194</f>
        <v>2081.003250692458</v>
      </c>
      <c r="E194" s="18">
        <f>(FARMER_FIELD_HRS+A194*TEMP_HRS)-D194</f>
        <v>-1361.003250692458</v>
      </c>
      <c r="F194" s="21">
        <f>IF(E194&lt;0,0,MIN(COUNTIF(Labor!$C$59:$C$88,"&lt;="&amp;E194),MAXBED_MES,TOTAL_BEDS-B194-C194))</f>
        <v>0</v>
      </c>
      <c r="G194" s="21">
        <f>B194+C194+F194</f>
        <v>21</v>
      </c>
      <c r="H194" s="22">
        <f>IF(E194&lt;0,-999999999,B194*(PRICE_TOM-FERT_TOM)+C194*(PRICE_CAR-FERT_CAR)+F194*(PRICE_MES-FERT_MES)-(FARMER_SALARY+A194*TEMP_COST)-FIXED_COSTS)</f>
        <v>-999999999</v>
      </c>
    </row>
    <row r="195">
      <c r="A195" s="5" t="n">
        <v>0</v>
      </c>
      <c r="B195" s="5" t="n">
        <v>8</v>
      </c>
      <c r="C195" s="5" t="n">
        <v>14</v>
      </c>
      <c r="D195" s="18">
        <f>SEASON_HRS_TOM*B195*(1+DIM_TOM)^B195+SEASON_HRS_CAR*C195*(1+DIM_CAR)^C195</f>
        <v>2136.832948008983</v>
      </c>
      <c r="E195" s="18">
        <f>(FARMER_FIELD_HRS+A195*TEMP_HRS)-D195</f>
        <v>-1416.8329480089828</v>
      </c>
      <c r="F195" s="21">
        <f>IF(E195&lt;0,0,MIN(COUNTIF(Labor!$C$59:$C$88,"&lt;="&amp;E195),MAXBED_MES,TOTAL_BEDS-B195-C195))</f>
        <v>0</v>
      </c>
      <c r="G195" s="21">
        <f>B195+C195+F195</f>
        <v>22</v>
      </c>
      <c r="H195" s="22">
        <f>IF(E195&lt;0,-999999999,B195*(PRICE_TOM-FERT_TOM)+C195*(PRICE_CAR-FERT_CAR)+F195*(PRICE_MES-FERT_MES)-(FARMER_SALARY+A195*TEMP_COST)-FIXED_COSTS)</f>
        <v>-999999999</v>
      </c>
    </row>
    <row r="196">
      <c r="A196" s="5" t="n">
        <v>0</v>
      </c>
      <c r="B196" s="5" t="n">
        <v>8</v>
      </c>
      <c r="C196" s="5" t="n">
        <v>15</v>
      </c>
      <c r="D196" s="18">
        <f>SEASON_HRS_TOM*B196*(1+DIM_TOM)^B196+SEASON_HRS_CAR*C196*(1+DIM_CAR)^C196</f>
        <v>2195.1181181241504</v>
      </c>
      <c r="E196" s="18">
        <f>(FARMER_FIELD_HRS+A196*TEMP_HRS)-D196</f>
        <v>-1475.1181181241504</v>
      </c>
      <c r="F196" s="21">
        <f>IF(E196&lt;0,0,MIN(COUNTIF(Labor!$C$59:$C$88,"&lt;="&amp;E196),MAXBED_MES,TOTAL_BEDS-B196-C196))</f>
        <v>0</v>
      </c>
      <c r="G196" s="21">
        <f>B196+C196+F196</f>
        <v>23</v>
      </c>
      <c r="H196" s="22">
        <f>IF(E196&lt;0,-999999999,B196*(PRICE_TOM-FERT_TOM)+C196*(PRICE_CAR-FERT_CAR)+F196*(PRICE_MES-FERT_MES)-(FARMER_SALARY+A196*TEMP_COST)-FIXED_COSTS)</f>
        <v>-999999999</v>
      </c>
    </row>
    <row r="197">
      <c r="A197" s="5" t="n">
        <v>0</v>
      </c>
      <c r="B197" s="5" t="n">
        <v>8</v>
      </c>
      <c r="C197" s="5" t="n">
        <v>16</v>
      </c>
      <c r="D197" s="18">
        <f>SEASON_HRS_TOM*B197*(1+DIM_TOM)^B197+SEASON_HRS_CAR*C197*(1+DIM_CAR)^C197</f>
        <v>2255.946641117071</v>
      </c>
      <c r="E197" s="18">
        <f>(FARMER_FIELD_HRS+A197*TEMP_HRS)-D197</f>
        <v>-1535.946641117071</v>
      </c>
      <c r="F197" s="21">
        <f>IF(E197&lt;0,0,MIN(COUNTIF(Labor!$C$59:$C$88,"&lt;="&amp;E197),MAXBED_MES,TOTAL_BEDS-B197-C197))</f>
        <v>0</v>
      </c>
      <c r="G197" s="21">
        <f>B197+C197+F197</f>
        <v>24</v>
      </c>
      <c r="H197" s="22">
        <f>IF(E197&lt;0,-999999999,B197*(PRICE_TOM-FERT_TOM)+C197*(PRICE_CAR-FERT_CAR)+F197*(PRICE_MES-FERT_MES)-(FARMER_SALARY+A197*TEMP_COST)-FIXED_COSTS)</f>
        <v>-999999999</v>
      </c>
    </row>
    <row r="198">
      <c r="A198" s="5" t="n">
        <v>0</v>
      </c>
      <c r="B198" s="5" t="n">
        <v>8</v>
      </c>
      <c r="C198" s="5" t="n">
        <v>17</v>
      </c>
      <c r="D198" s="18">
        <f>SEASON_HRS_TOM*B198*(1+DIM_TOM)^B198+SEASON_HRS_CAR*C198*(1+DIM_CAR)^C198</f>
        <v>2319.40925640031</v>
      </c>
      <c r="E198" s="18">
        <f>(FARMER_FIELD_HRS+A198*TEMP_HRS)-D198</f>
        <v>-1599.40925640031</v>
      </c>
      <c r="F198" s="21">
        <f>IF(E198&lt;0,0,MIN(COUNTIF(Labor!$C$59:$C$88,"&lt;="&amp;E198),MAXBED_MES,TOTAL_BEDS-B198-C198))</f>
        <v>0</v>
      </c>
      <c r="G198" s="21">
        <f>B198+C198+F198</f>
        <v>25</v>
      </c>
      <c r="H198" s="22">
        <f>IF(E198&lt;0,-999999999,B198*(PRICE_TOM-FERT_TOM)+C198*(PRICE_CAR-FERT_CAR)+F198*(PRICE_MES-FERT_MES)-(FARMER_SALARY+A198*TEMP_COST)-FIXED_COSTS)</f>
        <v>-999999999</v>
      </c>
    </row>
    <row r="199">
      <c r="A199" s="5" t="n">
        <v>0</v>
      </c>
      <c r="B199" s="5" t="n">
        <v>8</v>
      </c>
      <c r="C199" s="5" t="n">
        <v>18</v>
      </c>
      <c r="D199" s="18">
        <f>SEASON_HRS_TOM*B199*(1+DIM_TOM)^B199+SEASON_HRS_CAR*C199*(1+DIM_CAR)^C199</f>
        <v>2385.5996507615127</v>
      </c>
      <c r="E199" s="18">
        <f>(FARMER_FIELD_HRS+A199*TEMP_HRS)-D199</f>
        <v>-1665.5996507615127</v>
      </c>
      <c r="F199" s="21">
        <f>IF(E199&lt;0,0,MIN(COUNTIF(Labor!$C$59:$C$88,"&lt;="&amp;E199),MAXBED_MES,TOTAL_BEDS-B199-C199))</f>
        <v>0</v>
      </c>
      <c r="G199" s="21">
        <f>B199+C199+F199</f>
        <v>26</v>
      </c>
      <c r="H199" s="22">
        <f>IF(E199&lt;0,-999999999,B199*(PRICE_TOM-FERT_TOM)+C199*(PRICE_CAR-FERT_CAR)+F199*(PRICE_MES-FERT_MES)-(FARMER_SALARY+A199*TEMP_COST)-FIXED_COSTS)</f>
        <v>-999999999</v>
      </c>
    </row>
    <row r="200">
      <c r="A200" s="5" t="n">
        <v>0</v>
      </c>
      <c r="B200" s="5" t="n">
        <v>8</v>
      </c>
      <c r="C200" s="5" t="n">
        <v>19</v>
      </c>
      <c r="D200" s="18">
        <f>SEASON_HRS_TOM*B200*(1+DIM_TOM)^B200+SEASON_HRS_CAR*C200*(1+DIM_CAR)^C200</f>
        <v>2454.614549020025</v>
      </c>
      <c r="E200" s="18">
        <f>(FARMER_FIELD_HRS+A200*TEMP_HRS)-D200</f>
        <v>-1734.6145490200252</v>
      </c>
      <c r="F200" s="21">
        <f>IF(E200&lt;0,0,MIN(COUNTIF(Labor!$C$59:$C$88,"&lt;="&amp;E200),MAXBED_MES,TOTAL_BEDS-B200-C200))</f>
        <v>0</v>
      </c>
      <c r="G200" s="21">
        <f>B200+C200+F200</f>
        <v>27</v>
      </c>
      <c r="H200" s="22">
        <f>IF(E200&lt;0,-999999999,B200*(PRICE_TOM-FERT_TOM)+C200*(PRICE_CAR-FERT_CAR)+F200*(PRICE_MES-FERT_MES)-(FARMER_SALARY+A200*TEMP_COST)-FIXED_COSTS)</f>
        <v>-999999999</v>
      </c>
    </row>
    <row r="201">
      <c r="A201" s="5" t="n">
        <v>0</v>
      </c>
      <c r="B201" s="5" t="n">
        <v>8</v>
      </c>
      <c r="C201" s="5" t="n">
        <v>20</v>
      </c>
      <c r="D201" s="18">
        <f>SEASON_HRS_TOM*B201*(1+DIM_TOM)^B201+SEASON_HRS_CAR*C201*(1+DIM_CAR)^C201</f>
        <v>2526.5538073742377</v>
      </c>
      <c r="E201" s="18">
        <f>(FARMER_FIELD_HRS+A201*TEMP_HRS)-D201</f>
        <v>-1806.5538073742377</v>
      </c>
      <c r="F201" s="21">
        <f>IF(E201&lt;0,0,MIN(COUNTIF(Labor!$C$59:$C$88,"&lt;="&amp;E201),MAXBED_MES,TOTAL_BEDS-B201-C201))</f>
        <v>0</v>
      </c>
      <c r="G201" s="21">
        <f>B201+C201+F201</f>
        <v>28</v>
      </c>
      <c r="H201" s="22">
        <f>IF(E201&lt;0,-999999999,B201*(PRICE_TOM-FERT_TOM)+C201*(PRICE_CAR-FERT_CAR)+F201*(PRICE_MES-FERT_MES)-(FARMER_SALARY+A201*TEMP_COST)-FIXED_COSTS)</f>
        <v>-999999999</v>
      </c>
    </row>
    <row r="202">
      <c r="A202" s="5" t="n">
        <v>0</v>
      </c>
      <c r="B202" s="5" t="n">
        <v>9</v>
      </c>
      <c r="C202" s="5" t="n">
        <v>0</v>
      </c>
      <c r="D202" s="18">
        <f>SEASON_HRS_TOM*B202*(1+DIM_TOM)^B202+SEASON_HRS_CAR*C202*(1+DIM_CAR)^C202</f>
        <v>1909.9376297100016</v>
      </c>
      <c r="E202" s="18">
        <f>(FARMER_FIELD_HRS+A202*TEMP_HRS)-D202</f>
        <v>-1189.9376297100016</v>
      </c>
      <c r="F202" s="21">
        <f>IF(E202&lt;0,0,MIN(COUNTIF(Labor!$C$59:$C$88,"&lt;="&amp;E202),MAXBED_MES,TOTAL_BEDS-B202-C202))</f>
        <v>0</v>
      </c>
      <c r="G202" s="21">
        <f>B202+C202+F202</f>
        <v>9</v>
      </c>
      <c r="H202" s="22">
        <f>IF(E202&lt;0,-999999999,B202*(PRICE_TOM-FERT_TOM)+C202*(PRICE_CAR-FERT_CAR)+F202*(PRICE_MES-FERT_MES)-(FARMER_SALARY+A202*TEMP_COST)-FIXED_COSTS)</f>
        <v>-999999999</v>
      </c>
    </row>
    <row r="203">
      <c r="A203" s="5" t="n">
        <v>0</v>
      </c>
      <c r="B203" s="5" t="n">
        <v>9</v>
      </c>
      <c r="C203" s="5" t="n">
        <v>1</v>
      </c>
      <c r="D203" s="18">
        <f>SEASON_HRS_TOM*B203*(1+DIM_TOM)^B203+SEASON_HRS_CAR*C203*(1+DIM_CAR)^C203</f>
        <v>1940.6876297100016</v>
      </c>
      <c r="E203" s="18">
        <f>(FARMER_FIELD_HRS+A203*TEMP_HRS)-D203</f>
        <v>-1220.6876297100016</v>
      </c>
      <c r="F203" s="21">
        <f>IF(E203&lt;0,0,MIN(COUNTIF(Labor!$C$59:$C$88,"&lt;="&amp;E203),MAXBED_MES,TOTAL_BEDS-B203-C203))</f>
        <v>0</v>
      </c>
      <c r="G203" s="21">
        <f>B203+C203+F203</f>
        <v>10</v>
      </c>
      <c r="H203" s="22">
        <f>IF(E203&lt;0,-999999999,B203*(PRICE_TOM-FERT_TOM)+C203*(PRICE_CAR-FERT_CAR)+F203*(PRICE_MES-FERT_MES)-(FARMER_SALARY+A203*TEMP_COST)-FIXED_COSTS)</f>
        <v>-999999999</v>
      </c>
    </row>
    <row r="204">
      <c r="A204" s="5" t="n">
        <v>0</v>
      </c>
      <c r="B204" s="5" t="n">
        <v>9</v>
      </c>
      <c r="C204" s="5" t="n">
        <v>2</v>
      </c>
      <c r="D204" s="18">
        <f>SEASON_HRS_TOM*B204*(1+DIM_TOM)^B204+SEASON_HRS_CAR*C204*(1+DIM_CAR)^C204</f>
        <v>1972.9751297100015</v>
      </c>
      <c r="E204" s="18">
        <f>(FARMER_FIELD_HRS+A204*TEMP_HRS)-D204</f>
        <v>-1252.9751297100015</v>
      </c>
      <c r="F204" s="21">
        <f>IF(E204&lt;0,0,MIN(COUNTIF(Labor!$C$59:$C$88,"&lt;="&amp;E204),MAXBED_MES,TOTAL_BEDS-B204-C204))</f>
        <v>0</v>
      </c>
      <c r="G204" s="21">
        <f>B204+C204+F204</f>
        <v>11</v>
      </c>
      <c r="H204" s="22">
        <f>IF(E204&lt;0,-999999999,B204*(PRICE_TOM-FERT_TOM)+C204*(PRICE_CAR-FERT_CAR)+F204*(PRICE_MES-FERT_MES)-(FARMER_SALARY+A204*TEMP_COST)-FIXED_COSTS)</f>
        <v>-999999999</v>
      </c>
    </row>
    <row r="205">
      <c r="A205" s="5" t="n">
        <v>0</v>
      </c>
      <c r="B205" s="5" t="n">
        <v>9</v>
      </c>
      <c r="C205" s="5" t="n">
        <v>3</v>
      </c>
      <c r="D205" s="18">
        <f>SEASON_HRS_TOM*B205*(1+DIM_TOM)^B205+SEASON_HRS_CAR*C205*(1+DIM_CAR)^C205</f>
        <v>2006.8577859600016</v>
      </c>
      <c r="E205" s="18">
        <f>(FARMER_FIELD_HRS+A205*TEMP_HRS)-D205</f>
        <v>-1286.8577859600016</v>
      </c>
      <c r="F205" s="21">
        <f>IF(E205&lt;0,0,MIN(COUNTIF(Labor!$C$59:$C$88,"&lt;="&amp;E205),MAXBED_MES,TOTAL_BEDS-B205-C205))</f>
        <v>0</v>
      </c>
      <c r="G205" s="21">
        <f>B205+C205+F205</f>
        <v>12</v>
      </c>
      <c r="H205" s="22">
        <f>IF(E205&lt;0,-999999999,B205*(PRICE_TOM-FERT_TOM)+C205*(PRICE_CAR-FERT_CAR)+F205*(PRICE_MES-FERT_MES)-(FARMER_SALARY+A205*TEMP_COST)-FIXED_COSTS)</f>
        <v>-999999999</v>
      </c>
    </row>
    <row r="206">
      <c r="A206" s="5" t="n">
        <v>0</v>
      </c>
      <c r="B206" s="5" t="n">
        <v>9</v>
      </c>
      <c r="C206" s="5" t="n">
        <v>4</v>
      </c>
      <c r="D206" s="18">
        <f>SEASON_HRS_TOM*B206*(1+DIM_TOM)^B206+SEASON_HRS_CAR*C206*(1+DIM_CAR)^C206</f>
        <v>2042.3951765850015</v>
      </c>
      <c r="E206" s="18">
        <f>(FARMER_FIELD_HRS+A206*TEMP_HRS)-D206</f>
        <v>-1322.3951765850015</v>
      </c>
      <c r="F206" s="21">
        <f>IF(E206&lt;0,0,MIN(COUNTIF(Labor!$C$59:$C$88,"&lt;="&amp;E206),MAXBED_MES,TOTAL_BEDS-B206-C206))</f>
        <v>0</v>
      </c>
      <c r="G206" s="21">
        <f>B206+C206+F206</f>
        <v>13</v>
      </c>
      <c r="H206" s="22">
        <f>IF(E206&lt;0,-999999999,B206*(PRICE_TOM-FERT_TOM)+C206*(PRICE_CAR-FERT_CAR)+F206*(PRICE_MES-FERT_MES)-(FARMER_SALARY+A206*TEMP_COST)-FIXED_COSTS)</f>
        <v>-999999999</v>
      </c>
    </row>
    <row r="207">
      <c r="A207" s="5" t="n">
        <v>0</v>
      </c>
      <c r="B207" s="5" t="n">
        <v>9</v>
      </c>
      <c r="C207" s="5" t="n">
        <v>5</v>
      </c>
      <c r="D207" s="18">
        <f>SEASON_HRS_TOM*B207*(1+DIM_TOM)^B207+SEASON_HRS_CAR*C207*(1+DIM_CAR)^C207</f>
        <v>2079.6488616435954</v>
      </c>
      <c r="E207" s="18">
        <f>(FARMER_FIELD_HRS+A207*TEMP_HRS)-D207</f>
        <v>-1359.6488616435954</v>
      </c>
      <c r="F207" s="21">
        <f>IF(E207&lt;0,0,MIN(COUNTIF(Labor!$C$59:$C$88,"&lt;="&amp;E207),MAXBED_MES,TOTAL_BEDS-B207-C207))</f>
        <v>0</v>
      </c>
      <c r="G207" s="21">
        <f>B207+C207+F207</f>
        <v>14</v>
      </c>
      <c r="H207" s="22">
        <f>IF(E207&lt;0,-999999999,B207*(PRICE_TOM-FERT_TOM)+C207*(PRICE_CAR-FERT_CAR)+F207*(PRICE_MES-FERT_MES)-(FARMER_SALARY+A207*TEMP_COST)-FIXED_COSTS)</f>
        <v>-999999999</v>
      </c>
    </row>
    <row r="208">
      <c r="A208" s="5" t="n">
        <v>0</v>
      </c>
      <c r="B208" s="5" t="n">
        <v>9</v>
      </c>
      <c r="C208" s="5" t="n">
        <v>6</v>
      </c>
      <c r="D208" s="18">
        <f>SEASON_HRS_TOM*B208*(1+DIM_TOM)^B208+SEASON_HRS_CAR*C208*(1+DIM_CAR)^C208</f>
        <v>2118.682444988322</v>
      </c>
      <c r="E208" s="18">
        <f>(FARMER_FIELD_HRS+A208*TEMP_HRS)-D208</f>
        <v>-1398.682444988322</v>
      </c>
      <c r="F208" s="21">
        <f>IF(E208&lt;0,0,MIN(COUNTIF(Labor!$C$59:$C$88,"&lt;="&amp;E208),MAXBED_MES,TOTAL_BEDS-B208-C208))</f>
        <v>0</v>
      </c>
      <c r="G208" s="21">
        <f>B208+C208+F208</f>
        <v>15</v>
      </c>
      <c r="H208" s="22">
        <f>IF(E208&lt;0,-999999999,B208*(PRICE_TOM-FERT_TOM)+C208*(PRICE_CAR-FERT_CAR)+F208*(PRICE_MES-FERT_MES)-(FARMER_SALARY+A208*TEMP_COST)-FIXED_COSTS)</f>
        <v>-999999999</v>
      </c>
    </row>
    <row r="209">
      <c r="A209" s="5" t="n">
        <v>0</v>
      </c>
      <c r="B209" s="5" t="n">
        <v>9</v>
      </c>
      <c r="C209" s="5" t="n">
        <v>7</v>
      </c>
      <c r="D209" s="18">
        <f>SEASON_HRS_TOM*B209*(1+DIM_TOM)^B209+SEASON_HRS_CAR*C209*(1+DIM_CAR)^C209</f>
        <v>2159.561637980326</v>
      </c>
      <c r="E209" s="18">
        <f>(FARMER_FIELD_HRS+A209*TEMP_HRS)-D209</f>
        <v>-1439.561637980326</v>
      </c>
      <c r="F209" s="21">
        <f>IF(E209&lt;0,0,MIN(COUNTIF(Labor!$C$59:$C$88,"&lt;="&amp;E209),MAXBED_MES,TOTAL_BEDS-B209-C209))</f>
        <v>0</v>
      </c>
      <c r="G209" s="21">
        <f>B209+C209+F209</f>
        <v>16</v>
      </c>
      <c r="H209" s="22">
        <f>IF(E209&lt;0,-999999999,B209*(PRICE_TOM-FERT_TOM)+C209*(PRICE_CAR-FERT_CAR)+F209*(PRICE_MES-FERT_MES)-(FARMER_SALARY+A209*TEMP_COST)-FIXED_COSTS)</f>
        <v>-999999999</v>
      </c>
    </row>
    <row r="210">
      <c r="A210" s="5" t="n">
        <v>0</v>
      </c>
      <c r="B210" s="5" t="n">
        <v>9</v>
      </c>
      <c r="C210" s="5" t="n">
        <v>8</v>
      </c>
      <c r="D210" s="18">
        <f>SEASON_HRS_TOM*B210*(1+DIM_TOM)^B210+SEASON_HRS_CAR*C210*(1+DIM_CAR)^C210</f>
        <v>2202.354325112382</v>
      </c>
      <c r="E210" s="18">
        <f>(FARMER_FIELD_HRS+A210*TEMP_HRS)-D210</f>
        <v>-1482.354325112382</v>
      </c>
      <c r="F210" s="21">
        <f>IF(E210&lt;0,0,MIN(COUNTIF(Labor!$C$59:$C$88,"&lt;="&amp;E210),MAXBED_MES,TOTAL_BEDS-B210-C210))</f>
        <v>0</v>
      </c>
      <c r="G210" s="21">
        <f>B210+C210+F210</f>
        <v>17</v>
      </c>
      <c r="H210" s="22">
        <f>IF(E210&lt;0,-999999999,B210*(PRICE_TOM-FERT_TOM)+C210*(PRICE_CAR-FERT_CAR)+F210*(PRICE_MES-FERT_MES)-(FARMER_SALARY+A210*TEMP_COST)-FIXED_COSTS)</f>
        <v>-999999999</v>
      </c>
    </row>
    <row r="211">
      <c r="A211" s="5" t="n">
        <v>0</v>
      </c>
      <c r="B211" s="5" t="n">
        <v>9</v>
      </c>
      <c r="C211" s="5" t="n">
        <v>9</v>
      </c>
      <c r="D211" s="18">
        <f>SEASON_HRS_TOM*B211*(1+DIM_TOM)^B211+SEASON_HRS_CAR*C211*(1+DIM_CAR)^C211</f>
        <v>2247.1306315958714</v>
      </c>
      <c r="E211" s="18">
        <f>(FARMER_FIELD_HRS+A211*TEMP_HRS)-D211</f>
        <v>-1527.1306315958714</v>
      </c>
      <c r="F211" s="21">
        <f>IF(E211&lt;0,0,MIN(COUNTIF(Labor!$C$59:$C$88,"&lt;="&amp;E211),MAXBED_MES,TOTAL_BEDS-B211-C211))</f>
        <v>0</v>
      </c>
      <c r="G211" s="21">
        <f>B211+C211+F211</f>
        <v>18</v>
      </c>
      <c r="H211" s="22">
        <f>IF(E211&lt;0,-999999999,B211*(PRICE_TOM-FERT_TOM)+C211*(PRICE_CAR-FERT_CAR)+F211*(PRICE_MES-FERT_MES)-(FARMER_SALARY+A211*TEMP_COST)-FIXED_COSTS)</f>
        <v>-999999999</v>
      </c>
    </row>
    <row r="212">
      <c r="A212" s="5" t="n">
        <v>0</v>
      </c>
      <c r="B212" s="5" t="n">
        <v>9</v>
      </c>
      <c r="C212" s="5" t="n">
        <v>10</v>
      </c>
      <c r="D212" s="18">
        <f>SEASON_HRS_TOM*B212*(1+DIM_TOM)^B212+SEASON_HRS_CAR*C212*(1+DIM_CAR)^C212</f>
        <v>2293.9629929689086</v>
      </c>
      <c r="E212" s="18">
        <f>(FARMER_FIELD_HRS+A212*TEMP_HRS)-D212</f>
        <v>-1573.9629929689086</v>
      </c>
      <c r="F212" s="21">
        <f>IF(E212&lt;0,0,MIN(COUNTIF(Labor!$C$59:$C$88,"&lt;="&amp;E212),MAXBED_MES,TOTAL_BEDS-B212-C212))</f>
        <v>0</v>
      </c>
      <c r="G212" s="21">
        <f>B212+C212+F212</f>
        <v>19</v>
      </c>
      <c r="H212" s="22">
        <f>IF(E212&lt;0,-999999999,B212*(PRICE_TOM-FERT_TOM)+C212*(PRICE_CAR-FERT_CAR)+F212*(PRICE_MES-FERT_MES)-(FARMER_SALARY+A212*TEMP_COST)-FIXED_COSTS)</f>
        <v>-999999999</v>
      </c>
    </row>
    <row r="213">
      <c r="A213" s="5" t="n">
        <v>0</v>
      </c>
      <c r="B213" s="5" t="n">
        <v>9</v>
      </c>
      <c r="C213" s="5" t="n">
        <v>11</v>
      </c>
      <c r="D213" s="18">
        <f>SEASON_HRS_TOM*B213*(1+DIM_TOM)^B213+SEASON_HRS_CAR*C213*(1+DIM_CAR)^C213</f>
        <v>2342.926226784419</v>
      </c>
      <c r="E213" s="18">
        <f>(FARMER_FIELD_HRS+A213*TEMP_HRS)-D213</f>
        <v>-1622.9262267844192</v>
      </c>
      <c r="F213" s="21">
        <f>IF(E213&lt;0,0,MIN(COUNTIF(Labor!$C$59:$C$88,"&lt;="&amp;E213),MAXBED_MES,TOTAL_BEDS-B213-C213))</f>
        <v>0</v>
      </c>
      <c r="G213" s="21">
        <f>B213+C213+F213</f>
        <v>20</v>
      </c>
      <c r="H213" s="22">
        <f>IF(E213&lt;0,-999999999,B213*(PRICE_TOM-FERT_TOM)+C213*(PRICE_CAR-FERT_CAR)+F213*(PRICE_MES-FERT_MES)-(FARMER_SALARY+A213*TEMP_COST)-FIXED_COSTS)</f>
        <v>-999999999</v>
      </c>
    </row>
    <row r="214">
      <c r="A214" s="5" t="n">
        <v>0</v>
      </c>
      <c r="B214" s="5" t="n">
        <v>9</v>
      </c>
      <c r="C214" s="5" t="n">
        <v>12</v>
      </c>
      <c r="D214" s="18">
        <f>SEASON_HRS_TOM*B214*(1+DIM_TOM)^B214+SEASON_HRS_CAR*C214*(1+DIM_CAR)^C214</f>
        <v>2394.0976064386687</v>
      </c>
      <c r="E214" s="18">
        <f>(FARMER_FIELD_HRS+A214*TEMP_HRS)-D214</f>
        <v>-1674.0976064386687</v>
      </c>
      <c r="F214" s="21">
        <f>IF(E214&lt;0,0,MIN(COUNTIF(Labor!$C$59:$C$88,"&lt;="&amp;E214),MAXBED_MES,TOTAL_BEDS-B214-C214))</f>
        <v>0</v>
      </c>
      <c r="G214" s="21">
        <f>B214+C214+F214</f>
        <v>21</v>
      </c>
      <c r="H214" s="22">
        <f>IF(E214&lt;0,-999999999,B214*(PRICE_TOM-FERT_TOM)+C214*(PRICE_CAR-FERT_CAR)+F214*(PRICE_MES-FERT_MES)-(FARMER_SALARY+A214*TEMP_COST)-FIXED_COSTS)</f>
        <v>-999999999</v>
      </c>
    </row>
    <row r="215">
      <c r="A215" s="5" t="n">
        <v>0</v>
      </c>
      <c r="B215" s="5" t="n">
        <v>9</v>
      </c>
      <c r="C215" s="5" t="n">
        <v>13</v>
      </c>
      <c r="D215" s="18">
        <f>SEASON_HRS_TOM*B215*(1+DIM_TOM)^B215+SEASON_HRS_CAR*C215*(1+DIM_CAR)^C215</f>
        <v>2447.556937202459</v>
      </c>
      <c r="E215" s="18">
        <f>(FARMER_FIELD_HRS+A215*TEMP_HRS)-D215</f>
        <v>-1727.5569372024588</v>
      </c>
      <c r="F215" s="21">
        <f>IF(E215&lt;0,0,MIN(COUNTIF(Labor!$C$59:$C$88,"&lt;="&amp;E215),MAXBED_MES,TOTAL_BEDS-B215-C215))</f>
        <v>0</v>
      </c>
      <c r="G215" s="21">
        <f>B215+C215+F215</f>
        <v>22</v>
      </c>
      <c r="H215" s="22">
        <f>IF(E215&lt;0,-999999999,B215*(PRICE_TOM-FERT_TOM)+C215*(PRICE_CAR-FERT_CAR)+F215*(PRICE_MES-FERT_MES)-(FARMER_SALARY+A215*TEMP_COST)-FIXED_COSTS)</f>
        <v>-999999999</v>
      </c>
    </row>
    <row r="216">
      <c r="A216" s="5" t="n">
        <v>0</v>
      </c>
      <c r="B216" s="5" t="n">
        <v>9</v>
      </c>
      <c r="C216" s="5" t="n">
        <v>14</v>
      </c>
      <c r="D216" s="18">
        <f>SEASON_HRS_TOM*B216*(1+DIM_TOM)^B216+SEASON_HRS_CAR*C216*(1+DIM_CAR)^C216</f>
        <v>2503.386634518983</v>
      </c>
      <c r="E216" s="18">
        <f>(FARMER_FIELD_HRS+A216*TEMP_HRS)-D216</f>
        <v>-1783.386634518983</v>
      </c>
      <c r="F216" s="21">
        <f>IF(E216&lt;0,0,MIN(COUNTIF(Labor!$C$59:$C$88,"&lt;="&amp;E216),MAXBED_MES,TOTAL_BEDS-B216-C216))</f>
        <v>0</v>
      </c>
      <c r="G216" s="21">
        <f>B216+C216+F216</f>
        <v>23</v>
      </c>
      <c r="H216" s="22">
        <f>IF(E216&lt;0,-999999999,B216*(PRICE_TOM-FERT_TOM)+C216*(PRICE_CAR-FERT_CAR)+F216*(PRICE_MES-FERT_MES)-(FARMER_SALARY+A216*TEMP_COST)-FIXED_COSTS)</f>
        <v>-999999999</v>
      </c>
    </row>
    <row r="217">
      <c r="A217" s="5" t="n">
        <v>0</v>
      </c>
      <c r="B217" s="5" t="n">
        <v>9</v>
      </c>
      <c r="C217" s="5" t="n">
        <v>15</v>
      </c>
      <c r="D217" s="18">
        <f>SEASON_HRS_TOM*B217*(1+DIM_TOM)^B217+SEASON_HRS_CAR*C217*(1+DIM_CAR)^C217</f>
        <v>2561.671804634151</v>
      </c>
      <c r="E217" s="18">
        <f>(FARMER_FIELD_HRS+A217*TEMP_HRS)-D217</f>
        <v>-1841.6718046341512</v>
      </c>
      <c r="F217" s="21">
        <f>IF(E217&lt;0,0,MIN(COUNTIF(Labor!$C$59:$C$88,"&lt;="&amp;E217),MAXBED_MES,TOTAL_BEDS-B217-C217))</f>
        <v>0</v>
      </c>
      <c r="G217" s="21">
        <f>B217+C217+F217</f>
        <v>24</v>
      </c>
      <c r="H217" s="22">
        <f>IF(E217&lt;0,-999999999,B217*(PRICE_TOM-FERT_TOM)+C217*(PRICE_CAR-FERT_CAR)+F217*(PRICE_MES-FERT_MES)-(FARMER_SALARY+A217*TEMP_COST)-FIXED_COSTS)</f>
        <v>-999999999</v>
      </c>
    </row>
    <row r="218">
      <c r="A218" s="5" t="n">
        <v>0</v>
      </c>
      <c r="B218" s="5" t="n">
        <v>9</v>
      </c>
      <c r="C218" s="5" t="n">
        <v>16</v>
      </c>
      <c r="D218" s="18">
        <f>SEASON_HRS_TOM*B218*(1+DIM_TOM)^B218+SEASON_HRS_CAR*C218*(1+DIM_CAR)^C218</f>
        <v>2622.5003276270713</v>
      </c>
      <c r="E218" s="18">
        <f>(FARMER_FIELD_HRS+A218*TEMP_HRS)-D218</f>
        <v>-1902.5003276270713</v>
      </c>
      <c r="F218" s="21">
        <f>IF(E218&lt;0,0,MIN(COUNTIF(Labor!$C$59:$C$88,"&lt;="&amp;E218),MAXBED_MES,TOTAL_BEDS-B218-C218))</f>
        <v>0</v>
      </c>
      <c r="G218" s="21">
        <f>B218+C218+F218</f>
        <v>25</v>
      </c>
      <c r="H218" s="22">
        <f>IF(E218&lt;0,-999999999,B218*(PRICE_TOM-FERT_TOM)+C218*(PRICE_CAR-FERT_CAR)+F218*(PRICE_MES-FERT_MES)-(FARMER_SALARY+A218*TEMP_COST)-FIXED_COSTS)</f>
        <v>-999999999</v>
      </c>
    </row>
    <row r="219">
      <c r="A219" s="5" t="n">
        <v>0</v>
      </c>
      <c r="B219" s="5" t="n">
        <v>9</v>
      </c>
      <c r="C219" s="5" t="n">
        <v>17</v>
      </c>
      <c r="D219" s="18">
        <f>SEASON_HRS_TOM*B219*(1+DIM_TOM)^B219+SEASON_HRS_CAR*C219*(1+DIM_CAR)^C219</f>
        <v>2685.9629429103106</v>
      </c>
      <c r="E219" s="18">
        <f>(FARMER_FIELD_HRS+A219*TEMP_HRS)-D219</f>
        <v>-1965.9629429103106</v>
      </c>
      <c r="F219" s="21">
        <f>IF(E219&lt;0,0,MIN(COUNTIF(Labor!$C$59:$C$88,"&lt;="&amp;E219),MAXBED_MES,TOTAL_BEDS-B219-C219))</f>
        <v>0</v>
      </c>
      <c r="G219" s="21">
        <f>B219+C219+F219</f>
        <v>26</v>
      </c>
      <c r="H219" s="22">
        <f>IF(E219&lt;0,-999999999,B219*(PRICE_TOM-FERT_TOM)+C219*(PRICE_CAR-FERT_CAR)+F219*(PRICE_MES-FERT_MES)-(FARMER_SALARY+A219*TEMP_COST)-FIXED_COSTS)</f>
        <v>-999999999</v>
      </c>
    </row>
    <row r="220">
      <c r="A220" s="5" t="n">
        <v>0</v>
      </c>
      <c r="B220" s="5" t="n">
        <v>9</v>
      </c>
      <c r="C220" s="5" t="n">
        <v>18</v>
      </c>
      <c r="D220" s="18">
        <f>SEASON_HRS_TOM*B220*(1+DIM_TOM)^B220+SEASON_HRS_CAR*C220*(1+DIM_CAR)^C220</f>
        <v>2752.153337271513</v>
      </c>
      <c r="E220" s="18">
        <f>(FARMER_FIELD_HRS+A220*TEMP_HRS)-D220</f>
        <v>-2032.153337271513</v>
      </c>
      <c r="F220" s="21">
        <f>IF(E220&lt;0,0,MIN(COUNTIF(Labor!$C$59:$C$88,"&lt;="&amp;E220),MAXBED_MES,TOTAL_BEDS-B220-C220))</f>
        <v>0</v>
      </c>
      <c r="G220" s="21">
        <f>B220+C220+F220</f>
        <v>27</v>
      </c>
      <c r="H220" s="22">
        <f>IF(E220&lt;0,-999999999,B220*(PRICE_TOM-FERT_TOM)+C220*(PRICE_CAR-FERT_CAR)+F220*(PRICE_MES-FERT_MES)-(FARMER_SALARY+A220*TEMP_COST)-FIXED_COSTS)</f>
        <v>-999999999</v>
      </c>
    </row>
    <row r="221">
      <c r="A221" s="5" t="n">
        <v>0</v>
      </c>
      <c r="B221" s="5" t="n">
        <v>9</v>
      </c>
      <c r="C221" s="5" t="n">
        <v>19</v>
      </c>
      <c r="D221" s="18">
        <f>SEASON_HRS_TOM*B221*(1+DIM_TOM)^B221+SEASON_HRS_CAR*C221*(1+DIM_CAR)^C221</f>
        <v>2821.168235530026</v>
      </c>
      <c r="E221" s="18">
        <f>(FARMER_FIELD_HRS+A221*TEMP_HRS)-D221</f>
        <v>-2101.168235530026</v>
      </c>
      <c r="F221" s="21">
        <f>IF(E221&lt;0,0,MIN(COUNTIF(Labor!$C$59:$C$88,"&lt;="&amp;E221),MAXBED_MES,TOTAL_BEDS-B221-C221))</f>
        <v>0</v>
      </c>
      <c r="G221" s="21">
        <f>B221+C221+F221</f>
        <v>28</v>
      </c>
      <c r="H221" s="22">
        <f>IF(E221&lt;0,-999999999,B221*(PRICE_TOM-FERT_TOM)+C221*(PRICE_CAR-FERT_CAR)+F221*(PRICE_MES-FERT_MES)-(FARMER_SALARY+A221*TEMP_COST)-FIXED_COSTS)</f>
        <v>-999999999</v>
      </c>
    </row>
    <row r="222">
      <c r="A222" s="5" t="n">
        <v>0</v>
      </c>
      <c r="B222" s="5" t="n">
        <v>9</v>
      </c>
      <c r="C222" s="5" t="n">
        <v>20</v>
      </c>
      <c r="D222" s="18">
        <f>SEASON_HRS_TOM*B222*(1+DIM_TOM)^B222+SEASON_HRS_CAR*C222*(1+DIM_CAR)^C222</f>
        <v>2893.107493884238</v>
      </c>
      <c r="E222" s="18">
        <f>(FARMER_FIELD_HRS+A222*TEMP_HRS)-D222</f>
        <v>-2173.107493884238</v>
      </c>
      <c r="F222" s="21">
        <f>IF(E222&lt;0,0,MIN(COUNTIF(Labor!$C$59:$C$88,"&lt;="&amp;E222),MAXBED_MES,TOTAL_BEDS-B222-C222))</f>
        <v>0</v>
      </c>
      <c r="G222" s="21">
        <f>B222+C222+F222</f>
        <v>29</v>
      </c>
      <c r="H222" s="22">
        <f>IF(E222&lt;0,-999999999,B222*(PRICE_TOM-FERT_TOM)+C222*(PRICE_CAR-FERT_CAR)+F222*(PRICE_MES-FERT_MES)-(FARMER_SALARY+A222*TEMP_COST)-FIXED_COSTS)</f>
        <v>-999999999</v>
      </c>
    </row>
    <row r="223">
      <c r="A223" s="5" t="n">
        <v>0</v>
      </c>
      <c r="B223" s="5" t="n">
        <v>10</v>
      </c>
      <c r="C223" s="5" t="n">
        <v>0</v>
      </c>
      <c r="D223" s="18">
        <f>SEASON_HRS_TOM*B223*(1+DIM_TOM)^B223+SEASON_HRS_CAR*C223*(1+DIM_CAR)^C223</f>
        <v>2334.368214090002</v>
      </c>
      <c r="E223" s="18">
        <f>(FARMER_FIELD_HRS+A223*TEMP_HRS)-D223</f>
        <v>-1614.3682140900019</v>
      </c>
      <c r="F223" s="21">
        <f>IF(E223&lt;0,0,MIN(COUNTIF(Labor!$C$59:$C$88,"&lt;="&amp;E223),MAXBED_MES,TOTAL_BEDS-B223-C223))</f>
        <v>0</v>
      </c>
      <c r="G223" s="21">
        <f>B223+C223+F223</f>
        <v>10</v>
      </c>
      <c r="H223" s="22">
        <f>IF(E223&lt;0,-999999999,B223*(PRICE_TOM-FERT_TOM)+C223*(PRICE_CAR-FERT_CAR)+F223*(PRICE_MES-FERT_MES)-(FARMER_SALARY+A223*TEMP_COST)-FIXED_COSTS)</f>
        <v>-999999999</v>
      </c>
    </row>
    <row r="224">
      <c r="A224" s="5" t="n">
        <v>0</v>
      </c>
      <c r="B224" s="5" t="n">
        <v>10</v>
      </c>
      <c r="C224" s="5" t="n">
        <v>1</v>
      </c>
      <c r="D224" s="18">
        <f>SEASON_HRS_TOM*B224*(1+DIM_TOM)^B224+SEASON_HRS_CAR*C224*(1+DIM_CAR)^C224</f>
        <v>2365.118214090002</v>
      </c>
      <c r="E224" s="18">
        <f>(FARMER_FIELD_HRS+A224*TEMP_HRS)-D224</f>
        <v>-1645.1182140900019</v>
      </c>
      <c r="F224" s="21">
        <f>IF(E224&lt;0,0,MIN(COUNTIF(Labor!$C$59:$C$88,"&lt;="&amp;E224),MAXBED_MES,TOTAL_BEDS-B224-C224))</f>
        <v>0</v>
      </c>
      <c r="G224" s="21">
        <f>B224+C224+F224</f>
        <v>11</v>
      </c>
      <c r="H224" s="22">
        <f>IF(E224&lt;0,-999999999,B224*(PRICE_TOM-FERT_TOM)+C224*(PRICE_CAR-FERT_CAR)+F224*(PRICE_MES-FERT_MES)-(FARMER_SALARY+A224*TEMP_COST)-FIXED_COSTS)</f>
        <v>-999999999</v>
      </c>
    </row>
    <row r="225">
      <c r="A225" s="5" t="n">
        <v>0</v>
      </c>
      <c r="B225" s="5" t="n">
        <v>10</v>
      </c>
      <c r="C225" s="5" t="n">
        <v>2</v>
      </c>
      <c r="D225" s="18">
        <f>SEASON_HRS_TOM*B225*(1+DIM_TOM)^B225+SEASON_HRS_CAR*C225*(1+DIM_CAR)^C225</f>
        <v>2397.4057140900018</v>
      </c>
      <c r="E225" s="18">
        <f>(FARMER_FIELD_HRS+A225*TEMP_HRS)-D225</f>
        <v>-1677.4057140900018</v>
      </c>
      <c r="F225" s="21">
        <f>IF(E225&lt;0,0,MIN(COUNTIF(Labor!$C$59:$C$88,"&lt;="&amp;E225),MAXBED_MES,TOTAL_BEDS-B225-C225))</f>
        <v>0</v>
      </c>
      <c r="G225" s="21">
        <f>B225+C225+F225</f>
        <v>12</v>
      </c>
      <c r="H225" s="22">
        <f>IF(E225&lt;0,-999999999,B225*(PRICE_TOM-FERT_TOM)+C225*(PRICE_CAR-FERT_CAR)+F225*(PRICE_MES-FERT_MES)-(FARMER_SALARY+A225*TEMP_COST)-FIXED_COSTS)</f>
        <v>-999999999</v>
      </c>
    </row>
    <row r="226">
      <c r="A226" s="5" t="n">
        <v>0</v>
      </c>
      <c r="B226" s="5" t="n">
        <v>10</v>
      </c>
      <c r="C226" s="5" t="n">
        <v>3</v>
      </c>
      <c r="D226" s="18">
        <f>SEASON_HRS_TOM*B226*(1+DIM_TOM)^B226+SEASON_HRS_CAR*C226*(1+DIM_CAR)^C226</f>
        <v>2431.2883703400016</v>
      </c>
      <c r="E226" s="18">
        <f>(FARMER_FIELD_HRS+A226*TEMP_HRS)-D226</f>
        <v>-1711.2883703400016</v>
      </c>
      <c r="F226" s="21">
        <f>IF(E226&lt;0,0,MIN(COUNTIF(Labor!$C$59:$C$88,"&lt;="&amp;E226),MAXBED_MES,TOTAL_BEDS-B226-C226))</f>
        <v>0</v>
      </c>
      <c r="G226" s="21">
        <f>B226+C226+F226</f>
        <v>13</v>
      </c>
      <c r="H226" s="22">
        <f>IF(E226&lt;0,-999999999,B226*(PRICE_TOM-FERT_TOM)+C226*(PRICE_CAR-FERT_CAR)+F226*(PRICE_MES-FERT_MES)-(FARMER_SALARY+A226*TEMP_COST)-FIXED_COSTS)</f>
        <v>-999999999</v>
      </c>
    </row>
    <row r="227">
      <c r="A227" s="5" t="n">
        <v>0</v>
      </c>
      <c r="B227" s="5" t="n">
        <v>10</v>
      </c>
      <c r="C227" s="5" t="n">
        <v>4</v>
      </c>
      <c r="D227" s="18">
        <f>SEASON_HRS_TOM*B227*(1+DIM_TOM)^B227+SEASON_HRS_CAR*C227*(1+DIM_CAR)^C227</f>
        <v>2466.825760965002</v>
      </c>
      <c r="E227" s="18">
        <f>(FARMER_FIELD_HRS+A227*TEMP_HRS)-D227</f>
        <v>-1746.8257609650018</v>
      </c>
      <c r="F227" s="21">
        <f>IF(E227&lt;0,0,MIN(COUNTIF(Labor!$C$59:$C$88,"&lt;="&amp;E227),MAXBED_MES,TOTAL_BEDS-B227-C227))</f>
        <v>0</v>
      </c>
      <c r="G227" s="21">
        <f>B227+C227+F227</f>
        <v>14</v>
      </c>
      <c r="H227" s="22">
        <f>IF(E227&lt;0,-999999999,B227*(PRICE_TOM-FERT_TOM)+C227*(PRICE_CAR-FERT_CAR)+F227*(PRICE_MES-FERT_MES)-(FARMER_SALARY+A227*TEMP_COST)-FIXED_COSTS)</f>
        <v>-999999999</v>
      </c>
    </row>
    <row r="228">
      <c r="A228" s="5" t="n">
        <v>0</v>
      </c>
      <c r="B228" s="5" t="n">
        <v>10</v>
      </c>
      <c r="C228" s="5" t="n">
        <v>5</v>
      </c>
      <c r="D228" s="18">
        <f>SEASON_HRS_TOM*B228*(1+DIM_TOM)^B228+SEASON_HRS_CAR*C228*(1+DIM_CAR)^C228</f>
        <v>2504.0794460235957</v>
      </c>
      <c r="E228" s="18">
        <f>(FARMER_FIELD_HRS+A228*TEMP_HRS)-D228</f>
        <v>-1784.0794460235957</v>
      </c>
      <c r="F228" s="21">
        <f>IF(E228&lt;0,0,MIN(COUNTIF(Labor!$C$59:$C$88,"&lt;="&amp;E228),MAXBED_MES,TOTAL_BEDS-B228-C228))</f>
        <v>0</v>
      </c>
      <c r="G228" s="21">
        <f>B228+C228+F228</f>
        <v>15</v>
      </c>
      <c r="H228" s="22">
        <f>IF(E228&lt;0,-999999999,B228*(PRICE_TOM-FERT_TOM)+C228*(PRICE_CAR-FERT_CAR)+F228*(PRICE_MES-FERT_MES)-(FARMER_SALARY+A228*TEMP_COST)-FIXED_COSTS)</f>
        <v>-999999999</v>
      </c>
    </row>
    <row r="229">
      <c r="A229" s="5" t="n">
        <v>0</v>
      </c>
      <c r="B229" s="5" t="n">
        <v>10</v>
      </c>
      <c r="C229" s="5" t="n">
        <v>6</v>
      </c>
      <c r="D229" s="18">
        <f>SEASON_HRS_TOM*B229*(1+DIM_TOM)^B229+SEASON_HRS_CAR*C229*(1+DIM_CAR)^C229</f>
        <v>2543.1130293683223</v>
      </c>
      <c r="E229" s="18">
        <f>(FARMER_FIELD_HRS+A229*TEMP_HRS)-D229</f>
        <v>-1823.1130293683223</v>
      </c>
      <c r="F229" s="21">
        <f>IF(E229&lt;0,0,MIN(COUNTIF(Labor!$C$59:$C$88,"&lt;="&amp;E229),MAXBED_MES,TOTAL_BEDS-B229-C229))</f>
        <v>0</v>
      </c>
      <c r="G229" s="21">
        <f>B229+C229+F229</f>
        <v>16</v>
      </c>
      <c r="H229" s="22">
        <f>IF(E229&lt;0,-999999999,B229*(PRICE_TOM-FERT_TOM)+C229*(PRICE_CAR-FERT_CAR)+F229*(PRICE_MES-FERT_MES)-(FARMER_SALARY+A229*TEMP_COST)-FIXED_COSTS)</f>
        <v>-999999999</v>
      </c>
    </row>
    <row r="230">
      <c r="A230" s="5" t="n">
        <v>0</v>
      </c>
      <c r="B230" s="5" t="n">
        <v>10</v>
      </c>
      <c r="C230" s="5" t="n">
        <v>7</v>
      </c>
      <c r="D230" s="18">
        <f>SEASON_HRS_TOM*B230*(1+DIM_TOM)^B230+SEASON_HRS_CAR*C230*(1+DIM_CAR)^C230</f>
        <v>2583.992222360326</v>
      </c>
      <c r="E230" s="18">
        <f>(FARMER_FIELD_HRS+A230*TEMP_HRS)-D230</f>
        <v>-1863.9922223603262</v>
      </c>
      <c r="F230" s="21">
        <f>IF(E230&lt;0,0,MIN(COUNTIF(Labor!$C$59:$C$88,"&lt;="&amp;E230),MAXBED_MES,TOTAL_BEDS-B230-C230))</f>
        <v>0</v>
      </c>
      <c r="G230" s="21">
        <f>B230+C230+F230</f>
        <v>17</v>
      </c>
      <c r="H230" s="22">
        <f>IF(E230&lt;0,-999999999,B230*(PRICE_TOM-FERT_TOM)+C230*(PRICE_CAR-FERT_CAR)+F230*(PRICE_MES-FERT_MES)-(FARMER_SALARY+A230*TEMP_COST)-FIXED_COSTS)</f>
        <v>-999999999</v>
      </c>
    </row>
    <row r="231">
      <c r="A231" s="5" t="n">
        <v>0</v>
      </c>
      <c r="B231" s="5" t="n">
        <v>10</v>
      </c>
      <c r="C231" s="5" t="n">
        <v>8</v>
      </c>
      <c r="D231" s="18">
        <f>SEASON_HRS_TOM*B231*(1+DIM_TOM)^B231+SEASON_HRS_CAR*C231*(1+DIM_CAR)^C231</f>
        <v>2626.784909492382</v>
      </c>
      <c r="E231" s="18">
        <f>(FARMER_FIELD_HRS+A231*TEMP_HRS)-D231</f>
        <v>-1906.7849094923822</v>
      </c>
      <c r="F231" s="21">
        <f>IF(E231&lt;0,0,MIN(COUNTIF(Labor!$C$59:$C$88,"&lt;="&amp;E231),MAXBED_MES,TOTAL_BEDS-B231-C231))</f>
        <v>0</v>
      </c>
      <c r="G231" s="21">
        <f>B231+C231+F231</f>
        <v>18</v>
      </c>
      <c r="H231" s="22">
        <f>IF(E231&lt;0,-999999999,B231*(PRICE_TOM-FERT_TOM)+C231*(PRICE_CAR-FERT_CAR)+F231*(PRICE_MES-FERT_MES)-(FARMER_SALARY+A231*TEMP_COST)-FIXED_COSTS)</f>
        <v>-999999999</v>
      </c>
    </row>
    <row r="232">
      <c r="A232" s="5" t="n">
        <v>0</v>
      </c>
      <c r="B232" s="5" t="n">
        <v>10</v>
      </c>
      <c r="C232" s="5" t="n">
        <v>9</v>
      </c>
      <c r="D232" s="18">
        <f>SEASON_HRS_TOM*B232*(1+DIM_TOM)^B232+SEASON_HRS_CAR*C232*(1+DIM_CAR)^C232</f>
        <v>2671.5612159758716</v>
      </c>
      <c r="E232" s="18">
        <f>(FARMER_FIELD_HRS+A232*TEMP_HRS)-D232</f>
        <v>-1951.5612159758716</v>
      </c>
      <c r="F232" s="21">
        <f>IF(E232&lt;0,0,MIN(COUNTIF(Labor!$C$59:$C$88,"&lt;="&amp;E232),MAXBED_MES,TOTAL_BEDS-B232-C232))</f>
        <v>0</v>
      </c>
      <c r="G232" s="21">
        <f>B232+C232+F232</f>
        <v>19</v>
      </c>
      <c r="H232" s="22">
        <f>IF(E232&lt;0,-999999999,B232*(PRICE_TOM-FERT_TOM)+C232*(PRICE_CAR-FERT_CAR)+F232*(PRICE_MES-FERT_MES)-(FARMER_SALARY+A232*TEMP_COST)-FIXED_COSTS)</f>
        <v>-999999999</v>
      </c>
    </row>
    <row r="233">
      <c r="A233" s="5" t="n">
        <v>0</v>
      </c>
      <c r="B233" s="5" t="n">
        <v>10</v>
      </c>
      <c r="C233" s="5" t="n">
        <v>10</v>
      </c>
      <c r="D233" s="18">
        <f>SEASON_HRS_TOM*B233*(1+DIM_TOM)^B233+SEASON_HRS_CAR*C233*(1+DIM_CAR)^C233</f>
        <v>2718.393577348909</v>
      </c>
      <c r="E233" s="18">
        <f>(FARMER_FIELD_HRS+A233*TEMP_HRS)-D233</f>
        <v>-1998.3935773489088</v>
      </c>
      <c r="F233" s="21">
        <f>IF(E233&lt;0,0,MIN(COUNTIF(Labor!$C$59:$C$88,"&lt;="&amp;E233),MAXBED_MES,TOTAL_BEDS-B233-C233))</f>
        <v>0</v>
      </c>
      <c r="G233" s="21">
        <f>B233+C233+F233</f>
        <v>20</v>
      </c>
      <c r="H233" s="22">
        <f>IF(E233&lt;0,-999999999,B233*(PRICE_TOM-FERT_TOM)+C233*(PRICE_CAR-FERT_CAR)+F233*(PRICE_MES-FERT_MES)-(FARMER_SALARY+A233*TEMP_COST)-FIXED_COSTS)</f>
        <v>-999999999</v>
      </c>
    </row>
    <row r="234">
      <c r="A234" s="5" t="n">
        <v>0</v>
      </c>
      <c r="B234" s="5" t="n">
        <v>10</v>
      </c>
      <c r="C234" s="5" t="n">
        <v>11</v>
      </c>
      <c r="D234" s="18">
        <f>SEASON_HRS_TOM*B234*(1+DIM_TOM)^B234+SEASON_HRS_CAR*C234*(1+DIM_CAR)^C234</f>
        <v>2767.3568111644195</v>
      </c>
      <c r="E234" s="18">
        <f>(FARMER_FIELD_HRS+A234*TEMP_HRS)-D234</f>
        <v>-2047.3568111644195</v>
      </c>
      <c r="F234" s="21">
        <f>IF(E234&lt;0,0,MIN(COUNTIF(Labor!$C$59:$C$88,"&lt;="&amp;E234),MAXBED_MES,TOTAL_BEDS-B234-C234))</f>
        <v>0</v>
      </c>
      <c r="G234" s="21">
        <f>B234+C234+F234</f>
        <v>21</v>
      </c>
      <c r="H234" s="22">
        <f>IF(E234&lt;0,-999999999,B234*(PRICE_TOM-FERT_TOM)+C234*(PRICE_CAR-FERT_CAR)+F234*(PRICE_MES-FERT_MES)-(FARMER_SALARY+A234*TEMP_COST)-FIXED_COSTS)</f>
        <v>-999999999</v>
      </c>
    </row>
    <row r="235">
      <c r="A235" s="5" t="n">
        <v>0</v>
      </c>
      <c r="B235" s="5" t="n">
        <v>10</v>
      </c>
      <c r="C235" s="5" t="n">
        <v>12</v>
      </c>
      <c r="D235" s="18">
        <f>SEASON_HRS_TOM*B235*(1+DIM_TOM)^B235+SEASON_HRS_CAR*C235*(1+DIM_CAR)^C235</f>
        <v>2818.528190818669</v>
      </c>
      <c r="E235" s="18">
        <f>(FARMER_FIELD_HRS+A235*TEMP_HRS)-D235</f>
        <v>-2098.528190818669</v>
      </c>
      <c r="F235" s="21">
        <f>IF(E235&lt;0,0,MIN(COUNTIF(Labor!$C$59:$C$88,"&lt;="&amp;E235),MAXBED_MES,TOTAL_BEDS-B235-C235))</f>
        <v>0</v>
      </c>
      <c r="G235" s="21">
        <f>B235+C235+F235</f>
        <v>22</v>
      </c>
      <c r="H235" s="22">
        <f>IF(E235&lt;0,-999999999,B235*(PRICE_TOM-FERT_TOM)+C235*(PRICE_CAR-FERT_CAR)+F235*(PRICE_MES-FERT_MES)-(FARMER_SALARY+A235*TEMP_COST)-FIXED_COSTS)</f>
        <v>-999999999</v>
      </c>
    </row>
    <row r="236">
      <c r="A236" s="5" t="n">
        <v>0</v>
      </c>
      <c r="B236" s="5" t="n">
        <v>10</v>
      </c>
      <c r="C236" s="5" t="n">
        <v>13</v>
      </c>
      <c r="D236" s="18">
        <f>SEASON_HRS_TOM*B236*(1+DIM_TOM)^B236+SEASON_HRS_CAR*C236*(1+DIM_CAR)^C236</f>
        <v>2871.987521582459</v>
      </c>
      <c r="E236" s="18">
        <f>(FARMER_FIELD_HRS+A236*TEMP_HRS)-D236</f>
        <v>-2151.987521582459</v>
      </c>
      <c r="F236" s="21">
        <f>IF(E236&lt;0,0,MIN(COUNTIF(Labor!$C$59:$C$88,"&lt;="&amp;E236),MAXBED_MES,TOTAL_BEDS-B236-C236))</f>
        <v>0</v>
      </c>
      <c r="G236" s="21">
        <f>B236+C236+F236</f>
        <v>23</v>
      </c>
      <c r="H236" s="22">
        <f>IF(E236&lt;0,-999999999,B236*(PRICE_TOM-FERT_TOM)+C236*(PRICE_CAR-FERT_CAR)+F236*(PRICE_MES-FERT_MES)-(FARMER_SALARY+A236*TEMP_COST)-FIXED_COSTS)</f>
        <v>-999999999</v>
      </c>
    </row>
    <row r="237">
      <c r="A237" s="5" t="n">
        <v>0</v>
      </c>
      <c r="B237" s="5" t="n">
        <v>10</v>
      </c>
      <c r="C237" s="5" t="n">
        <v>14</v>
      </c>
      <c r="D237" s="18">
        <f>SEASON_HRS_TOM*B237*(1+DIM_TOM)^B237+SEASON_HRS_CAR*C237*(1+DIM_CAR)^C237</f>
        <v>2927.8172188989834</v>
      </c>
      <c r="E237" s="18">
        <f>(FARMER_FIELD_HRS+A237*TEMP_HRS)-D237</f>
        <v>-2207.8172188989834</v>
      </c>
      <c r="F237" s="21">
        <f>IF(E237&lt;0,0,MIN(COUNTIF(Labor!$C$59:$C$88,"&lt;="&amp;E237),MAXBED_MES,TOTAL_BEDS-B237-C237))</f>
        <v>0</v>
      </c>
      <c r="G237" s="21">
        <f>B237+C237+F237</f>
        <v>24</v>
      </c>
      <c r="H237" s="22">
        <f>IF(E237&lt;0,-999999999,B237*(PRICE_TOM-FERT_TOM)+C237*(PRICE_CAR-FERT_CAR)+F237*(PRICE_MES-FERT_MES)-(FARMER_SALARY+A237*TEMP_COST)-FIXED_COSTS)</f>
        <v>-999999999</v>
      </c>
    </row>
    <row r="238">
      <c r="A238" s="5" t="n">
        <v>0</v>
      </c>
      <c r="B238" s="5" t="n">
        <v>10</v>
      </c>
      <c r="C238" s="5" t="n">
        <v>15</v>
      </c>
      <c r="D238" s="18">
        <f>SEASON_HRS_TOM*B238*(1+DIM_TOM)^B238+SEASON_HRS_CAR*C238*(1+DIM_CAR)^C238</f>
        <v>2986.1023890141514</v>
      </c>
      <c r="E238" s="18">
        <f>(FARMER_FIELD_HRS+A238*TEMP_HRS)-D238</f>
        <v>-2266.1023890141514</v>
      </c>
      <c r="F238" s="21">
        <f>IF(E238&lt;0,0,MIN(COUNTIF(Labor!$C$59:$C$88,"&lt;="&amp;E238),MAXBED_MES,TOTAL_BEDS-B238-C238))</f>
        <v>0</v>
      </c>
      <c r="G238" s="21">
        <f>B238+C238+F238</f>
        <v>25</v>
      </c>
      <c r="H238" s="22">
        <f>IF(E238&lt;0,-999999999,B238*(PRICE_TOM-FERT_TOM)+C238*(PRICE_CAR-FERT_CAR)+F238*(PRICE_MES-FERT_MES)-(FARMER_SALARY+A238*TEMP_COST)-FIXED_COSTS)</f>
        <v>-999999999</v>
      </c>
    </row>
    <row r="239">
      <c r="A239" s="5" t="n">
        <v>0</v>
      </c>
      <c r="B239" s="5" t="n">
        <v>10</v>
      </c>
      <c r="C239" s="5" t="n">
        <v>16</v>
      </c>
      <c r="D239" s="18">
        <f>SEASON_HRS_TOM*B239*(1+DIM_TOM)^B239+SEASON_HRS_CAR*C239*(1+DIM_CAR)^C239</f>
        <v>3046.9309120070716</v>
      </c>
      <c r="E239" s="18">
        <f>(FARMER_FIELD_HRS+A239*TEMP_HRS)-D239</f>
        <v>-2326.9309120070716</v>
      </c>
      <c r="F239" s="21">
        <f>IF(E239&lt;0,0,MIN(COUNTIF(Labor!$C$59:$C$88,"&lt;="&amp;E239),MAXBED_MES,TOTAL_BEDS-B239-C239))</f>
        <v>0</v>
      </c>
      <c r="G239" s="21">
        <f>B239+C239+F239</f>
        <v>26</v>
      </c>
      <c r="H239" s="22">
        <f>IF(E239&lt;0,-999999999,B239*(PRICE_TOM-FERT_TOM)+C239*(PRICE_CAR-FERT_CAR)+F239*(PRICE_MES-FERT_MES)-(FARMER_SALARY+A239*TEMP_COST)-FIXED_COSTS)</f>
        <v>-999999999</v>
      </c>
    </row>
    <row r="240">
      <c r="A240" s="5" t="n">
        <v>0</v>
      </c>
      <c r="B240" s="5" t="n">
        <v>10</v>
      </c>
      <c r="C240" s="5" t="n">
        <v>17</v>
      </c>
      <c r="D240" s="18">
        <f>SEASON_HRS_TOM*B240*(1+DIM_TOM)^B240+SEASON_HRS_CAR*C240*(1+DIM_CAR)^C240</f>
        <v>3110.393527290311</v>
      </c>
      <c r="E240" s="18">
        <f>(FARMER_FIELD_HRS+A240*TEMP_HRS)-D240</f>
        <v>-2390.393527290311</v>
      </c>
      <c r="F240" s="21">
        <f>IF(E240&lt;0,0,MIN(COUNTIF(Labor!$C$59:$C$88,"&lt;="&amp;E240),MAXBED_MES,TOTAL_BEDS-B240-C240))</f>
        <v>0</v>
      </c>
      <c r="G240" s="21">
        <f>B240+C240+F240</f>
        <v>27</v>
      </c>
      <c r="H240" s="22">
        <f>IF(E240&lt;0,-999999999,B240*(PRICE_TOM-FERT_TOM)+C240*(PRICE_CAR-FERT_CAR)+F240*(PRICE_MES-FERT_MES)-(FARMER_SALARY+A240*TEMP_COST)-FIXED_COSTS)</f>
        <v>-999999999</v>
      </c>
    </row>
    <row r="241">
      <c r="A241" s="5" t="n">
        <v>0</v>
      </c>
      <c r="B241" s="5" t="n">
        <v>10</v>
      </c>
      <c r="C241" s="5" t="n">
        <v>18</v>
      </c>
      <c r="D241" s="18">
        <f>SEASON_HRS_TOM*B241*(1+DIM_TOM)^B241+SEASON_HRS_CAR*C241*(1+DIM_CAR)^C241</f>
        <v>3176.5839216515133</v>
      </c>
      <c r="E241" s="18">
        <f>(FARMER_FIELD_HRS+A241*TEMP_HRS)-D241</f>
        <v>-2456.5839216515133</v>
      </c>
      <c r="F241" s="21">
        <f>IF(E241&lt;0,0,MIN(COUNTIF(Labor!$C$59:$C$88,"&lt;="&amp;E241),MAXBED_MES,TOTAL_BEDS-B241-C241))</f>
        <v>0</v>
      </c>
      <c r="G241" s="21">
        <f>B241+C241+F241</f>
        <v>28</v>
      </c>
      <c r="H241" s="22">
        <f>IF(E241&lt;0,-999999999,B241*(PRICE_TOM-FERT_TOM)+C241*(PRICE_CAR-FERT_CAR)+F241*(PRICE_MES-FERT_MES)-(FARMER_SALARY+A241*TEMP_COST)-FIXED_COSTS)</f>
        <v>-999999999</v>
      </c>
    </row>
    <row r="242">
      <c r="A242" s="5" t="n">
        <v>0</v>
      </c>
      <c r="B242" s="5" t="n">
        <v>10</v>
      </c>
      <c r="C242" s="5" t="n">
        <v>19</v>
      </c>
      <c r="D242" s="18">
        <f>SEASON_HRS_TOM*B242*(1+DIM_TOM)^B242+SEASON_HRS_CAR*C242*(1+DIM_CAR)^C242</f>
        <v>3245.598819910026</v>
      </c>
      <c r="E242" s="18">
        <f>(FARMER_FIELD_HRS+A242*TEMP_HRS)-D242</f>
        <v>-2525.598819910026</v>
      </c>
      <c r="F242" s="21">
        <f>IF(E242&lt;0,0,MIN(COUNTIF(Labor!$C$59:$C$88,"&lt;="&amp;E242),MAXBED_MES,TOTAL_BEDS-B242-C242))</f>
        <v>0</v>
      </c>
      <c r="G242" s="21">
        <f>B242+C242+F242</f>
        <v>29</v>
      </c>
      <c r="H242" s="22">
        <f>IF(E242&lt;0,-999999999,B242*(PRICE_TOM-FERT_TOM)+C242*(PRICE_CAR-FERT_CAR)+F242*(PRICE_MES-FERT_MES)-(FARMER_SALARY+A242*TEMP_COST)-FIXED_COSTS)</f>
        <v>-999999999</v>
      </c>
    </row>
    <row r="243">
      <c r="A243" s="5" t="n">
        <v>0</v>
      </c>
      <c r="B243" s="5" t="n">
        <v>10</v>
      </c>
      <c r="C243" s="5" t="n">
        <v>20</v>
      </c>
      <c r="D243" s="18">
        <f>SEASON_HRS_TOM*B243*(1+DIM_TOM)^B243+SEASON_HRS_CAR*C243*(1+DIM_CAR)^C243</f>
        <v>3317.5380782642383</v>
      </c>
      <c r="E243" s="18">
        <f>(FARMER_FIELD_HRS+A243*TEMP_HRS)-D243</f>
        <v>-2597.5380782642383</v>
      </c>
      <c r="F243" s="21">
        <f>IF(E243&lt;0,0,MIN(COUNTIF(Labor!$C$59:$C$88,"&lt;="&amp;E243),MAXBED_MES,TOTAL_BEDS-B243-C243))</f>
        <v>0</v>
      </c>
      <c r="G243" s="21">
        <f>B243+C243+F243</f>
        <v>30</v>
      </c>
      <c r="H243" s="22">
        <f>IF(E243&lt;0,-999999999,B243*(PRICE_TOM-FERT_TOM)+C243*(PRICE_CAR-FERT_CAR)+F243*(PRICE_MES-FERT_MES)-(FARMER_SALARY+A243*TEMP_COST)-FIXED_COSTS)</f>
        <v>-999999999</v>
      </c>
    </row>
    <row r="244">
      <c r="A244" s="5" t="n">
        <v>0</v>
      </c>
      <c r="B244" s="5" t="n">
        <v>11</v>
      </c>
      <c r="C244" s="5" t="n">
        <v>0</v>
      </c>
      <c r="D244" s="18">
        <f>SEASON_HRS_TOM*B244*(1+DIM_TOM)^B244+SEASON_HRS_CAR*C244*(1+DIM_CAR)^C244</f>
        <v>2824.5855390489023</v>
      </c>
      <c r="E244" s="18">
        <f>(FARMER_FIELD_HRS+A244*TEMP_HRS)-D244</f>
        <v>-2104.5855390489023</v>
      </c>
      <c r="F244" s="21">
        <f>IF(E244&lt;0,0,MIN(COUNTIF(Labor!$C$59:$C$88,"&lt;="&amp;E244),MAXBED_MES,TOTAL_BEDS-B244-C244))</f>
        <v>0</v>
      </c>
      <c r="G244" s="21">
        <f>B244+C244+F244</f>
        <v>11</v>
      </c>
      <c r="H244" s="22">
        <f>IF(E244&lt;0,-999999999,B244*(PRICE_TOM-FERT_TOM)+C244*(PRICE_CAR-FERT_CAR)+F244*(PRICE_MES-FERT_MES)-(FARMER_SALARY+A244*TEMP_COST)-FIXED_COSTS)</f>
        <v>-999999999</v>
      </c>
    </row>
    <row r="245">
      <c r="A245" s="5" t="n">
        <v>0</v>
      </c>
      <c r="B245" s="5" t="n">
        <v>11</v>
      </c>
      <c r="C245" s="5" t="n">
        <v>1</v>
      </c>
      <c r="D245" s="18">
        <f>SEASON_HRS_TOM*B245*(1+DIM_TOM)^B245+SEASON_HRS_CAR*C245*(1+DIM_CAR)^C245</f>
        <v>2855.3355390489023</v>
      </c>
      <c r="E245" s="18">
        <f>(FARMER_FIELD_HRS+A245*TEMP_HRS)-D245</f>
        <v>-2135.3355390489023</v>
      </c>
      <c r="F245" s="21">
        <f>IF(E245&lt;0,0,MIN(COUNTIF(Labor!$C$59:$C$88,"&lt;="&amp;E245),MAXBED_MES,TOTAL_BEDS-B245-C245))</f>
        <v>0</v>
      </c>
      <c r="G245" s="21">
        <f>B245+C245+F245</f>
        <v>12</v>
      </c>
      <c r="H245" s="22">
        <f>IF(E245&lt;0,-999999999,B245*(PRICE_TOM-FERT_TOM)+C245*(PRICE_CAR-FERT_CAR)+F245*(PRICE_MES-FERT_MES)-(FARMER_SALARY+A245*TEMP_COST)-FIXED_COSTS)</f>
        <v>-999999999</v>
      </c>
    </row>
    <row r="246">
      <c r="A246" s="5" t="n">
        <v>0</v>
      </c>
      <c r="B246" s="5" t="n">
        <v>11</v>
      </c>
      <c r="C246" s="5" t="n">
        <v>2</v>
      </c>
      <c r="D246" s="18">
        <f>SEASON_HRS_TOM*B246*(1+DIM_TOM)^B246+SEASON_HRS_CAR*C246*(1+DIM_CAR)^C246</f>
        <v>2887.6230390489022</v>
      </c>
      <c r="E246" s="18">
        <f>(FARMER_FIELD_HRS+A246*TEMP_HRS)-D246</f>
        <v>-2167.6230390489022</v>
      </c>
      <c r="F246" s="21">
        <f>IF(E246&lt;0,0,MIN(COUNTIF(Labor!$C$59:$C$88,"&lt;="&amp;E246),MAXBED_MES,TOTAL_BEDS-B246-C246))</f>
        <v>0</v>
      </c>
      <c r="G246" s="21">
        <f>B246+C246+F246</f>
        <v>13</v>
      </c>
      <c r="H246" s="22">
        <f>IF(E246&lt;0,-999999999,B246*(PRICE_TOM-FERT_TOM)+C246*(PRICE_CAR-FERT_CAR)+F246*(PRICE_MES-FERT_MES)-(FARMER_SALARY+A246*TEMP_COST)-FIXED_COSTS)</f>
        <v>-999999999</v>
      </c>
    </row>
    <row r="247">
      <c r="A247" s="5" t="n">
        <v>0</v>
      </c>
      <c r="B247" s="5" t="n">
        <v>11</v>
      </c>
      <c r="C247" s="5" t="n">
        <v>3</v>
      </c>
      <c r="D247" s="18">
        <f>SEASON_HRS_TOM*B247*(1+DIM_TOM)^B247+SEASON_HRS_CAR*C247*(1+DIM_CAR)^C247</f>
        <v>2921.505695298902</v>
      </c>
      <c r="E247" s="18">
        <f>(FARMER_FIELD_HRS+A247*TEMP_HRS)-D247</f>
        <v>-2201.505695298902</v>
      </c>
      <c r="F247" s="21">
        <f>IF(E247&lt;0,0,MIN(COUNTIF(Labor!$C$59:$C$88,"&lt;="&amp;E247),MAXBED_MES,TOTAL_BEDS-B247-C247))</f>
        <v>0</v>
      </c>
      <c r="G247" s="21">
        <f>B247+C247+F247</f>
        <v>14</v>
      </c>
      <c r="H247" s="22">
        <f>IF(E247&lt;0,-999999999,B247*(PRICE_TOM-FERT_TOM)+C247*(PRICE_CAR-FERT_CAR)+F247*(PRICE_MES-FERT_MES)-(FARMER_SALARY+A247*TEMP_COST)-FIXED_COSTS)</f>
        <v>-999999999</v>
      </c>
    </row>
    <row r="248">
      <c r="A248" s="5" t="n">
        <v>0</v>
      </c>
      <c r="B248" s="5" t="n">
        <v>11</v>
      </c>
      <c r="C248" s="5" t="n">
        <v>4</v>
      </c>
      <c r="D248" s="18">
        <f>SEASON_HRS_TOM*B248*(1+DIM_TOM)^B248+SEASON_HRS_CAR*C248*(1+DIM_CAR)^C248</f>
        <v>2957.0430859239023</v>
      </c>
      <c r="E248" s="18">
        <f>(FARMER_FIELD_HRS+A248*TEMP_HRS)-D248</f>
        <v>-2237.0430859239023</v>
      </c>
      <c r="F248" s="21">
        <f>IF(E248&lt;0,0,MIN(COUNTIF(Labor!$C$59:$C$88,"&lt;="&amp;E248),MAXBED_MES,TOTAL_BEDS-B248-C248))</f>
        <v>0</v>
      </c>
      <c r="G248" s="21">
        <f>B248+C248+F248</f>
        <v>15</v>
      </c>
      <c r="H248" s="22">
        <f>IF(E248&lt;0,-999999999,B248*(PRICE_TOM-FERT_TOM)+C248*(PRICE_CAR-FERT_CAR)+F248*(PRICE_MES-FERT_MES)-(FARMER_SALARY+A248*TEMP_COST)-FIXED_COSTS)</f>
        <v>-999999999</v>
      </c>
    </row>
    <row r="249">
      <c r="A249" s="5" t="n">
        <v>0</v>
      </c>
      <c r="B249" s="5" t="n">
        <v>11</v>
      </c>
      <c r="C249" s="5" t="n">
        <v>5</v>
      </c>
      <c r="D249" s="18">
        <f>SEASON_HRS_TOM*B249*(1+DIM_TOM)^B249+SEASON_HRS_CAR*C249*(1+DIM_CAR)^C249</f>
        <v>2994.296770982496</v>
      </c>
      <c r="E249" s="18">
        <f>(FARMER_FIELD_HRS+A249*TEMP_HRS)-D249</f>
        <v>-2274.296770982496</v>
      </c>
      <c r="F249" s="21">
        <f>IF(E249&lt;0,0,MIN(COUNTIF(Labor!$C$59:$C$88,"&lt;="&amp;E249),MAXBED_MES,TOTAL_BEDS-B249-C249))</f>
        <v>0</v>
      </c>
      <c r="G249" s="21">
        <f>B249+C249+F249</f>
        <v>16</v>
      </c>
      <c r="H249" s="22">
        <f>IF(E249&lt;0,-999999999,B249*(PRICE_TOM-FERT_TOM)+C249*(PRICE_CAR-FERT_CAR)+F249*(PRICE_MES-FERT_MES)-(FARMER_SALARY+A249*TEMP_COST)-FIXED_COSTS)</f>
        <v>-999999999</v>
      </c>
    </row>
    <row r="250">
      <c r="A250" s="5" t="n">
        <v>0</v>
      </c>
      <c r="B250" s="5" t="n">
        <v>11</v>
      </c>
      <c r="C250" s="5" t="n">
        <v>6</v>
      </c>
      <c r="D250" s="18">
        <f>SEASON_HRS_TOM*B250*(1+DIM_TOM)^B250+SEASON_HRS_CAR*C250*(1+DIM_CAR)^C250</f>
        <v>3033.3303543272227</v>
      </c>
      <c r="E250" s="18">
        <f>(FARMER_FIELD_HRS+A250*TEMP_HRS)-D250</f>
        <v>-2313.3303543272227</v>
      </c>
      <c r="F250" s="21">
        <f>IF(E250&lt;0,0,MIN(COUNTIF(Labor!$C$59:$C$88,"&lt;="&amp;E250),MAXBED_MES,TOTAL_BEDS-B250-C250))</f>
        <v>0</v>
      </c>
      <c r="G250" s="21">
        <f>B250+C250+F250</f>
        <v>17</v>
      </c>
      <c r="H250" s="22">
        <f>IF(E250&lt;0,-999999999,B250*(PRICE_TOM-FERT_TOM)+C250*(PRICE_CAR-FERT_CAR)+F250*(PRICE_MES-FERT_MES)-(FARMER_SALARY+A250*TEMP_COST)-FIXED_COSTS)</f>
        <v>-999999999</v>
      </c>
    </row>
    <row r="251">
      <c r="A251" s="5" t="n">
        <v>0</v>
      </c>
      <c r="B251" s="5" t="n">
        <v>11</v>
      </c>
      <c r="C251" s="5" t="n">
        <v>7</v>
      </c>
      <c r="D251" s="18">
        <f>SEASON_HRS_TOM*B251*(1+DIM_TOM)^B251+SEASON_HRS_CAR*C251*(1+DIM_CAR)^C251</f>
        <v>3074.2095473192267</v>
      </c>
      <c r="E251" s="18">
        <f>(FARMER_FIELD_HRS+A251*TEMP_HRS)-D251</f>
        <v>-2354.2095473192267</v>
      </c>
      <c r="F251" s="21">
        <f>IF(E251&lt;0,0,MIN(COUNTIF(Labor!$C$59:$C$88,"&lt;="&amp;E251),MAXBED_MES,TOTAL_BEDS-B251-C251))</f>
        <v>0</v>
      </c>
      <c r="G251" s="21">
        <f>B251+C251+F251</f>
        <v>18</v>
      </c>
      <c r="H251" s="22">
        <f>IF(E251&lt;0,-999999999,B251*(PRICE_TOM-FERT_TOM)+C251*(PRICE_CAR-FERT_CAR)+F251*(PRICE_MES-FERT_MES)-(FARMER_SALARY+A251*TEMP_COST)-FIXED_COSTS)</f>
        <v>-999999999</v>
      </c>
    </row>
    <row r="252">
      <c r="A252" s="5" t="n">
        <v>0</v>
      </c>
      <c r="B252" s="5" t="n">
        <v>11</v>
      </c>
      <c r="C252" s="5" t="n">
        <v>8</v>
      </c>
      <c r="D252" s="18">
        <f>SEASON_HRS_TOM*B252*(1+DIM_TOM)^B252+SEASON_HRS_CAR*C252*(1+DIM_CAR)^C252</f>
        <v>3117.0022344512827</v>
      </c>
      <c r="E252" s="18">
        <f>(FARMER_FIELD_HRS+A252*TEMP_HRS)-D252</f>
        <v>-2397.0022344512827</v>
      </c>
      <c r="F252" s="21">
        <f>IF(E252&lt;0,0,MIN(COUNTIF(Labor!$C$59:$C$88,"&lt;="&amp;E252),MAXBED_MES,TOTAL_BEDS-B252-C252))</f>
        <v>0</v>
      </c>
      <c r="G252" s="21">
        <f>B252+C252+F252</f>
        <v>19</v>
      </c>
      <c r="H252" s="22">
        <f>IF(E252&lt;0,-999999999,B252*(PRICE_TOM-FERT_TOM)+C252*(PRICE_CAR-FERT_CAR)+F252*(PRICE_MES-FERT_MES)-(FARMER_SALARY+A252*TEMP_COST)-FIXED_COSTS)</f>
        <v>-999999999</v>
      </c>
    </row>
    <row r="253">
      <c r="A253" s="5" t="n">
        <v>0</v>
      </c>
      <c r="B253" s="5" t="n">
        <v>11</v>
      </c>
      <c r="C253" s="5" t="n">
        <v>9</v>
      </c>
      <c r="D253" s="18">
        <f>SEASON_HRS_TOM*B253*(1+DIM_TOM)^B253+SEASON_HRS_CAR*C253*(1+DIM_CAR)^C253</f>
        <v>3161.778540934772</v>
      </c>
      <c r="E253" s="18">
        <f>(FARMER_FIELD_HRS+A253*TEMP_HRS)-D253</f>
        <v>-2441.778540934772</v>
      </c>
      <c r="F253" s="21">
        <f>IF(E253&lt;0,0,MIN(COUNTIF(Labor!$C$59:$C$88,"&lt;="&amp;E253),MAXBED_MES,TOTAL_BEDS-B253-C253))</f>
        <v>0</v>
      </c>
      <c r="G253" s="21">
        <f>B253+C253+F253</f>
        <v>20</v>
      </c>
      <c r="H253" s="22">
        <f>IF(E253&lt;0,-999999999,B253*(PRICE_TOM-FERT_TOM)+C253*(PRICE_CAR-FERT_CAR)+F253*(PRICE_MES-FERT_MES)-(FARMER_SALARY+A253*TEMP_COST)-FIXED_COSTS)</f>
        <v>-999999999</v>
      </c>
    </row>
    <row r="254">
      <c r="A254" s="5" t="n">
        <v>0</v>
      </c>
      <c r="B254" s="5" t="n">
        <v>11</v>
      </c>
      <c r="C254" s="5" t="n">
        <v>10</v>
      </c>
      <c r="D254" s="18">
        <f>SEASON_HRS_TOM*B254*(1+DIM_TOM)^B254+SEASON_HRS_CAR*C254*(1+DIM_CAR)^C254</f>
        <v>3208.6109023078093</v>
      </c>
      <c r="E254" s="18">
        <f>(FARMER_FIELD_HRS+A254*TEMP_HRS)-D254</f>
        <v>-2488.6109023078093</v>
      </c>
      <c r="F254" s="21">
        <f>IF(E254&lt;0,0,MIN(COUNTIF(Labor!$C$59:$C$88,"&lt;="&amp;E254),MAXBED_MES,TOTAL_BEDS-B254-C254))</f>
        <v>0</v>
      </c>
      <c r="G254" s="21">
        <f>B254+C254+F254</f>
        <v>21</v>
      </c>
      <c r="H254" s="22">
        <f>IF(E254&lt;0,-999999999,B254*(PRICE_TOM-FERT_TOM)+C254*(PRICE_CAR-FERT_CAR)+F254*(PRICE_MES-FERT_MES)-(FARMER_SALARY+A254*TEMP_COST)-FIXED_COSTS)</f>
        <v>-999999999</v>
      </c>
    </row>
    <row r="255">
      <c r="A255" s="5" t="n">
        <v>0</v>
      </c>
      <c r="B255" s="5" t="n">
        <v>11</v>
      </c>
      <c r="C255" s="5" t="n">
        <v>11</v>
      </c>
      <c r="D255" s="18">
        <f>SEASON_HRS_TOM*B255*(1+DIM_TOM)^B255+SEASON_HRS_CAR*C255*(1+DIM_CAR)^C255</f>
        <v>3257.57413612332</v>
      </c>
      <c r="E255" s="18">
        <f>(FARMER_FIELD_HRS+A255*TEMP_HRS)-D255</f>
        <v>-2537.57413612332</v>
      </c>
      <c r="F255" s="21">
        <f>IF(E255&lt;0,0,MIN(COUNTIF(Labor!$C$59:$C$88,"&lt;="&amp;E255),MAXBED_MES,TOTAL_BEDS-B255-C255))</f>
        <v>0</v>
      </c>
      <c r="G255" s="21">
        <f>B255+C255+F255</f>
        <v>22</v>
      </c>
      <c r="H255" s="22">
        <f>IF(E255&lt;0,-999999999,B255*(PRICE_TOM-FERT_TOM)+C255*(PRICE_CAR-FERT_CAR)+F255*(PRICE_MES-FERT_MES)-(FARMER_SALARY+A255*TEMP_COST)-FIXED_COSTS)</f>
        <v>-999999999</v>
      </c>
    </row>
    <row r="256">
      <c r="A256" s="5" t="n">
        <v>0</v>
      </c>
      <c r="B256" s="5" t="n">
        <v>11</v>
      </c>
      <c r="C256" s="5" t="n">
        <v>12</v>
      </c>
      <c r="D256" s="18">
        <f>SEASON_HRS_TOM*B256*(1+DIM_TOM)^B256+SEASON_HRS_CAR*C256*(1+DIM_CAR)^C256</f>
        <v>3308.7455157775694</v>
      </c>
      <c r="E256" s="18">
        <f>(FARMER_FIELD_HRS+A256*TEMP_HRS)-D256</f>
        <v>-2588.7455157775694</v>
      </c>
      <c r="F256" s="21">
        <f>IF(E256&lt;0,0,MIN(COUNTIF(Labor!$C$59:$C$88,"&lt;="&amp;E256),MAXBED_MES,TOTAL_BEDS-B256-C256))</f>
        <v>0</v>
      </c>
      <c r="G256" s="21">
        <f>B256+C256+F256</f>
        <v>23</v>
      </c>
      <c r="H256" s="22">
        <f>IF(E256&lt;0,-999999999,B256*(PRICE_TOM-FERT_TOM)+C256*(PRICE_CAR-FERT_CAR)+F256*(PRICE_MES-FERT_MES)-(FARMER_SALARY+A256*TEMP_COST)-FIXED_COSTS)</f>
        <v>-999999999</v>
      </c>
    </row>
    <row r="257">
      <c r="A257" s="5" t="n">
        <v>0</v>
      </c>
      <c r="B257" s="5" t="n">
        <v>11</v>
      </c>
      <c r="C257" s="5" t="n">
        <v>13</v>
      </c>
      <c r="D257" s="18">
        <f>SEASON_HRS_TOM*B257*(1+DIM_TOM)^B257+SEASON_HRS_CAR*C257*(1+DIM_CAR)^C257</f>
        <v>3362.2048465413595</v>
      </c>
      <c r="E257" s="18">
        <f>(FARMER_FIELD_HRS+A257*TEMP_HRS)-D257</f>
        <v>-2642.2048465413595</v>
      </c>
      <c r="F257" s="21">
        <f>IF(E257&lt;0,0,MIN(COUNTIF(Labor!$C$59:$C$88,"&lt;="&amp;E257),MAXBED_MES,TOTAL_BEDS-B257-C257))</f>
        <v>0</v>
      </c>
      <c r="G257" s="21">
        <f>B257+C257+F257</f>
        <v>24</v>
      </c>
      <c r="H257" s="22">
        <f>IF(E257&lt;0,-999999999,B257*(PRICE_TOM-FERT_TOM)+C257*(PRICE_CAR-FERT_CAR)+F257*(PRICE_MES-FERT_MES)-(FARMER_SALARY+A257*TEMP_COST)-FIXED_COSTS)</f>
        <v>-999999999</v>
      </c>
    </row>
    <row r="258">
      <c r="A258" s="5" t="n">
        <v>0</v>
      </c>
      <c r="B258" s="5" t="n">
        <v>11</v>
      </c>
      <c r="C258" s="5" t="n">
        <v>14</v>
      </c>
      <c r="D258" s="18">
        <f>SEASON_HRS_TOM*B258*(1+DIM_TOM)^B258+SEASON_HRS_CAR*C258*(1+DIM_CAR)^C258</f>
        <v>3418.034543857884</v>
      </c>
      <c r="E258" s="18">
        <f>(FARMER_FIELD_HRS+A258*TEMP_HRS)-D258</f>
        <v>-2698.034543857884</v>
      </c>
      <c r="F258" s="21">
        <f>IF(E258&lt;0,0,MIN(COUNTIF(Labor!$C$59:$C$88,"&lt;="&amp;E258),MAXBED_MES,TOTAL_BEDS-B258-C258))</f>
        <v>0</v>
      </c>
      <c r="G258" s="21">
        <f>B258+C258+F258</f>
        <v>25</v>
      </c>
      <c r="H258" s="22">
        <f>IF(E258&lt;0,-999999999,B258*(PRICE_TOM-FERT_TOM)+C258*(PRICE_CAR-FERT_CAR)+F258*(PRICE_MES-FERT_MES)-(FARMER_SALARY+A258*TEMP_COST)-FIXED_COSTS)</f>
        <v>-999999999</v>
      </c>
    </row>
    <row r="259">
      <c r="A259" s="5" t="n">
        <v>0</v>
      </c>
      <c r="B259" s="5" t="n">
        <v>11</v>
      </c>
      <c r="C259" s="5" t="n">
        <v>15</v>
      </c>
      <c r="D259" s="18">
        <f>SEASON_HRS_TOM*B259*(1+DIM_TOM)^B259+SEASON_HRS_CAR*C259*(1+DIM_CAR)^C259</f>
        <v>3476.319713973052</v>
      </c>
      <c r="E259" s="18">
        <f>(FARMER_FIELD_HRS+A259*TEMP_HRS)-D259</f>
        <v>-2756.319713973052</v>
      </c>
      <c r="F259" s="21">
        <f>IF(E259&lt;0,0,MIN(COUNTIF(Labor!$C$59:$C$88,"&lt;="&amp;E259),MAXBED_MES,TOTAL_BEDS-B259-C259))</f>
        <v>0</v>
      </c>
      <c r="G259" s="21">
        <f>B259+C259+F259</f>
        <v>26</v>
      </c>
      <c r="H259" s="22">
        <f>IF(E259&lt;0,-999999999,B259*(PRICE_TOM-FERT_TOM)+C259*(PRICE_CAR-FERT_CAR)+F259*(PRICE_MES-FERT_MES)-(FARMER_SALARY+A259*TEMP_COST)-FIXED_COSTS)</f>
        <v>-999999999</v>
      </c>
    </row>
    <row r="260">
      <c r="A260" s="5" t="n">
        <v>0</v>
      </c>
      <c r="B260" s="5" t="n">
        <v>11</v>
      </c>
      <c r="C260" s="5" t="n">
        <v>16</v>
      </c>
      <c r="D260" s="18">
        <f>SEASON_HRS_TOM*B260*(1+DIM_TOM)^B260+SEASON_HRS_CAR*C260*(1+DIM_CAR)^C260</f>
        <v>3537.148236965972</v>
      </c>
      <c r="E260" s="18">
        <f>(FARMER_FIELD_HRS+A260*TEMP_HRS)-D260</f>
        <v>-2817.148236965972</v>
      </c>
      <c r="F260" s="21">
        <f>IF(E260&lt;0,0,MIN(COUNTIF(Labor!$C$59:$C$88,"&lt;="&amp;E260),MAXBED_MES,TOTAL_BEDS-B260-C260))</f>
        <v>0</v>
      </c>
      <c r="G260" s="21">
        <f>B260+C260+F260</f>
        <v>27</v>
      </c>
      <c r="H260" s="22">
        <f>IF(E260&lt;0,-999999999,B260*(PRICE_TOM-FERT_TOM)+C260*(PRICE_CAR-FERT_CAR)+F260*(PRICE_MES-FERT_MES)-(FARMER_SALARY+A260*TEMP_COST)-FIXED_COSTS)</f>
        <v>-999999999</v>
      </c>
    </row>
    <row r="261">
      <c r="A261" s="5" t="n">
        <v>0</v>
      </c>
      <c r="B261" s="5" t="n">
        <v>11</v>
      </c>
      <c r="C261" s="5" t="n">
        <v>17</v>
      </c>
      <c r="D261" s="18">
        <f>SEASON_HRS_TOM*B261*(1+DIM_TOM)^B261+SEASON_HRS_CAR*C261*(1+DIM_CAR)^C261</f>
        <v>3600.6108522492113</v>
      </c>
      <c r="E261" s="18">
        <f>(FARMER_FIELD_HRS+A261*TEMP_HRS)-D261</f>
        <v>-2880.6108522492113</v>
      </c>
      <c r="F261" s="21">
        <f>IF(E261&lt;0,0,MIN(COUNTIF(Labor!$C$59:$C$88,"&lt;="&amp;E261),MAXBED_MES,TOTAL_BEDS-B261-C261))</f>
        <v>0</v>
      </c>
      <c r="G261" s="21">
        <f>B261+C261+F261</f>
        <v>28</v>
      </c>
      <c r="H261" s="22">
        <f>IF(E261&lt;0,-999999999,B261*(PRICE_TOM-FERT_TOM)+C261*(PRICE_CAR-FERT_CAR)+F261*(PRICE_MES-FERT_MES)-(FARMER_SALARY+A261*TEMP_COST)-FIXED_COSTS)</f>
        <v>-999999999</v>
      </c>
    </row>
    <row r="262">
      <c r="A262" s="5" t="n">
        <v>0</v>
      </c>
      <c r="B262" s="5" t="n">
        <v>11</v>
      </c>
      <c r="C262" s="5" t="n">
        <v>18</v>
      </c>
      <c r="D262" s="18">
        <f>SEASON_HRS_TOM*B262*(1+DIM_TOM)^B262+SEASON_HRS_CAR*C262*(1+DIM_CAR)^C262</f>
        <v>3666.8012466104137</v>
      </c>
      <c r="E262" s="18">
        <f>(FARMER_FIELD_HRS+A262*TEMP_HRS)-D262</f>
        <v>-2946.8012466104137</v>
      </c>
      <c r="F262" s="21">
        <f>IF(E262&lt;0,0,MIN(COUNTIF(Labor!$C$59:$C$88,"&lt;="&amp;E262),MAXBED_MES,TOTAL_BEDS-B262-C262))</f>
        <v>0</v>
      </c>
      <c r="G262" s="21">
        <f>B262+C262+F262</f>
        <v>29</v>
      </c>
      <c r="H262" s="22">
        <f>IF(E262&lt;0,-999999999,B262*(PRICE_TOM-FERT_TOM)+C262*(PRICE_CAR-FERT_CAR)+F262*(PRICE_MES-FERT_MES)-(FARMER_SALARY+A262*TEMP_COST)-FIXED_COSTS)</f>
        <v>-999999999</v>
      </c>
    </row>
    <row r="263">
      <c r="A263" s="5" t="n">
        <v>0</v>
      </c>
      <c r="B263" s="5" t="n">
        <v>11</v>
      </c>
      <c r="C263" s="5" t="n">
        <v>19</v>
      </c>
      <c r="D263" s="18">
        <f>SEASON_HRS_TOM*B263*(1+DIM_TOM)^B263+SEASON_HRS_CAR*C263*(1+DIM_CAR)^C263</f>
        <v>3735.8161448689266</v>
      </c>
      <c r="E263" s="18">
        <f>(FARMER_FIELD_HRS+A263*TEMP_HRS)-D263</f>
        <v>-3015.8161448689266</v>
      </c>
      <c r="F263" s="21">
        <f>IF(E263&lt;0,0,MIN(COUNTIF(Labor!$C$59:$C$88,"&lt;="&amp;E263),MAXBED_MES,TOTAL_BEDS-B263-C263))</f>
        <v>0</v>
      </c>
      <c r="G263" s="21">
        <f>B263+C263+F263</f>
        <v>30</v>
      </c>
      <c r="H263" s="22">
        <f>IF(E263&lt;0,-999999999,B263*(PRICE_TOM-FERT_TOM)+C263*(PRICE_CAR-FERT_CAR)+F263*(PRICE_MES-FERT_MES)-(FARMER_SALARY+A263*TEMP_COST)-FIXED_COSTS)</f>
        <v>-999999999</v>
      </c>
    </row>
    <row r="264">
      <c r="A264" s="5" t="n">
        <v>0</v>
      </c>
      <c r="B264" s="5" t="n">
        <v>11</v>
      </c>
      <c r="C264" s="5" t="n">
        <v>20</v>
      </c>
      <c r="D264" s="18">
        <f>SEASON_HRS_TOM*B264*(1+DIM_TOM)^B264+SEASON_HRS_CAR*C264*(1+DIM_CAR)^C264</f>
        <v>3807.7554032231387</v>
      </c>
      <c r="E264" s="18">
        <f>(FARMER_FIELD_HRS+A264*TEMP_HRS)-D264</f>
        <v>-3087.7554032231387</v>
      </c>
      <c r="F264" s="21">
        <f>IF(E264&lt;0,0,MIN(COUNTIF(Labor!$C$59:$C$88,"&lt;="&amp;E264),MAXBED_MES,TOTAL_BEDS-B264-C264))</f>
        <v>0</v>
      </c>
      <c r="G264" s="21">
        <f>B264+C264+F264</f>
        <v>31</v>
      </c>
      <c r="H264" s="22">
        <f>IF(E264&lt;0,-999999999,B264*(PRICE_TOM-FERT_TOM)+C264*(PRICE_CAR-FERT_CAR)+F264*(PRICE_MES-FERT_MES)-(FARMER_SALARY+A264*TEMP_COST)-FIXED_COSTS)</f>
        <v>-999999999</v>
      </c>
    </row>
    <row r="265">
      <c r="A265" s="5" t="n">
        <v>0</v>
      </c>
      <c r="B265" s="5" t="n">
        <v>12</v>
      </c>
      <c r="C265" s="5" t="n">
        <v>0</v>
      </c>
      <c r="D265" s="18">
        <f>SEASON_HRS_TOM*B265*(1+DIM_TOM)^B265+SEASON_HRS_CAR*C265*(1+DIM_CAR)^C265</f>
        <v>3389.5026468586834</v>
      </c>
      <c r="E265" s="18">
        <f>(FARMER_FIELD_HRS+A265*TEMP_HRS)-D265</f>
        <v>-2669.5026468586834</v>
      </c>
      <c r="F265" s="21">
        <f>IF(E265&lt;0,0,MIN(COUNTIF(Labor!$C$59:$C$88,"&lt;="&amp;E265),MAXBED_MES,TOTAL_BEDS-B265-C265))</f>
        <v>0</v>
      </c>
      <c r="G265" s="21">
        <f>B265+C265+F265</f>
        <v>12</v>
      </c>
      <c r="H265" s="22">
        <f>IF(E265&lt;0,-999999999,B265*(PRICE_TOM-FERT_TOM)+C265*(PRICE_CAR-FERT_CAR)+F265*(PRICE_MES-FERT_MES)-(FARMER_SALARY+A265*TEMP_COST)-FIXED_COSTS)</f>
        <v>-999999999</v>
      </c>
    </row>
    <row r="266">
      <c r="A266" s="5" t="n">
        <v>0</v>
      </c>
      <c r="B266" s="5" t="n">
        <v>12</v>
      </c>
      <c r="C266" s="5" t="n">
        <v>1</v>
      </c>
      <c r="D266" s="18">
        <f>SEASON_HRS_TOM*B266*(1+DIM_TOM)^B266+SEASON_HRS_CAR*C266*(1+DIM_CAR)^C266</f>
        <v>3420.2526468586834</v>
      </c>
      <c r="E266" s="18">
        <f>(FARMER_FIELD_HRS+A266*TEMP_HRS)-D266</f>
        <v>-2700.2526468586834</v>
      </c>
      <c r="F266" s="21">
        <f>IF(E266&lt;0,0,MIN(COUNTIF(Labor!$C$59:$C$88,"&lt;="&amp;E266),MAXBED_MES,TOTAL_BEDS-B266-C266))</f>
        <v>0</v>
      </c>
      <c r="G266" s="21">
        <f>B266+C266+F266</f>
        <v>13</v>
      </c>
      <c r="H266" s="22">
        <f>IF(E266&lt;0,-999999999,B266*(PRICE_TOM-FERT_TOM)+C266*(PRICE_CAR-FERT_CAR)+F266*(PRICE_MES-FERT_MES)-(FARMER_SALARY+A266*TEMP_COST)-FIXED_COSTS)</f>
        <v>-999999999</v>
      </c>
    </row>
    <row r="267">
      <c r="A267" s="5" t="n">
        <v>0</v>
      </c>
      <c r="B267" s="5" t="n">
        <v>12</v>
      </c>
      <c r="C267" s="5" t="n">
        <v>2</v>
      </c>
      <c r="D267" s="18">
        <f>SEASON_HRS_TOM*B267*(1+DIM_TOM)^B267+SEASON_HRS_CAR*C267*(1+DIM_CAR)^C267</f>
        <v>3452.5401468586833</v>
      </c>
      <c r="E267" s="18">
        <f>(FARMER_FIELD_HRS+A267*TEMP_HRS)-D267</f>
        <v>-2732.5401468586833</v>
      </c>
      <c r="F267" s="21">
        <f>IF(E267&lt;0,0,MIN(COUNTIF(Labor!$C$59:$C$88,"&lt;="&amp;E267),MAXBED_MES,TOTAL_BEDS-B267-C267))</f>
        <v>0</v>
      </c>
      <c r="G267" s="21">
        <f>B267+C267+F267</f>
        <v>14</v>
      </c>
      <c r="H267" s="22">
        <f>IF(E267&lt;0,-999999999,B267*(PRICE_TOM-FERT_TOM)+C267*(PRICE_CAR-FERT_CAR)+F267*(PRICE_MES-FERT_MES)-(FARMER_SALARY+A267*TEMP_COST)-FIXED_COSTS)</f>
        <v>-999999999</v>
      </c>
    </row>
    <row r="268">
      <c r="A268" s="5" t="n">
        <v>0</v>
      </c>
      <c r="B268" s="5" t="n">
        <v>12</v>
      </c>
      <c r="C268" s="5" t="n">
        <v>3</v>
      </c>
      <c r="D268" s="18">
        <f>SEASON_HRS_TOM*B268*(1+DIM_TOM)^B268+SEASON_HRS_CAR*C268*(1+DIM_CAR)^C268</f>
        <v>3486.422803108683</v>
      </c>
      <c r="E268" s="18">
        <f>(FARMER_FIELD_HRS+A268*TEMP_HRS)-D268</f>
        <v>-2766.422803108683</v>
      </c>
      <c r="F268" s="21">
        <f>IF(E268&lt;0,0,MIN(COUNTIF(Labor!$C$59:$C$88,"&lt;="&amp;E268),MAXBED_MES,TOTAL_BEDS-B268-C268))</f>
        <v>0</v>
      </c>
      <c r="G268" s="21">
        <f>B268+C268+F268</f>
        <v>15</v>
      </c>
      <c r="H268" s="22">
        <f>IF(E268&lt;0,-999999999,B268*(PRICE_TOM-FERT_TOM)+C268*(PRICE_CAR-FERT_CAR)+F268*(PRICE_MES-FERT_MES)-(FARMER_SALARY+A268*TEMP_COST)-FIXED_COSTS)</f>
        <v>-999999999</v>
      </c>
    </row>
    <row r="269">
      <c r="A269" s="5" t="n">
        <v>0</v>
      </c>
      <c r="B269" s="5" t="n">
        <v>12</v>
      </c>
      <c r="C269" s="5" t="n">
        <v>4</v>
      </c>
      <c r="D269" s="18">
        <f>SEASON_HRS_TOM*B269*(1+DIM_TOM)^B269+SEASON_HRS_CAR*C269*(1+DIM_CAR)^C269</f>
        <v>3521.9601937336834</v>
      </c>
      <c r="E269" s="18">
        <f>(FARMER_FIELD_HRS+A269*TEMP_HRS)-D269</f>
        <v>-2801.9601937336834</v>
      </c>
      <c r="F269" s="21">
        <f>IF(E269&lt;0,0,MIN(COUNTIF(Labor!$C$59:$C$88,"&lt;="&amp;E269),MAXBED_MES,TOTAL_BEDS-B269-C269))</f>
        <v>0</v>
      </c>
      <c r="G269" s="21">
        <f>B269+C269+F269</f>
        <v>16</v>
      </c>
      <c r="H269" s="22">
        <f>IF(E269&lt;0,-999999999,B269*(PRICE_TOM-FERT_TOM)+C269*(PRICE_CAR-FERT_CAR)+F269*(PRICE_MES-FERT_MES)-(FARMER_SALARY+A269*TEMP_COST)-FIXED_COSTS)</f>
        <v>-999999999</v>
      </c>
    </row>
    <row r="270">
      <c r="A270" s="5" t="n">
        <v>0</v>
      </c>
      <c r="B270" s="5" t="n">
        <v>12</v>
      </c>
      <c r="C270" s="5" t="n">
        <v>5</v>
      </c>
      <c r="D270" s="18">
        <f>SEASON_HRS_TOM*B270*(1+DIM_TOM)^B270+SEASON_HRS_CAR*C270*(1+DIM_CAR)^C270</f>
        <v>3559.2138787922772</v>
      </c>
      <c r="E270" s="18">
        <f>(FARMER_FIELD_HRS+A270*TEMP_HRS)-D270</f>
        <v>-2839.2138787922772</v>
      </c>
      <c r="F270" s="21">
        <f>IF(E270&lt;0,0,MIN(COUNTIF(Labor!$C$59:$C$88,"&lt;="&amp;E270),MAXBED_MES,TOTAL_BEDS-B270-C270))</f>
        <v>0</v>
      </c>
      <c r="G270" s="21">
        <f>B270+C270+F270</f>
        <v>17</v>
      </c>
      <c r="H270" s="22">
        <f>IF(E270&lt;0,-999999999,B270*(PRICE_TOM-FERT_TOM)+C270*(PRICE_CAR-FERT_CAR)+F270*(PRICE_MES-FERT_MES)-(FARMER_SALARY+A270*TEMP_COST)-FIXED_COSTS)</f>
        <v>-999999999</v>
      </c>
    </row>
    <row r="271">
      <c r="A271" s="5" t="n">
        <v>0</v>
      </c>
      <c r="B271" s="5" t="n">
        <v>12</v>
      </c>
      <c r="C271" s="5" t="n">
        <v>6</v>
      </c>
      <c r="D271" s="18">
        <f>SEASON_HRS_TOM*B271*(1+DIM_TOM)^B271+SEASON_HRS_CAR*C271*(1+DIM_CAR)^C271</f>
        <v>3598.247462137004</v>
      </c>
      <c r="E271" s="18">
        <f>(FARMER_FIELD_HRS+A271*TEMP_HRS)-D271</f>
        <v>-2878.247462137004</v>
      </c>
      <c r="F271" s="21">
        <f>IF(E271&lt;0,0,MIN(COUNTIF(Labor!$C$59:$C$88,"&lt;="&amp;E271),MAXBED_MES,TOTAL_BEDS-B271-C271))</f>
        <v>0</v>
      </c>
      <c r="G271" s="21">
        <f>B271+C271+F271</f>
        <v>18</v>
      </c>
      <c r="H271" s="22">
        <f>IF(E271&lt;0,-999999999,B271*(PRICE_TOM-FERT_TOM)+C271*(PRICE_CAR-FERT_CAR)+F271*(PRICE_MES-FERT_MES)-(FARMER_SALARY+A271*TEMP_COST)-FIXED_COSTS)</f>
        <v>-999999999</v>
      </c>
    </row>
    <row r="272">
      <c r="A272" s="5" t="n">
        <v>0</v>
      </c>
      <c r="B272" s="5" t="n">
        <v>12</v>
      </c>
      <c r="C272" s="5" t="n">
        <v>7</v>
      </c>
      <c r="D272" s="18">
        <f>SEASON_HRS_TOM*B272*(1+DIM_TOM)^B272+SEASON_HRS_CAR*C272*(1+DIM_CAR)^C272</f>
        <v>3639.126655129008</v>
      </c>
      <c r="E272" s="18">
        <f>(FARMER_FIELD_HRS+A272*TEMP_HRS)-D272</f>
        <v>-2919.126655129008</v>
      </c>
      <c r="F272" s="21">
        <f>IF(E272&lt;0,0,MIN(COUNTIF(Labor!$C$59:$C$88,"&lt;="&amp;E272),MAXBED_MES,TOTAL_BEDS-B272-C272))</f>
        <v>0</v>
      </c>
      <c r="G272" s="21">
        <f>B272+C272+F272</f>
        <v>19</v>
      </c>
      <c r="H272" s="22">
        <f>IF(E272&lt;0,-999999999,B272*(PRICE_TOM-FERT_TOM)+C272*(PRICE_CAR-FERT_CAR)+F272*(PRICE_MES-FERT_MES)-(FARMER_SALARY+A272*TEMP_COST)-FIXED_COSTS)</f>
        <v>-999999999</v>
      </c>
    </row>
    <row r="273">
      <c r="A273" s="5" t="n">
        <v>0</v>
      </c>
      <c r="B273" s="5" t="n">
        <v>12</v>
      </c>
      <c r="C273" s="5" t="n">
        <v>8</v>
      </c>
      <c r="D273" s="18">
        <f>SEASON_HRS_TOM*B273*(1+DIM_TOM)^B273+SEASON_HRS_CAR*C273*(1+DIM_CAR)^C273</f>
        <v>3681.9193422610633</v>
      </c>
      <c r="E273" s="18">
        <f>(FARMER_FIELD_HRS+A273*TEMP_HRS)-D273</f>
        <v>-2961.9193422610633</v>
      </c>
      <c r="F273" s="21">
        <f>IF(E273&lt;0,0,MIN(COUNTIF(Labor!$C$59:$C$88,"&lt;="&amp;E273),MAXBED_MES,TOTAL_BEDS-B273-C273))</f>
        <v>0</v>
      </c>
      <c r="G273" s="21">
        <f>B273+C273+F273</f>
        <v>20</v>
      </c>
      <c r="H273" s="22">
        <f>IF(E273&lt;0,-999999999,B273*(PRICE_TOM-FERT_TOM)+C273*(PRICE_CAR-FERT_CAR)+F273*(PRICE_MES-FERT_MES)-(FARMER_SALARY+A273*TEMP_COST)-FIXED_COSTS)</f>
        <v>-999999999</v>
      </c>
    </row>
    <row r="274">
      <c r="A274" s="5" t="n">
        <v>0</v>
      </c>
      <c r="B274" s="5" t="n">
        <v>12</v>
      </c>
      <c r="C274" s="5" t="n">
        <v>9</v>
      </c>
      <c r="D274" s="18">
        <f>SEASON_HRS_TOM*B274*(1+DIM_TOM)^B274+SEASON_HRS_CAR*C274*(1+DIM_CAR)^C274</f>
        <v>3726.695648744553</v>
      </c>
      <c r="E274" s="18">
        <f>(FARMER_FIELD_HRS+A274*TEMP_HRS)-D274</f>
        <v>-3006.695648744553</v>
      </c>
      <c r="F274" s="21">
        <f>IF(E274&lt;0,0,MIN(COUNTIF(Labor!$C$59:$C$88,"&lt;="&amp;E274),MAXBED_MES,TOTAL_BEDS-B274-C274))</f>
        <v>0</v>
      </c>
      <c r="G274" s="21">
        <f>B274+C274+F274</f>
        <v>21</v>
      </c>
      <c r="H274" s="22">
        <f>IF(E274&lt;0,-999999999,B274*(PRICE_TOM-FERT_TOM)+C274*(PRICE_CAR-FERT_CAR)+F274*(PRICE_MES-FERT_MES)-(FARMER_SALARY+A274*TEMP_COST)-FIXED_COSTS)</f>
        <v>-999999999</v>
      </c>
    </row>
    <row r="275">
      <c r="A275" s="5" t="n">
        <v>0</v>
      </c>
      <c r="B275" s="5" t="n">
        <v>12</v>
      </c>
      <c r="C275" s="5" t="n">
        <v>10</v>
      </c>
      <c r="D275" s="18">
        <f>SEASON_HRS_TOM*B275*(1+DIM_TOM)^B275+SEASON_HRS_CAR*C275*(1+DIM_CAR)^C275</f>
        <v>3773.5280101175904</v>
      </c>
      <c r="E275" s="18">
        <f>(FARMER_FIELD_HRS+A275*TEMP_HRS)-D275</f>
        <v>-3053.5280101175904</v>
      </c>
      <c r="F275" s="21">
        <f>IF(E275&lt;0,0,MIN(COUNTIF(Labor!$C$59:$C$88,"&lt;="&amp;E275),MAXBED_MES,TOTAL_BEDS-B275-C275))</f>
        <v>0</v>
      </c>
      <c r="G275" s="21">
        <f>B275+C275+F275</f>
        <v>22</v>
      </c>
      <c r="H275" s="22">
        <f>IF(E275&lt;0,-999999999,B275*(PRICE_TOM-FERT_TOM)+C275*(PRICE_CAR-FERT_CAR)+F275*(PRICE_MES-FERT_MES)-(FARMER_SALARY+A275*TEMP_COST)-FIXED_COSTS)</f>
        <v>-999999999</v>
      </c>
    </row>
    <row r="276">
      <c r="A276" s="5" t="n">
        <v>0</v>
      </c>
      <c r="B276" s="5" t="n">
        <v>12</v>
      </c>
      <c r="C276" s="5" t="n">
        <v>11</v>
      </c>
      <c r="D276" s="18">
        <f>SEASON_HRS_TOM*B276*(1+DIM_TOM)^B276+SEASON_HRS_CAR*C276*(1+DIM_CAR)^C276</f>
        <v>3822.491243933101</v>
      </c>
      <c r="E276" s="18">
        <f>(FARMER_FIELD_HRS+A276*TEMP_HRS)-D276</f>
        <v>-3102.491243933101</v>
      </c>
      <c r="F276" s="21">
        <f>IF(E276&lt;0,0,MIN(COUNTIF(Labor!$C$59:$C$88,"&lt;="&amp;E276),MAXBED_MES,TOTAL_BEDS-B276-C276))</f>
        <v>0</v>
      </c>
      <c r="G276" s="21">
        <f>B276+C276+F276</f>
        <v>23</v>
      </c>
      <c r="H276" s="22">
        <f>IF(E276&lt;0,-999999999,B276*(PRICE_TOM-FERT_TOM)+C276*(PRICE_CAR-FERT_CAR)+F276*(PRICE_MES-FERT_MES)-(FARMER_SALARY+A276*TEMP_COST)-FIXED_COSTS)</f>
        <v>-999999999</v>
      </c>
    </row>
    <row r="277">
      <c r="A277" s="5" t="n">
        <v>0</v>
      </c>
      <c r="B277" s="5" t="n">
        <v>12</v>
      </c>
      <c r="C277" s="5" t="n">
        <v>12</v>
      </c>
      <c r="D277" s="18">
        <f>SEASON_HRS_TOM*B277*(1+DIM_TOM)^B277+SEASON_HRS_CAR*C277*(1+DIM_CAR)^C277</f>
        <v>3873.6626235873505</v>
      </c>
      <c r="E277" s="18">
        <f>(FARMER_FIELD_HRS+A277*TEMP_HRS)-D277</f>
        <v>-3153.6626235873505</v>
      </c>
      <c r="F277" s="21">
        <f>IF(E277&lt;0,0,MIN(COUNTIF(Labor!$C$59:$C$88,"&lt;="&amp;E277),MAXBED_MES,TOTAL_BEDS-B277-C277))</f>
        <v>0</v>
      </c>
      <c r="G277" s="21">
        <f>B277+C277+F277</f>
        <v>24</v>
      </c>
      <c r="H277" s="22">
        <f>IF(E277&lt;0,-999999999,B277*(PRICE_TOM-FERT_TOM)+C277*(PRICE_CAR-FERT_CAR)+F277*(PRICE_MES-FERT_MES)-(FARMER_SALARY+A277*TEMP_COST)-FIXED_COSTS)</f>
        <v>-999999999</v>
      </c>
    </row>
    <row r="278">
      <c r="A278" s="5" t="n">
        <v>0</v>
      </c>
      <c r="B278" s="5" t="n">
        <v>12</v>
      </c>
      <c r="C278" s="5" t="n">
        <v>13</v>
      </c>
      <c r="D278" s="18">
        <f>SEASON_HRS_TOM*B278*(1+DIM_TOM)^B278+SEASON_HRS_CAR*C278*(1+DIM_CAR)^C278</f>
        <v>3927.1219543511406</v>
      </c>
      <c r="E278" s="18">
        <f>(FARMER_FIELD_HRS+A278*TEMP_HRS)-D278</f>
        <v>-3207.1219543511406</v>
      </c>
      <c r="F278" s="21">
        <f>IF(E278&lt;0,0,MIN(COUNTIF(Labor!$C$59:$C$88,"&lt;="&amp;E278),MAXBED_MES,TOTAL_BEDS-B278-C278))</f>
        <v>0</v>
      </c>
      <c r="G278" s="21">
        <f>B278+C278+F278</f>
        <v>25</v>
      </c>
      <c r="H278" s="22">
        <f>IF(E278&lt;0,-999999999,B278*(PRICE_TOM-FERT_TOM)+C278*(PRICE_CAR-FERT_CAR)+F278*(PRICE_MES-FERT_MES)-(FARMER_SALARY+A278*TEMP_COST)-FIXED_COSTS)</f>
        <v>-999999999</v>
      </c>
    </row>
    <row r="279">
      <c r="A279" s="5" t="n">
        <v>0</v>
      </c>
      <c r="B279" s="5" t="n">
        <v>12</v>
      </c>
      <c r="C279" s="5" t="n">
        <v>14</v>
      </c>
      <c r="D279" s="18">
        <f>SEASON_HRS_TOM*B279*(1+DIM_TOM)^B279+SEASON_HRS_CAR*C279*(1+DIM_CAR)^C279</f>
        <v>3982.951651667665</v>
      </c>
      <c r="E279" s="18">
        <f>(FARMER_FIELD_HRS+A279*TEMP_HRS)-D279</f>
        <v>-3262.951651667665</v>
      </c>
      <c r="F279" s="21">
        <f>IF(E279&lt;0,0,MIN(COUNTIF(Labor!$C$59:$C$88,"&lt;="&amp;E279),MAXBED_MES,TOTAL_BEDS-B279-C279))</f>
        <v>0</v>
      </c>
      <c r="G279" s="21">
        <f>B279+C279+F279</f>
        <v>26</v>
      </c>
      <c r="H279" s="22">
        <f>IF(E279&lt;0,-999999999,B279*(PRICE_TOM-FERT_TOM)+C279*(PRICE_CAR-FERT_CAR)+F279*(PRICE_MES-FERT_MES)-(FARMER_SALARY+A279*TEMP_COST)-FIXED_COSTS)</f>
        <v>-999999999</v>
      </c>
    </row>
    <row r="280">
      <c r="A280" s="5" t="n">
        <v>0</v>
      </c>
      <c r="B280" s="5" t="n">
        <v>12</v>
      </c>
      <c r="C280" s="5" t="n">
        <v>15</v>
      </c>
      <c r="D280" s="18">
        <f>SEASON_HRS_TOM*B280*(1+DIM_TOM)^B280+SEASON_HRS_CAR*C280*(1+DIM_CAR)^C280</f>
        <v>4041.2368217828325</v>
      </c>
      <c r="E280" s="18">
        <f>(FARMER_FIELD_HRS+A280*TEMP_HRS)-D280</f>
        <v>-3321.2368217828325</v>
      </c>
      <c r="F280" s="21">
        <f>IF(E280&lt;0,0,MIN(COUNTIF(Labor!$C$59:$C$88,"&lt;="&amp;E280),MAXBED_MES,TOTAL_BEDS-B280-C280))</f>
        <v>0</v>
      </c>
      <c r="G280" s="21">
        <f>B280+C280+F280</f>
        <v>27</v>
      </c>
      <c r="H280" s="22">
        <f>IF(E280&lt;0,-999999999,B280*(PRICE_TOM-FERT_TOM)+C280*(PRICE_CAR-FERT_CAR)+F280*(PRICE_MES-FERT_MES)-(FARMER_SALARY+A280*TEMP_COST)-FIXED_COSTS)</f>
        <v>-999999999</v>
      </c>
    </row>
    <row r="281">
      <c r="A281" s="5" t="n">
        <v>0</v>
      </c>
      <c r="B281" s="5" t="n">
        <v>12</v>
      </c>
      <c r="C281" s="5" t="n">
        <v>16</v>
      </c>
      <c r="D281" s="18">
        <f>SEASON_HRS_TOM*B281*(1+DIM_TOM)^B281+SEASON_HRS_CAR*C281*(1+DIM_CAR)^C281</f>
        <v>4102.065344775753</v>
      </c>
      <c r="E281" s="18">
        <f>(FARMER_FIELD_HRS+A281*TEMP_HRS)-D281</f>
        <v>-3382.065344775753</v>
      </c>
      <c r="F281" s="21">
        <f>IF(E281&lt;0,0,MIN(COUNTIF(Labor!$C$59:$C$88,"&lt;="&amp;E281),MAXBED_MES,TOTAL_BEDS-B281-C281))</f>
        <v>0</v>
      </c>
      <c r="G281" s="21">
        <f>B281+C281+F281</f>
        <v>28</v>
      </c>
      <c r="H281" s="22">
        <f>IF(E281&lt;0,-999999999,B281*(PRICE_TOM-FERT_TOM)+C281*(PRICE_CAR-FERT_CAR)+F281*(PRICE_MES-FERT_MES)-(FARMER_SALARY+A281*TEMP_COST)-FIXED_COSTS)</f>
        <v>-999999999</v>
      </c>
    </row>
    <row r="282">
      <c r="A282" s="5" t="n">
        <v>0</v>
      </c>
      <c r="B282" s="5" t="n">
        <v>12</v>
      </c>
      <c r="C282" s="5" t="n">
        <v>17</v>
      </c>
      <c r="D282" s="18">
        <f>SEASON_HRS_TOM*B282*(1+DIM_TOM)^B282+SEASON_HRS_CAR*C282*(1+DIM_CAR)^C282</f>
        <v>4165.527960058992</v>
      </c>
      <c r="E282" s="18">
        <f>(FARMER_FIELD_HRS+A282*TEMP_HRS)-D282</f>
        <v>-3445.527960058992</v>
      </c>
      <c r="F282" s="21">
        <f>IF(E282&lt;0,0,MIN(COUNTIF(Labor!$C$59:$C$88,"&lt;="&amp;E282),MAXBED_MES,TOTAL_BEDS-B282-C282))</f>
        <v>0</v>
      </c>
      <c r="G282" s="21">
        <f>B282+C282+F282</f>
        <v>29</v>
      </c>
      <c r="H282" s="22">
        <f>IF(E282&lt;0,-999999999,B282*(PRICE_TOM-FERT_TOM)+C282*(PRICE_CAR-FERT_CAR)+F282*(PRICE_MES-FERT_MES)-(FARMER_SALARY+A282*TEMP_COST)-FIXED_COSTS)</f>
        <v>-999999999</v>
      </c>
    </row>
    <row r="283">
      <c r="A283" s="5" t="n">
        <v>0</v>
      </c>
      <c r="B283" s="5" t="n">
        <v>12</v>
      </c>
      <c r="C283" s="5" t="n">
        <v>18</v>
      </c>
      <c r="D283" s="18">
        <f>SEASON_HRS_TOM*B283*(1+DIM_TOM)^B283+SEASON_HRS_CAR*C283*(1+DIM_CAR)^C283</f>
        <v>4231.718354420195</v>
      </c>
      <c r="E283" s="18">
        <f>(FARMER_FIELD_HRS+A283*TEMP_HRS)-D283</f>
        <v>-3511.7183544201953</v>
      </c>
      <c r="F283" s="21">
        <f>IF(E283&lt;0,0,MIN(COUNTIF(Labor!$C$59:$C$88,"&lt;="&amp;E283),MAXBED_MES,TOTAL_BEDS-B283-C283))</f>
        <v>0</v>
      </c>
      <c r="G283" s="21">
        <f>B283+C283+F283</f>
        <v>30</v>
      </c>
      <c r="H283" s="22">
        <f>IF(E283&lt;0,-999999999,B283*(PRICE_TOM-FERT_TOM)+C283*(PRICE_CAR-FERT_CAR)+F283*(PRICE_MES-FERT_MES)-(FARMER_SALARY+A283*TEMP_COST)-FIXED_COSTS)</f>
        <v>-999999999</v>
      </c>
    </row>
    <row r="284">
      <c r="A284" s="5" t="n">
        <v>0</v>
      </c>
      <c r="B284" s="5" t="n">
        <v>12</v>
      </c>
      <c r="C284" s="5" t="n">
        <v>19</v>
      </c>
      <c r="D284" s="18">
        <f>SEASON_HRS_TOM*B284*(1+DIM_TOM)^B284+SEASON_HRS_CAR*C284*(1+DIM_CAR)^C284</f>
        <v>4300.733252678708</v>
      </c>
      <c r="E284" s="18">
        <f>(FARMER_FIELD_HRS+A284*TEMP_HRS)-D284</f>
        <v>-3580.7332526787077</v>
      </c>
      <c r="F284" s="21">
        <f>IF(E284&lt;0,0,MIN(COUNTIF(Labor!$C$59:$C$88,"&lt;="&amp;E284),MAXBED_MES,TOTAL_BEDS-B284-C284))</f>
        <v>0</v>
      </c>
      <c r="G284" s="21">
        <f>B284+C284+F284</f>
        <v>31</v>
      </c>
      <c r="H284" s="22">
        <f>IF(E284&lt;0,-999999999,B284*(PRICE_TOM-FERT_TOM)+C284*(PRICE_CAR-FERT_CAR)+F284*(PRICE_MES-FERT_MES)-(FARMER_SALARY+A284*TEMP_COST)-FIXED_COSTS)</f>
        <v>-999999999</v>
      </c>
    </row>
    <row r="285">
      <c r="A285" s="5" t="n">
        <v>0</v>
      </c>
      <c r="B285" s="5" t="n">
        <v>12</v>
      </c>
      <c r="C285" s="5" t="n">
        <v>20</v>
      </c>
      <c r="D285" s="18">
        <f>SEASON_HRS_TOM*B285*(1+DIM_TOM)^B285+SEASON_HRS_CAR*C285*(1+DIM_CAR)^C285</f>
        <v>4372.67251103292</v>
      </c>
      <c r="E285" s="18">
        <f>(FARMER_FIELD_HRS+A285*TEMP_HRS)-D285</f>
        <v>-3652.67251103292</v>
      </c>
      <c r="F285" s="21">
        <f>IF(E285&lt;0,0,MIN(COUNTIF(Labor!$C$59:$C$88,"&lt;="&amp;E285),MAXBED_MES,TOTAL_BEDS-B285-C285))</f>
        <v>0</v>
      </c>
      <c r="G285" s="21">
        <f>B285+C285+F285</f>
        <v>32</v>
      </c>
      <c r="H285" s="22">
        <f>IF(E285&lt;0,-999999999,B285*(PRICE_TOM-FERT_TOM)+C285*(PRICE_CAR-FERT_CAR)+F285*(PRICE_MES-FERT_MES)-(FARMER_SALARY+A285*TEMP_COST)-FIXED_COSTS)</f>
        <v>-999999999</v>
      </c>
    </row>
    <row r="286">
      <c r="A286" s="5" t="n">
        <v>0</v>
      </c>
      <c r="B286" s="5" t="n">
        <v>13</v>
      </c>
      <c r="C286" s="5" t="n">
        <v>0</v>
      </c>
      <c r="D286" s="18">
        <f>SEASON_HRS_TOM*B286*(1+DIM_TOM)^B286+SEASON_HRS_CAR*C286*(1+DIM_CAR)^C286</f>
        <v>4039.1573208399313</v>
      </c>
      <c r="E286" s="18">
        <f>(FARMER_FIELD_HRS+A286*TEMP_HRS)-D286</f>
        <v>-3319.1573208399313</v>
      </c>
      <c r="F286" s="21">
        <f>IF(E286&lt;0,0,MIN(COUNTIF(Labor!$C$59:$C$88,"&lt;="&amp;E286),MAXBED_MES,TOTAL_BEDS-B286-C286))</f>
        <v>0</v>
      </c>
      <c r="G286" s="21">
        <f>B286+C286+F286</f>
        <v>13</v>
      </c>
      <c r="H286" s="22">
        <f>IF(E286&lt;0,-999999999,B286*(PRICE_TOM-FERT_TOM)+C286*(PRICE_CAR-FERT_CAR)+F286*(PRICE_MES-FERT_MES)-(FARMER_SALARY+A286*TEMP_COST)-FIXED_COSTS)</f>
        <v>-999999999</v>
      </c>
    </row>
    <row r="287">
      <c r="A287" s="5" t="n">
        <v>0</v>
      </c>
      <c r="B287" s="5" t="n">
        <v>13</v>
      </c>
      <c r="C287" s="5" t="n">
        <v>1</v>
      </c>
      <c r="D287" s="18">
        <f>SEASON_HRS_TOM*B287*(1+DIM_TOM)^B287+SEASON_HRS_CAR*C287*(1+DIM_CAR)^C287</f>
        <v>4069.9073208399313</v>
      </c>
      <c r="E287" s="18">
        <f>(FARMER_FIELD_HRS+A287*TEMP_HRS)-D287</f>
        <v>-3349.9073208399313</v>
      </c>
      <c r="F287" s="21">
        <f>IF(E287&lt;0,0,MIN(COUNTIF(Labor!$C$59:$C$88,"&lt;="&amp;E287),MAXBED_MES,TOTAL_BEDS-B287-C287))</f>
        <v>0</v>
      </c>
      <c r="G287" s="21">
        <f>B287+C287+F287</f>
        <v>14</v>
      </c>
      <c r="H287" s="22">
        <f>IF(E287&lt;0,-999999999,B287*(PRICE_TOM-FERT_TOM)+C287*(PRICE_CAR-FERT_CAR)+F287*(PRICE_MES-FERT_MES)-(FARMER_SALARY+A287*TEMP_COST)-FIXED_COSTS)</f>
        <v>-999999999</v>
      </c>
    </row>
    <row r="288">
      <c r="A288" s="5" t="n">
        <v>0</v>
      </c>
      <c r="B288" s="5" t="n">
        <v>13</v>
      </c>
      <c r="C288" s="5" t="n">
        <v>2</v>
      </c>
      <c r="D288" s="18">
        <f>SEASON_HRS_TOM*B288*(1+DIM_TOM)^B288+SEASON_HRS_CAR*C288*(1+DIM_CAR)^C288</f>
        <v>4102.194820839932</v>
      </c>
      <c r="E288" s="18">
        <f>(FARMER_FIELD_HRS+A288*TEMP_HRS)-D288</f>
        <v>-3382.1948208399317</v>
      </c>
      <c r="F288" s="21">
        <f>IF(E288&lt;0,0,MIN(COUNTIF(Labor!$C$59:$C$88,"&lt;="&amp;E288),MAXBED_MES,TOTAL_BEDS-B288-C288))</f>
        <v>0</v>
      </c>
      <c r="G288" s="21">
        <f>B288+C288+F288</f>
        <v>15</v>
      </c>
      <c r="H288" s="22">
        <f>IF(E288&lt;0,-999999999,B288*(PRICE_TOM-FERT_TOM)+C288*(PRICE_CAR-FERT_CAR)+F288*(PRICE_MES-FERT_MES)-(FARMER_SALARY+A288*TEMP_COST)-FIXED_COSTS)</f>
        <v>-999999999</v>
      </c>
    </row>
    <row r="289">
      <c r="A289" s="5" t="n">
        <v>0</v>
      </c>
      <c r="B289" s="5" t="n">
        <v>13</v>
      </c>
      <c r="C289" s="5" t="n">
        <v>3</v>
      </c>
      <c r="D289" s="18">
        <f>SEASON_HRS_TOM*B289*(1+DIM_TOM)^B289+SEASON_HRS_CAR*C289*(1+DIM_CAR)^C289</f>
        <v>4136.077477089932</v>
      </c>
      <c r="E289" s="18">
        <f>(FARMER_FIELD_HRS+A289*TEMP_HRS)-D289</f>
        <v>-3416.0774770899316</v>
      </c>
      <c r="F289" s="21">
        <f>IF(E289&lt;0,0,MIN(COUNTIF(Labor!$C$59:$C$88,"&lt;="&amp;E289),MAXBED_MES,TOTAL_BEDS-B289-C289))</f>
        <v>0</v>
      </c>
      <c r="G289" s="21">
        <f>B289+C289+F289</f>
        <v>16</v>
      </c>
      <c r="H289" s="22">
        <f>IF(E289&lt;0,-999999999,B289*(PRICE_TOM-FERT_TOM)+C289*(PRICE_CAR-FERT_CAR)+F289*(PRICE_MES-FERT_MES)-(FARMER_SALARY+A289*TEMP_COST)-FIXED_COSTS)</f>
        <v>-999999999</v>
      </c>
    </row>
    <row r="290">
      <c r="A290" s="5" t="n">
        <v>0</v>
      </c>
      <c r="B290" s="5" t="n">
        <v>13</v>
      </c>
      <c r="C290" s="5" t="n">
        <v>4</v>
      </c>
      <c r="D290" s="18">
        <f>SEASON_HRS_TOM*B290*(1+DIM_TOM)^B290+SEASON_HRS_CAR*C290*(1+DIM_CAR)^C290</f>
        <v>4171.614867714931</v>
      </c>
      <c r="E290" s="18">
        <f>(FARMER_FIELD_HRS+A290*TEMP_HRS)-D290</f>
        <v>-3451.6148677149313</v>
      </c>
      <c r="F290" s="21">
        <f>IF(E290&lt;0,0,MIN(COUNTIF(Labor!$C$59:$C$88,"&lt;="&amp;E290),MAXBED_MES,TOTAL_BEDS-B290-C290))</f>
        <v>0</v>
      </c>
      <c r="G290" s="21">
        <f>B290+C290+F290</f>
        <v>17</v>
      </c>
      <c r="H290" s="22">
        <f>IF(E290&lt;0,-999999999,B290*(PRICE_TOM-FERT_TOM)+C290*(PRICE_CAR-FERT_CAR)+F290*(PRICE_MES-FERT_MES)-(FARMER_SALARY+A290*TEMP_COST)-FIXED_COSTS)</f>
        <v>-999999999</v>
      </c>
    </row>
    <row r="291">
      <c r="A291" s="5" t="n">
        <v>0</v>
      </c>
      <c r="B291" s="5" t="n">
        <v>13</v>
      </c>
      <c r="C291" s="5" t="n">
        <v>5</v>
      </c>
      <c r="D291" s="18">
        <f>SEASON_HRS_TOM*B291*(1+DIM_TOM)^B291+SEASON_HRS_CAR*C291*(1+DIM_CAR)^C291</f>
        <v>4208.868552773525</v>
      </c>
      <c r="E291" s="18">
        <f>(FARMER_FIELD_HRS+A291*TEMP_HRS)-D291</f>
        <v>-3488.868552773525</v>
      </c>
      <c r="F291" s="21">
        <f>IF(E291&lt;0,0,MIN(COUNTIF(Labor!$C$59:$C$88,"&lt;="&amp;E291),MAXBED_MES,TOTAL_BEDS-B291-C291))</f>
        <v>0</v>
      </c>
      <c r="G291" s="21">
        <f>B291+C291+F291</f>
        <v>18</v>
      </c>
      <c r="H291" s="22">
        <f>IF(E291&lt;0,-999999999,B291*(PRICE_TOM-FERT_TOM)+C291*(PRICE_CAR-FERT_CAR)+F291*(PRICE_MES-FERT_MES)-(FARMER_SALARY+A291*TEMP_COST)-FIXED_COSTS)</f>
        <v>-999999999</v>
      </c>
    </row>
    <row r="292">
      <c r="A292" s="5" t="n">
        <v>0</v>
      </c>
      <c r="B292" s="5" t="n">
        <v>13</v>
      </c>
      <c r="C292" s="5" t="n">
        <v>6</v>
      </c>
      <c r="D292" s="18">
        <f>SEASON_HRS_TOM*B292*(1+DIM_TOM)^B292+SEASON_HRS_CAR*C292*(1+DIM_CAR)^C292</f>
        <v>4247.902136118251</v>
      </c>
      <c r="E292" s="18">
        <f>(FARMER_FIELD_HRS+A292*TEMP_HRS)-D292</f>
        <v>-3527.9021361182513</v>
      </c>
      <c r="F292" s="21">
        <f>IF(E292&lt;0,0,MIN(COUNTIF(Labor!$C$59:$C$88,"&lt;="&amp;E292),MAXBED_MES,TOTAL_BEDS-B292-C292))</f>
        <v>0</v>
      </c>
      <c r="G292" s="21">
        <f>B292+C292+F292</f>
        <v>19</v>
      </c>
      <c r="H292" s="22">
        <f>IF(E292&lt;0,-999999999,B292*(PRICE_TOM-FERT_TOM)+C292*(PRICE_CAR-FERT_CAR)+F292*(PRICE_MES-FERT_MES)-(FARMER_SALARY+A292*TEMP_COST)-FIXED_COSTS)</f>
        <v>-999999999</v>
      </c>
    </row>
    <row r="293">
      <c r="A293" s="5" t="n">
        <v>0</v>
      </c>
      <c r="B293" s="5" t="n">
        <v>13</v>
      </c>
      <c r="C293" s="5" t="n">
        <v>7</v>
      </c>
      <c r="D293" s="18">
        <f>SEASON_HRS_TOM*B293*(1+DIM_TOM)^B293+SEASON_HRS_CAR*C293*(1+DIM_CAR)^C293</f>
        <v>4288.781329110256</v>
      </c>
      <c r="E293" s="18">
        <f>(FARMER_FIELD_HRS+A293*TEMP_HRS)-D293</f>
        <v>-3568.7813291102557</v>
      </c>
      <c r="F293" s="21">
        <f>IF(E293&lt;0,0,MIN(COUNTIF(Labor!$C$59:$C$88,"&lt;="&amp;E293),MAXBED_MES,TOTAL_BEDS-B293-C293))</f>
        <v>0</v>
      </c>
      <c r="G293" s="21">
        <f>B293+C293+F293</f>
        <v>20</v>
      </c>
      <c r="H293" s="22">
        <f>IF(E293&lt;0,-999999999,B293*(PRICE_TOM-FERT_TOM)+C293*(PRICE_CAR-FERT_CAR)+F293*(PRICE_MES-FERT_MES)-(FARMER_SALARY+A293*TEMP_COST)-FIXED_COSTS)</f>
        <v>-999999999</v>
      </c>
    </row>
    <row r="294">
      <c r="A294" s="5" t="n">
        <v>0</v>
      </c>
      <c r="B294" s="5" t="n">
        <v>13</v>
      </c>
      <c r="C294" s="5" t="n">
        <v>8</v>
      </c>
      <c r="D294" s="18">
        <f>SEASON_HRS_TOM*B294*(1+DIM_TOM)^B294+SEASON_HRS_CAR*C294*(1+DIM_CAR)^C294</f>
        <v>4331.574016242312</v>
      </c>
      <c r="E294" s="18">
        <f>(FARMER_FIELD_HRS+A294*TEMP_HRS)-D294</f>
        <v>-3611.5740162423117</v>
      </c>
      <c r="F294" s="21">
        <f>IF(E294&lt;0,0,MIN(COUNTIF(Labor!$C$59:$C$88,"&lt;="&amp;E294),MAXBED_MES,TOTAL_BEDS-B294-C294))</f>
        <v>0</v>
      </c>
      <c r="G294" s="21">
        <f>B294+C294+F294</f>
        <v>21</v>
      </c>
      <c r="H294" s="22">
        <f>IF(E294&lt;0,-999999999,B294*(PRICE_TOM-FERT_TOM)+C294*(PRICE_CAR-FERT_CAR)+F294*(PRICE_MES-FERT_MES)-(FARMER_SALARY+A294*TEMP_COST)-FIXED_COSTS)</f>
        <v>-999999999</v>
      </c>
    </row>
    <row r="295">
      <c r="A295" s="5" t="n">
        <v>0</v>
      </c>
      <c r="B295" s="5" t="n">
        <v>13</v>
      </c>
      <c r="C295" s="5" t="n">
        <v>9</v>
      </c>
      <c r="D295" s="18">
        <f>SEASON_HRS_TOM*B295*(1+DIM_TOM)^B295+SEASON_HRS_CAR*C295*(1+DIM_CAR)^C295</f>
        <v>4376.350322725801</v>
      </c>
      <c r="E295" s="18">
        <f>(FARMER_FIELD_HRS+A295*TEMP_HRS)-D295</f>
        <v>-3656.3503227258007</v>
      </c>
      <c r="F295" s="21">
        <f>IF(E295&lt;0,0,MIN(COUNTIF(Labor!$C$59:$C$88,"&lt;="&amp;E295),MAXBED_MES,TOTAL_BEDS-B295-C295))</f>
        <v>0</v>
      </c>
      <c r="G295" s="21">
        <f>B295+C295+F295</f>
        <v>22</v>
      </c>
      <c r="H295" s="22">
        <f>IF(E295&lt;0,-999999999,B295*(PRICE_TOM-FERT_TOM)+C295*(PRICE_CAR-FERT_CAR)+F295*(PRICE_MES-FERT_MES)-(FARMER_SALARY+A295*TEMP_COST)-FIXED_COSTS)</f>
        <v>-999999999</v>
      </c>
    </row>
    <row r="296">
      <c r="A296" s="5" t="n">
        <v>0</v>
      </c>
      <c r="B296" s="5" t="n">
        <v>13</v>
      </c>
      <c r="C296" s="5" t="n">
        <v>10</v>
      </c>
      <c r="D296" s="18">
        <f>SEASON_HRS_TOM*B296*(1+DIM_TOM)^B296+SEASON_HRS_CAR*C296*(1+DIM_CAR)^C296</f>
        <v>4423.182684098839</v>
      </c>
      <c r="E296" s="18">
        <f>(FARMER_FIELD_HRS+A296*TEMP_HRS)-D296</f>
        <v>-3703.1826840988388</v>
      </c>
      <c r="F296" s="21">
        <f>IF(E296&lt;0,0,MIN(COUNTIF(Labor!$C$59:$C$88,"&lt;="&amp;E296),MAXBED_MES,TOTAL_BEDS-B296-C296))</f>
        <v>0</v>
      </c>
      <c r="G296" s="21">
        <f>B296+C296+F296</f>
        <v>23</v>
      </c>
      <c r="H296" s="22">
        <f>IF(E296&lt;0,-999999999,B296*(PRICE_TOM-FERT_TOM)+C296*(PRICE_CAR-FERT_CAR)+F296*(PRICE_MES-FERT_MES)-(FARMER_SALARY+A296*TEMP_COST)-FIXED_COSTS)</f>
        <v>-999999999</v>
      </c>
    </row>
    <row r="297">
      <c r="A297" s="5" t="n">
        <v>0</v>
      </c>
      <c r="B297" s="5" t="n">
        <v>13</v>
      </c>
      <c r="C297" s="5" t="n">
        <v>11</v>
      </c>
      <c r="D297" s="18">
        <f>SEASON_HRS_TOM*B297*(1+DIM_TOM)^B297+SEASON_HRS_CAR*C297*(1+DIM_CAR)^C297</f>
        <v>4472.145917914349</v>
      </c>
      <c r="E297" s="18">
        <f>(FARMER_FIELD_HRS+A297*TEMP_HRS)-D297</f>
        <v>-3752.1459179143494</v>
      </c>
      <c r="F297" s="21">
        <f>IF(E297&lt;0,0,MIN(COUNTIF(Labor!$C$59:$C$88,"&lt;="&amp;E297),MAXBED_MES,TOTAL_BEDS-B297-C297))</f>
        <v>0</v>
      </c>
      <c r="G297" s="21">
        <f>B297+C297+F297</f>
        <v>24</v>
      </c>
      <c r="H297" s="22">
        <f>IF(E297&lt;0,-999999999,B297*(PRICE_TOM-FERT_TOM)+C297*(PRICE_CAR-FERT_CAR)+F297*(PRICE_MES-FERT_MES)-(FARMER_SALARY+A297*TEMP_COST)-FIXED_COSTS)</f>
        <v>-999999999</v>
      </c>
    </row>
    <row r="298">
      <c r="A298" s="5" t="n">
        <v>0</v>
      </c>
      <c r="B298" s="5" t="n">
        <v>13</v>
      </c>
      <c r="C298" s="5" t="n">
        <v>12</v>
      </c>
      <c r="D298" s="18">
        <f>SEASON_HRS_TOM*B298*(1+DIM_TOM)^B298+SEASON_HRS_CAR*C298*(1+DIM_CAR)^C298</f>
        <v>4523.317297568598</v>
      </c>
      <c r="E298" s="18">
        <f>(FARMER_FIELD_HRS+A298*TEMP_HRS)-D298</f>
        <v>-3803.3172975685984</v>
      </c>
      <c r="F298" s="21">
        <f>IF(E298&lt;0,0,MIN(COUNTIF(Labor!$C$59:$C$88,"&lt;="&amp;E298),MAXBED_MES,TOTAL_BEDS-B298-C298))</f>
        <v>0</v>
      </c>
      <c r="G298" s="21">
        <f>B298+C298+F298</f>
        <v>25</v>
      </c>
      <c r="H298" s="22">
        <f>IF(E298&lt;0,-999999999,B298*(PRICE_TOM-FERT_TOM)+C298*(PRICE_CAR-FERT_CAR)+F298*(PRICE_MES-FERT_MES)-(FARMER_SALARY+A298*TEMP_COST)-FIXED_COSTS)</f>
        <v>-999999999</v>
      </c>
    </row>
    <row r="299">
      <c r="A299" s="5" t="n">
        <v>0</v>
      </c>
      <c r="B299" s="5" t="n">
        <v>13</v>
      </c>
      <c r="C299" s="5" t="n">
        <v>13</v>
      </c>
      <c r="D299" s="18">
        <f>SEASON_HRS_TOM*B299*(1+DIM_TOM)^B299+SEASON_HRS_CAR*C299*(1+DIM_CAR)^C299</f>
        <v>4576.776628332388</v>
      </c>
      <c r="E299" s="18">
        <f>(FARMER_FIELD_HRS+A299*TEMP_HRS)-D299</f>
        <v>-3856.776628332388</v>
      </c>
      <c r="F299" s="21">
        <f>IF(E299&lt;0,0,MIN(COUNTIF(Labor!$C$59:$C$88,"&lt;="&amp;E299),MAXBED_MES,TOTAL_BEDS-B299-C299))</f>
        <v>0</v>
      </c>
      <c r="G299" s="21">
        <f>B299+C299+F299</f>
        <v>26</v>
      </c>
      <c r="H299" s="22">
        <f>IF(E299&lt;0,-999999999,B299*(PRICE_TOM-FERT_TOM)+C299*(PRICE_CAR-FERT_CAR)+F299*(PRICE_MES-FERT_MES)-(FARMER_SALARY+A299*TEMP_COST)-FIXED_COSTS)</f>
        <v>-999999999</v>
      </c>
    </row>
    <row r="300">
      <c r="A300" s="5" t="n">
        <v>0</v>
      </c>
      <c r="B300" s="5" t="n">
        <v>13</v>
      </c>
      <c r="C300" s="5" t="n">
        <v>14</v>
      </c>
      <c r="D300" s="18">
        <f>SEASON_HRS_TOM*B300*(1+DIM_TOM)^B300+SEASON_HRS_CAR*C300*(1+DIM_CAR)^C300</f>
        <v>4632.606325648913</v>
      </c>
      <c r="E300" s="18">
        <f>(FARMER_FIELD_HRS+A300*TEMP_HRS)-D300</f>
        <v>-3912.6063256489133</v>
      </c>
      <c r="F300" s="21">
        <f>IF(E300&lt;0,0,MIN(COUNTIF(Labor!$C$59:$C$88,"&lt;="&amp;E300),MAXBED_MES,TOTAL_BEDS-B300-C300))</f>
        <v>0</v>
      </c>
      <c r="G300" s="21">
        <f>B300+C300+F300</f>
        <v>27</v>
      </c>
      <c r="H300" s="22">
        <f>IF(E300&lt;0,-999999999,B300*(PRICE_TOM-FERT_TOM)+C300*(PRICE_CAR-FERT_CAR)+F300*(PRICE_MES-FERT_MES)-(FARMER_SALARY+A300*TEMP_COST)-FIXED_COSTS)</f>
        <v>-999999999</v>
      </c>
    </row>
    <row r="301">
      <c r="A301" s="5" t="n">
        <v>0</v>
      </c>
      <c r="B301" s="5" t="n">
        <v>13</v>
      </c>
      <c r="C301" s="5" t="n">
        <v>15</v>
      </c>
      <c r="D301" s="18">
        <f>SEASON_HRS_TOM*B301*(1+DIM_TOM)^B301+SEASON_HRS_CAR*C301*(1+DIM_CAR)^C301</f>
        <v>4690.891495764081</v>
      </c>
      <c r="E301" s="18">
        <f>(FARMER_FIELD_HRS+A301*TEMP_HRS)-D301</f>
        <v>-3970.891495764081</v>
      </c>
      <c r="F301" s="21">
        <f>IF(E301&lt;0,0,MIN(COUNTIF(Labor!$C$59:$C$88,"&lt;="&amp;E301),MAXBED_MES,TOTAL_BEDS-B301-C301))</f>
        <v>0</v>
      </c>
      <c r="G301" s="21">
        <f>B301+C301+F301</f>
        <v>28</v>
      </c>
      <c r="H301" s="22">
        <f>IF(E301&lt;0,-999999999,B301*(PRICE_TOM-FERT_TOM)+C301*(PRICE_CAR-FERT_CAR)+F301*(PRICE_MES-FERT_MES)-(FARMER_SALARY+A301*TEMP_COST)-FIXED_COSTS)</f>
        <v>-999999999</v>
      </c>
    </row>
    <row r="302">
      <c r="A302" s="5" t="n">
        <v>0</v>
      </c>
      <c r="B302" s="5" t="n">
        <v>13</v>
      </c>
      <c r="C302" s="5" t="n">
        <v>16</v>
      </c>
      <c r="D302" s="18">
        <f>SEASON_HRS_TOM*B302*(1+DIM_TOM)^B302+SEASON_HRS_CAR*C302*(1+DIM_CAR)^C302</f>
        <v>4751.7200187570015</v>
      </c>
      <c r="E302" s="18">
        <f>(FARMER_FIELD_HRS+A302*TEMP_HRS)-D302</f>
        <v>-4031.7200187570015</v>
      </c>
      <c r="F302" s="21">
        <f>IF(E302&lt;0,0,MIN(COUNTIF(Labor!$C$59:$C$88,"&lt;="&amp;E302),MAXBED_MES,TOTAL_BEDS-B302-C302))</f>
        <v>0</v>
      </c>
      <c r="G302" s="21">
        <f>B302+C302+F302</f>
        <v>29</v>
      </c>
      <c r="H302" s="22">
        <f>IF(E302&lt;0,-999999999,B302*(PRICE_TOM-FERT_TOM)+C302*(PRICE_CAR-FERT_CAR)+F302*(PRICE_MES-FERT_MES)-(FARMER_SALARY+A302*TEMP_COST)-FIXED_COSTS)</f>
        <v>-999999999</v>
      </c>
    </row>
    <row r="303">
      <c r="A303" s="5" t="n">
        <v>0</v>
      </c>
      <c r="B303" s="5" t="n">
        <v>13</v>
      </c>
      <c r="C303" s="5" t="n">
        <v>17</v>
      </c>
      <c r="D303" s="18">
        <f>SEASON_HRS_TOM*B303*(1+DIM_TOM)^B303+SEASON_HRS_CAR*C303*(1+DIM_CAR)^C303</f>
        <v>4815.18263404024</v>
      </c>
      <c r="E303" s="18">
        <f>(FARMER_FIELD_HRS+A303*TEMP_HRS)-D303</f>
        <v>-4095.1826340402404</v>
      </c>
      <c r="F303" s="21">
        <f>IF(E303&lt;0,0,MIN(COUNTIF(Labor!$C$59:$C$88,"&lt;="&amp;E303),MAXBED_MES,TOTAL_BEDS-B303-C303))</f>
        <v>0</v>
      </c>
      <c r="G303" s="21">
        <f>B303+C303+F303</f>
        <v>30</v>
      </c>
      <c r="H303" s="22">
        <f>IF(E303&lt;0,-999999999,B303*(PRICE_TOM-FERT_TOM)+C303*(PRICE_CAR-FERT_CAR)+F303*(PRICE_MES-FERT_MES)-(FARMER_SALARY+A303*TEMP_COST)-FIXED_COSTS)</f>
        <v>-999999999</v>
      </c>
    </row>
    <row r="304">
      <c r="A304" s="5" t="n">
        <v>0</v>
      </c>
      <c r="B304" s="5" t="n">
        <v>13</v>
      </c>
      <c r="C304" s="5" t="n">
        <v>18</v>
      </c>
      <c r="D304" s="18">
        <f>SEASON_HRS_TOM*B304*(1+DIM_TOM)^B304+SEASON_HRS_CAR*C304*(1+DIM_CAR)^C304</f>
        <v>4881.373028401443</v>
      </c>
      <c r="E304" s="18">
        <f>(FARMER_FIELD_HRS+A304*TEMP_HRS)-D304</f>
        <v>-4161.373028401443</v>
      </c>
      <c r="F304" s="21">
        <f>IF(E304&lt;0,0,MIN(COUNTIF(Labor!$C$59:$C$88,"&lt;="&amp;E304),MAXBED_MES,TOTAL_BEDS-B304-C304))</f>
        <v>0</v>
      </c>
      <c r="G304" s="21">
        <f>B304+C304+F304</f>
        <v>31</v>
      </c>
      <c r="H304" s="22">
        <f>IF(E304&lt;0,-999999999,B304*(PRICE_TOM-FERT_TOM)+C304*(PRICE_CAR-FERT_CAR)+F304*(PRICE_MES-FERT_MES)-(FARMER_SALARY+A304*TEMP_COST)-FIXED_COSTS)</f>
        <v>-999999999</v>
      </c>
    </row>
    <row r="305">
      <c r="A305" s="5" t="n">
        <v>0</v>
      </c>
      <c r="B305" s="5" t="n">
        <v>13</v>
      </c>
      <c r="C305" s="5" t="n">
        <v>19</v>
      </c>
      <c r="D305" s="18">
        <f>SEASON_HRS_TOM*B305*(1+DIM_TOM)^B305+SEASON_HRS_CAR*C305*(1+DIM_CAR)^C305</f>
        <v>4950.387926659955</v>
      </c>
      <c r="E305" s="18">
        <f>(FARMER_FIELD_HRS+A305*TEMP_HRS)-D305</f>
        <v>-4230.387926659955</v>
      </c>
      <c r="F305" s="21">
        <f>IF(E305&lt;0,0,MIN(COUNTIF(Labor!$C$59:$C$88,"&lt;="&amp;E305),MAXBED_MES,TOTAL_BEDS-B305-C305))</f>
        <v>0</v>
      </c>
      <c r="G305" s="21">
        <f>B305+C305+F305</f>
        <v>32</v>
      </c>
      <c r="H305" s="22">
        <f>IF(E305&lt;0,-999999999,B305*(PRICE_TOM-FERT_TOM)+C305*(PRICE_CAR-FERT_CAR)+F305*(PRICE_MES-FERT_MES)-(FARMER_SALARY+A305*TEMP_COST)-FIXED_COSTS)</f>
        <v>-999999999</v>
      </c>
    </row>
    <row r="306">
      <c r="A306" s="5" t="n">
        <v>0</v>
      </c>
      <c r="B306" s="5" t="n">
        <v>13</v>
      </c>
      <c r="C306" s="5" t="n">
        <v>20</v>
      </c>
      <c r="D306" s="18">
        <f>SEASON_HRS_TOM*B306*(1+DIM_TOM)^B306+SEASON_HRS_CAR*C306*(1+DIM_CAR)^C306</f>
        <v>5022.327185014168</v>
      </c>
      <c r="E306" s="18">
        <f>(FARMER_FIELD_HRS+A306*TEMP_HRS)-D306</f>
        <v>-4302.327185014168</v>
      </c>
      <c r="F306" s="21">
        <f>IF(E306&lt;0,0,MIN(COUNTIF(Labor!$C$59:$C$88,"&lt;="&amp;E306),MAXBED_MES,TOTAL_BEDS-B306-C306))</f>
        <v>0</v>
      </c>
      <c r="G306" s="21">
        <f>B306+C306+F306</f>
        <v>33</v>
      </c>
      <c r="H306" s="22">
        <f>IF(E306&lt;0,-999999999,B306*(PRICE_TOM-FERT_TOM)+C306*(PRICE_CAR-FERT_CAR)+F306*(PRICE_MES-FERT_MES)-(FARMER_SALARY+A306*TEMP_COST)-FIXED_COSTS)</f>
        <v>-999999999</v>
      </c>
    </row>
    <row r="307">
      <c r="A307" s="5" t="n">
        <v>0</v>
      </c>
      <c r="B307" s="5" t="n">
        <v>14</v>
      </c>
      <c r="C307" s="5" t="n">
        <v>0</v>
      </c>
      <c r="D307" s="18">
        <f>SEASON_HRS_TOM*B307*(1+DIM_TOM)^B307+SEASON_HRS_CAR*C307*(1+DIM_CAR)^C307</f>
        <v>4784.847903148842</v>
      </c>
      <c r="E307" s="18">
        <f>(FARMER_FIELD_HRS+A307*TEMP_HRS)-D307</f>
        <v>-4064.8479031488423</v>
      </c>
      <c r="F307" s="21">
        <f>IF(E307&lt;0,0,MIN(COUNTIF(Labor!$C$59:$C$88,"&lt;="&amp;E307),MAXBED_MES,TOTAL_BEDS-B307-C307))</f>
        <v>0</v>
      </c>
      <c r="G307" s="21">
        <f>B307+C307+F307</f>
        <v>14</v>
      </c>
      <c r="H307" s="22">
        <f>IF(E307&lt;0,-999999999,B307*(PRICE_TOM-FERT_TOM)+C307*(PRICE_CAR-FERT_CAR)+F307*(PRICE_MES-FERT_MES)-(FARMER_SALARY+A307*TEMP_COST)-FIXED_COSTS)</f>
        <v>-999999999</v>
      </c>
    </row>
    <row r="308">
      <c r="A308" s="5" t="n">
        <v>0</v>
      </c>
      <c r="B308" s="5" t="n">
        <v>14</v>
      </c>
      <c r="C308" s="5" t="n">
        <v>1</v>
      </c>
      <c r="D308" s="18">
        <f>SEASON_HRS_TOM*B308*(1+DIM_TOM)^B308+SEASON_HRS_CAR*C308*(1+DIM_CAR)^C308</f>
        <v>4815.597903148842</v>
      </c>
      <c r="E308" s="18">
        <f>(FARMER_FIELD_HRS+A308*TEMP_HRS)-D308</f>
        <v>-4095.5979031488423</v>
      </c>
      <c r="F308" s="21">
        <f>IF(E308&lt;0,0,MIN(COUNTIF(Labor!$C$59:$C$88,"&lt;="&amp;E308),MAXBED_MES,TOTAL_BEDS-B308-C308))</f>
        <v>0</v>
      </c>
      <c r="G308" s="21">
        <f>B308+C308+F308</f>
        <v>15</v>
      </c>
      <c r="H308" s="22">
        <f>IF(E308&lt;0,-999999999,B308*(PRICE_TOM-FERT_TOM)+C308*(PRICE_CAR-FERT_CAR)+F308*(PRICE_MES-FERT_MES)-(FARMER_SALARY+A308*TEMP_COST)-FIXED_COSTS)</f>
        <v>-999999999</v>
      </c>
    </row>
    <row r="309">
      <c r="A309" s="5" t="n">
        <v>0</v>
      </c>
      <c r="B309" s="5" t="n">
        <v>14</v>
      </c>
      <c r="C309" s="5" t="n">
        <v>2</v>
      </c>
      <c r="D309" s="18">
        <f>SEASON_HRS_TOM*B309*(1+DIM_TOM)^B309+SEASON_HRS_CAR*C309*(1+DIM_CAR)^C309</f>
        <v>4847.885403148843</v>
      </c>
      <c r="E309" s="18">
        <f>(FARMER_FIELD_HRS+A309*TEMP_HRS)-D309</f>
        <v>-4127.885403148843</v>
      </c>
      <c r="F309" s="21">
        <f>IF(E309&lt;0,0,MIN(COUNTIF(Labor!$C$59:$C$88,"&lt;="&amp;E309),MAXBED_MES,TOTAL_BEDS-B309-C309))</f>
        <v>0</v>
      </c>
      <c r="G309" s="21">
        <f>B309+C309+F309</f>
        <v>16</v>
      </c>
      <c r="H309" s="22">
        <f>IF(E309&lt;0,-999999999,B309*(PRICE_TOM-FERT_TOM)+C309*(PRICE_CAR-FERT_CAR)+F309*(PRICE_MES-FERT_MES)-(FARMER_SALARY+A309*TEMP_COST)-FIXED_COSTS)</f>
        <v>-999999999</v>
      </c>
    </row>
    <row r="310">
      <c r="A310" s="5" t="n">
        <v>0</v>
      </c>
      <c r="B310" s="5" t="n">
        <v>14</v>
      </c>
      <c r="C310" s="5" t="n">
        <v>3</v>
      </c>
      <c r="D310" s="18">
        <f>SEASON_HRS_TOM*B310*(1+DIM_TOM)^B310+SEASON_HRS_CAR*C310*(1+DIM_CAR)^C310</f>
        <v>4881.7680593988425</v>
      </c>
      <c r="E310" s="18">
        <f>(FARMER_FIELD_HRS+A310*TEMP_HRS)-D310</f>
        <v>-4161.7680593988425</v>
      </c>
      <c r="F310" s="21">
        <f>IF(E310&lt;0,0,MIN(COUNTIF(Labor!$C$59:$C$88,"&lt;="&amp;E310),MAXBED_MES,TOTAL_BEDS-B310-C310))</f>
        <v>0</v>
      </c>
      <c r="G310" s="21">
        <f>B310+C310+F310</f>
        <v>17</v>
      </c>
      <c r="H310" s="22">
        <f>IF(E310&lt;0,-999999999,B310*(PRICE_TOM-FERT_TOM)+C310*(PRICE_CAR-FERT_CAR)+F310*(PRICE_MES-FERT_MES)-(FARMER_SALARY+A310*TEMP_COST)-FIXED_COSTS)</f>
        <v>-999999999</v>
      </c>
    </row>
    <row r="311">
      <c r="A311" s="5" t="n">
        <v>0</v>
      </c>
      <c r="B311" s="5" t="n">
        <v>14</v>
      </c>
      <c r="C311" s="5" t="n">
        <v>4</v>
      </c>
      <c r="D311" s="18">
        <f>SEASON_HRS_TOM*B311*(1+DIM_TOM)^B311+SEASON_HRS_CAR*C311*(1+DIM_CAR)^C311</f>
        <v>4917.305450023842</v>
      </c>
      <c r="E311" s="18">
        <f>(FARMER_FIELD_HRS+A311*TEMP_HRS)-D311</f>
        <v>-4197.305450023842</v>
      </c>
      <c r="F311" s="21">
        <f>IF(E311&lt;0,0,MIN(COUNTIF(Labor!$C$59:$C$88,"&lt;="&amp;E311),MAXBED_MES,TOTAL_BEDS-B311-C311))</f>
        <v>0</v>
      </c>
      <c r="G311" s="21">
        <f>B311+C311+F311</f>
        <v>18</v>
      </c>
      <c r="H311" s="22">
        <f>IF(E311&lt;0,-999999999,B311*(PRICE_TOM-FERT_TOM)+C311*(PRICE_CAR-FERT_CAR)+F311*(PRICE_MES-FERT_MES)-(FARMER_SALARY+A311*TEMP_COST)-FIXED_COSTS)</f>
        <v>-999999999</v>
      </c>
    </row>
    <row r="312">
      <c r="A312" s="5" t="n">
        <v>0</v>
      </c>
      <c r="B312" s="5" t="n">
        <v>14</v>
      </c>
      <c r="C312" s="5" t="n">
        <v>5</v>
      </c>
      <c r="D312" s="18">
        <f>SEASON_HRS_TOM*B312*(1+DIM_TOM)^B312+SEASON_HRS_CAR*C312*(1+DIM_CAR)^C312</f>
        <v>4954.559135082436</v>
      </c>
      <c r="E312" s="18">
        <f>(FARMER_FIELD_HRS+A312*TEMP_HRS)-D312</f>
        <v>-4234.559135082436</v>
      </c>
      <c r="F312" s="21">
        <f>IF(E312&lt;0,0,MIN(COUNTIF(Labor!$C$59:$C$88,"&lt;="&amp;E312),MAXBED_MES,TOTAL_BEDS-B312-C312))</f>
        <v>0</v>
      </c>
      <c r="G312" s="21">
        <f>B312+C312+F312</f>
        <v>19</v>
      </c>
      <c r="H312" s="22">
        <f>IF(E312&lt;0,-999999999,B312*(PRICE_TOM-FERT_TOM)+C312*(PRICE_CAR-FERT_CAR)+F312*(PRICE_MES-FERT_MES)-(FARMER_SALARY+A312*TEMP_COST)-FIXED_COSTS)</f>
        <v>-999999999</v>
      </c>
    </row>
    <row r="313">
      <c r="A313" s="5" t="n">
        <v>0</v>
      </c>
      <c r="B313" s="5" t="n">
        <v>14</v>
      </c>
      <c r="C313" s="5" t="n">
        <v>6</v>
      </c>
      <c r="D313" s="18">
        <f>SEASON_HRS_TOM*B313*(1+DIM_TOM)^B313+SEASON_HRS_CAR*C313*(1+DIM_CAR)^C313</f>
        <v>4993.592718427162</v>
      </c>
      <c r="E313" s="18">
        <f>(FARMER_FIELD_HRS+A313*TEMP_HRS)-D313</f>
        <v>-4273.592718427162</v>
      </c>
      <c r="F313" s="21">
        <f>IF(E313&lt;0,0,MIN(COUNTIF(Labor!$C$59:$C$88,"&lt;="&amp;E313),MAXBED_MES,TOTAL_BEDS-B313-C313))</f>
        <v>0</v>
      </c>
      <c r="G313" s="21">
        <f>B313+C313+F313</f>
        <v>20</v>
      </c>
      <c r="H313" s="22">
        <f>IF(E313&lt;0,-999999999,B313*(PRICE_TOM-FERT_TOM)+C313*(PRICE_CAR-FERT_CAR)+F313*(PRICE_MES-FERT_MES)-(FARMER_SALARY+A313*TEMP_COST)-FIXED_COSTS)</f>
        <v>-999999999</v>
      </c>
    </row>
    <row r="314">
      <c r="A314" s="5" t="n">
        <v>0</v>
      </c>
      <c r="B314" s="5" t="n">
        <v>14</v>
      </c>
      <c r="C314" s="5" t="n">
        <v>7</v>
      </c>
      <c r="D314" s="18">
        <f>SEASON_HRS_TOM*B314*(1+DIM_TOM)^B314+SEASON_HRS_CAR*C314*(1+DIM_CAR)^C314</f>
        <v>5034.471911419167</v>
      </c>
      <c r="E314" s="18">
        <f>(FARMER_FIELD_HRS+A314*TEMP_HRS)-D314</f>
        <v>-4314.471911419167</v>
      </c>
      <c r="F314" s="21">
        <f>IF(E314&lt;0,0,MIN(COUNTIF(Labor!$C$59:$C$88,"&lt;="&amp;E314),MAXBED_MES,TOTAL_BEDS-B314-C314))</f>
        <v>0</v>
      </c>
      <c r="G314" s="21">
        <f>B314+C314+F314</f>
        <v>21</v>
      </c>
      <c r="H314" s="22">
        <f>IF(E314&lt;0,-999999999,B314*(PRICE_TOM-FERT_TOM)+C314*(PRICE_CAR-FERT_CAR)+F314*(PRICE_MES-FERT_MES)-(FARMER_SALARY+A314*TEMP_COST)-FIXED_COSTS)</f>
        <v>-999999999</v>
      </c>
    </row>
    <row r="315">
      <c r="A315" s="5" t="n">
        <v>0</v>
      </c>
      <c r="B315" s="5" t="n">
        <v>14</v>
      </c>
      <c r="C315" s="5" t="n">
        <v>8</v>
      </c>
      <c r="D315" s="18">
        <f>SEASON_HRS_TOM*B315*(1+DIM_TOM)^B315+SEASON_HRS_CAR*C315*(1+DIM_CAR)^C315</f>
        <v>5077.264598551223</v>
      </c>
      <c r="E315" s="18">
        <f>(FARMER_FIELD_HRS+A315*TEMP_HRS)-D315</f>
        <v>-4357.264598551223</v>
      </c>
      <c r="F315" s="21">
        <f>IF(E315&lt;0,0,MIN(COUNTIF(Labor!$C$59:$C$88,"&lt;="&amp;E315),MAXBED_MES,TOTAL_BEDS-B315-C315))</f>
        <v>0</v>
      </c>
      <c r="G315" s="21">
        <f>B315+C315+F315</f>
        <v>22</v>
      </c>
      <c r="H315" s="22">
        <f>IF(E315&lt;0,-999999999,B315*(PRICE_TOM-FERT_TOM)+C315*(PRICE_CAR-FERT_CAR)+F315*(PRICE_MES-FERT_MES)-(FARMER_SALARY+A315*TEMP_COST)-FIXED_COSTS)</f>
        <v>-999999999</v>
      </c>
    </row>
    <row r="316">
      <c r="A316" s="5" t="n">
        <v>0</v>
      </c>
      <c r="B316" s="5" t="n">
        <v>14</v>
      </c>
      <c r="C316" s="5" t="n">
        <v>9</v>
      </c>
      <c r="D316" s="18">
        <f>SEASON_HRS_TOM*B316*(1+DIM_TOM)^B316+SEASON_HRS_CAR*C316*(1+DIM_CAR)^C316</f>
        <v>5122.040905034712</v>
      </c>
      <c r="E316" s="18">
        <f>(FARMER_FIELD_HRS+A316*TEMP_HRS)-D316</f>
        <v>-4402.040905034712</v>
      </c>
      <c r="F316" s="21">
        <f>IF(E316&lt;0,0,MIN(COUNTIF(Labor!$C$59:$C$88,"&lt;="&amp;E316),MAXBED_MES,TOTAL_BEDS-B316-C316))</f>
        <v>0</v>
      </c>
      <c r="G316" s="21">
        <f>B316+C316+F316</f>
        <v>23</v>
      </c>
      <c r="H316" s="22">
        <f>IF(E316&lt;0,-999999999,B316*(PRICE_TOM-FERT_TOM)+C316*(PRICE_CAR-FERT_CAR)+F316*(PRICE_MES-FERT_MES)-(FARMER_SALARY+A316*TEMP_COST)-FIXED_COSTS)</f>
        <v>-999999999</v>
      </c>
    </row>
    <row r="317">
      <c r="A317" s="5" t="n">
        <v>0</v>
      </c>
      <c r="B317" s="5" t="n">
        <v>14</v>
      </c>
      <c r="C317" s="5" t="n">
        <v>10</v>
      </c>
      <c r="D317" s="18">
        <f>SEASON_HRS_TOM*B317*(1+DIM_TOM)^B317+SEASON_HRS_CAR*C317*(1+DIM_CAR)^C317</f>
        <v>5168.87326640775</v>
      </c>
      <c r="E317" s="18">
        <f>(FARMER_FIELD_HRS+A317*TEMP_HRS)-D317</f>
        <v>-4448.87326640775</v>
      </c>
      <c r="F317" s="21">
        <f>IF(E317&lt;0,0,MIN(COUNTIF(Labor!$C$59:$C$88,"&lt;="&amp;E317),MAXBED_MES,TOTAL_BEDS-B317-C317))</f>
        <v>0</v>
      </c>
      <c r="G317" s="21">
        <f>B317+C317+F317</f>
        <v>24</v>
      </c>
      <c r="H317" s="22">
        <f>IF(E317&lt;0,-999999999,B317*(PRICE_TOM-FERT_TOM)+C317*(PRICE_CAR-FERT_CAR)+F317*(PRICE_MES-FERT_MES)-(FARMER_SALARY+A317*TEMP_COST)-FIXED_COSTS)</f>
        <v>-999999999</v>
      </c>
    </row>
    <row r="318">
      <c r="A318" s="5" t="n">
        <v>0</v>
      </c>
      <c r="B318" s="5" t="n">
        <v>14</v>
      </c>
      <c r="C318" s="5" t="n">
        <v>11</v>
      </c>
      <c r="D318" s="18">
        <f>SEASON_HRS_TOM*B318*(1+DIM_TOM)^B318+SEASON_HRS_CAR*C318*(1+DIM_CAR)^C318</f>
        <v>5217.83650022326</v>
      </c>
      <c r="E318" s="18">
        <f>(FARMER_FIELD_HRS+A318*TEMP_HRS)-D318</f>
        <v>-4497.83650022326</v>
      </c>
      <c r="F318" s="21">
        <f>IF(E318&lt;0,0,MIN(COUNTIF(Labor!$C$59:$C$88,"&lt;="&amp;E318),MAXBED_MES,TOTAL_BEDS-B318-C318))</f>
        <v>0</v>
      </c>
      <c r="G318" s="21">
        <f>B318+C318+F318</f>
        <v>25</v>
      </c>
      <c r="H318" s="22">
        <f>IF(E318&lt;0,-999999999,B318*(PRICE_TOM-FERT_TOM)+C318*(PRICE_CAR-FERT_CAR)+F318*(PRICE_MES-FERT_MES)-(FARMER_SALARY+A318*TEMP_COST)-FIXED_COSTS)</f>
        <v>-999999999</v>
      </c>
    </row>
    <row r="319">
      <c r="A319" s="5" t="n">
        <v>0</v>
      </c>
      <c r="B319" s="5" t="n">
        <v>14</v>
      </c>
      <c r="C319" s="5" t="n">
        <v>12</v>
      </c>
      <c r="D319" s="18">
        <f>SEASON_HRS_TOM*B319*(1+DIM_TOM)^B319+SEASON_HRS_CAR*C319*(1+DIM_CAR)^C319</f>
        <v>5269.007879877509</v>
      </c>
      <c r="E319" s="18">
        <f>(FARMER_FIELD_HRS+A319*TEMP_HRS)-D319</f>
        <v>-4549.007879877509</v>
      </c>
      <c r="F319" s="21">
        <f>IF(E319&lt;0,0,MIN(COUNTIF(Labor!$C$59:$C$88,"&lt;="&amp;E319),MAXBED_MES,TOTAL_BEDS-B319-C319))</f>
        <v>0</v>
      </c>
      <c r="G319" s="21">
        <f>B319+C319+F319</f>
        <v>26</v>
      </c>
      <c r="H319" s="22">
        <f>IF(E319&lt;0,-999999999,B319*(PRICE_TOM-FERT_TOM)+C319*(PRICE_CAR-FERT_CAR)+F319*(PRICE_MES-FERT_MES)-(FARMER_SALARY+A319*TEMP_COST)-FIXED_COSTS)</f>
        <v>-999999999</v>
      </c>
    </row>
    <row r="320">
      <c r="A320" s="5" t="n">
        <v>0</v>
      </c>
      <c r="B320" s="5" t="n">
        <v>14</v>
      </c>
      <c r="C320" s="5" t="n">
        <v>13</v>
      </c>
      <c r="D320" s="18">
        <f>SEASON_HRS_TOM*B320*(1+DIM_TOM)^B320+SEASON_HRS_CAR*C320*(1+DIM_CAR)^C320</f>
        <v>5322.467210641299</v>
      </c>
      <c r="E320" s="18">
        <f>(FARMER_FIELD_HRS+A320*TEMP_HRS)-D320</f>
        <v>-4602.467210641299</v>
      </c>
      <c r="F320" s="21">
        <f>IF(E320&lt;0,0,MIN(COUNTIF(Labor!$C$59:$C$88,"&lt;="&amp;E320),MAXBED_MES,TOTAL_BEDS-B320-C320))</f>
        <v>0</v>
      </c>
      <c r="G320" s="21">
        <f>B320+C320+F320</f>
        <v>27</v>
      </c>
      <c r="H320" s="22">
        <f>IF(E320&lt;0,-999999999,B320*(PRICE_TOM-FERT_TOM)+C320*(PRICE_CAR-FERT_CAR)+F320*(PRICE_MES-FERT_MES)-(FARMER_SALARY+A320*TEMP_COST)-FIXED_COSTS)</f>
        <v>-999999999</v>
      </c>
    </row>
    <row r="321">
      <c r="A321" s="5" t="n">
        <v>0</v>
      </c>
      <c r="B321" s="5" t="n">
        <v>14</v>
      </c>
      <c r="C321" s="5" t="n">
        <v>14</v>
      </c>
      <c r="D321" s="18">
        <f>SEASON_HRS_TOM*B321*(1+DIM_TOM)^B321+SEASON_HRS_CAR*C321*(1+DIM_CAR)^C321</f>
        <v>5378.296907957824</v>
      </c>
      <c r="E321" s="18">
        <f>(FARMER_FIELD_HRS+A321*TEMP_HRS)-D321</f>
        <v>-4658.296907957824</v>
      </c>
      <c r="F321" s="21">
        <f>IF(E321&lt;0,0,MIN(COUNTIF(Labor!$C$59:$C$88,"&lt;="&amp;E321),MAXBED_MES,TOTAL_BEDS-B321-C321))</f>
        <v>0</v>
      </c>
      <c r="G321" s="21">
        <f>B321+C321+F321</f>
        <v>28</v>
      </c>
      <c r="H321" s="22">
        <f>IF(E321&lt;0,-999999999,B321*(PRICE_TOM-FERT_TOM)+C321*(PRICE_CAR-FERT_CAR)+F321*(PRICE_MES-FERT_MES)-(FARMER_SALARY+A321*TEMP_COST)-FIXED_COSTS)</f>
        <v>-999999999</v>
      </c>
    </row>
    <row r="322">
      <c r="A322" s="5" t="n">
        <v>0</v>
      </c>
      <c r="B322" s="5" t="n">
        <v>14</v>
      </c>
      <c r="C322" s="5" t="n">
        <v>15</v>
      </c>
      <c r="D322" s="18">
        <f>SEASON_HRS_TOM*B322*(1+DIM_TOM)^B322+SEASON_HRS_CAR*C322*(1+DIM_CAR)^C322</f>
        <v>5436.582078072992</v>
      </c>
      <c r="E322" s="18">
        <f>(FARMER_FIELD_HRS+A322*TEMP_HRS)-D322</f>
        <v>-4716.582078072992</v>
      </c>
      <c r="F322" s="21">
        <f>IF(E322&lt;0,0,MIN(COUNTIF(Labor!$C$59:$C$88,"&lt;="&amp;E322),MAXBED_MES,TOTAL_BEDS-B322-C322))</f>
        <v>0</v>
      </c>
      <c r="G322" s="21">
        <f>B322+C322+F322</f>
        <v>29</v>
      </c>
      <c r="H322" s="22">
        <f>IF(E322&lt;0,-999999999,B322*(PRICE_TOM-FERT_TOM)+C322*(PRICE_CAR-FERT_CAR)+F322*(PRICE_MES-FERT_MES)-(FARMER_SALARY+A322*TEMP_COST)-FIXED_COSTS)</f>
        <v>-999999999</v>
      </c>
    </row>
    <row r="323">
      <c r="A323" s="5" t="n">
        <v>0</v>
      </c>
      <c r="B323" s="5" t="n">
        <v>14</v>
      </c>
      <c r="C323" s="5" t="n">
        <v>16</v>
      </c>
      <c r="D323" s="18">
        <f>SEASON_HRS_TOM*B323*(1+DIM_TOM)^B323+SEASON_HRS_CAR*C323*(1+DIM_CAR)^C323</f>
        <v>5497.4106010659125</v>
      </c>
      <c r="E323" s="18">
        <f>(FARMER_FIELD_HRS+A323*TEMP_HRS)-D323</f>
        <v>-4777.4106010659125</v>
      </c>
      <c r="F323" s="21">
        <f>IF(E323&lt;0,0,MIN(COUNTIF(Labor!$C$59:$C$88,"&lt;="&amp;E323),MAXBED_MES,TOTAL_BEDS-B323-C323))</f>
        <v>0</v>
      </c>
      <c r="G323" s="21">
        <f>B323+C323+F323</f>
        <v>30</v>
      </c>
      <c r="H323" s="22">
        <f>IF(E323&lt;0,-999999999,B323*(PRICE_TOM-FERT_TOM)+C323*(PRICE_CAR-FERT_CAR)+F323*(PRICE_MES-FERT_MES)-(FARMER_SALARY+A323*TEMP_COST)-FIXED_COSTS)</f>
        <v>-999999999</v>
      </c>
    </row>
    <row r="324">
      <c r="A324" s="5" t="n">
        <v>0</v>
      </c>
      <c r="B324" s="5" t="n">
        <v>14</v>
      </c>
      <c r="C324" s="5" t="n">
        <v>17</v>
      </c>
      <c r="D324" s="18">
        <f>SEASON_HRS_TOM*B324*(1+DIM_TOM)^B324+SEASON_HRS_CAR*C324*(1+DIM_CAR)^C324</f>
        <v>5560.873216349151</v>
      </c>
      <c r="E324" s="18">
        <f>(FARMER_FIELD_HRS+A324*TEMP_HRS)-D324</f>
        <v>-4840.873216349151</v>
      </c>
      <c r="F324" s="21">
        <f>IF(E324&lt;0,0,MIN(COUNTIF(Labor!$C$59:$C$88,"&lt;="&amp;E324),MAXBED_MES,TOTAL_BEDS-B324-C324))</f>
        <v>0</v>
      </c>
      <c r="G324" s="21">
        <f>B324+C324+F324</f>
        <v>31</v>
      </c>
      <c r="H324" s="22">
        <f>IF(E324&lt;0,-999999999,B324*(PRICE_TOM-FERT_TOM)+C324*(PRICE_CAR-FERT_CAR)+F324*(PRICE_MES-FERT_MES)-(FARMER_SALARY+A324*TEMP_COST)-FIXED_COSTS)</f>
        <v>-999999999</v>
      </c>
    </row>
    <row r="325">
      <c r="A325" s="5" t="n">
        <v>0</v>
      </c>
      <c r="B325" s="5" t="n">
        <v>14</v>
      </c>
      <c r="C325" s="5" t="n">
        <v>18</v>
      </c>
      <c r="D325" s="18">
        <f>SEASON_HRS_TOM*B325*(1+DIM_TOM)^B325+SEASON_HRS_CAR*C325*(1+DIM_CAR)^C325</f>
        <v>5627.063610710354</v>
      </c>
      <c r="E325" s="18">
        <f>(FARMER_FIELD_HRS+A325*TEMP_HRS)-D325</f>
        <v>-4907.063610710354</v>
      </c>
      <c r="F325" s="21">
        <f>IF(E325&lt;0,0,MIN(COUNTIF(Labor!$C$59:$C$88,"&lt;="&amp;E325),MAXBED_MES,TOTAL_BEDS-B325-C325))</f>
        <v>0</v>
      </c>
      <c r="G325" s="21">
        <f>B325+C325+F325</f>
        <v>32</v>
      </c>
      <c r="H325" s="22">
        <f>IF(E325&lt;0,-999999999,B325*(PRICE_TOM-FERT_TOM)+C325*(PRICE_CAR-FERT_CAR)+F325*(PRICE_MES-FERT_MES)-(FARMER_SALARY+A325*TEMP_COST)-FIXED_COSTS)</f>
        <v>-999999999</v>
      </c>
    </row>
    <row r="326">
      <c r="A326" s="5" t="n">
        <v>0</v>
      </c>
      <c r="B326" s="5" t="n">
        <v>14</v>
      </c>
      <c r="C326" s="5" t="n">
        <v>19</v>
      </c>
      <c r="D326" s="18">
        <f>SEASON_HRS_TOM*B326*(1+DIM_TOM)^B326+SEASON_HRS_CAR*C326*(1+DIM_CAR)^C326</f>
        <v>5696.078508968866</v>
      </c>
      <c r="E326" s="18">
        <f>(FARMER_FIELD_HRS+A326*TEMP_HRS)-D326</f>
        <v>-4976.078508968866</v>
      </c>
      <c r="F326" s="21">
        <f>IF(E326&lt;0,0,MIN(COUNTIF(Labor!$C$59:$C$88,"&lt;="&amp;E326),MAXBED_MES,TOTAL_BEDS-B326-C326))</f>
        <v>0</v>
      </c>
      <c r="G326" s="21">
        <f>B326+C326+F326</f>
        <v>33</v>
      </c>
      <c r="H326" s="22">
        <f>IF(E326&lt;0,-999999999,B326*(PRICE_TOM-FERT_TOM)+C326*(PRICE_CAR-FERT_CAR)+F326*(PRICE_MES-FERT_MES)-(FARMER_SALARY+A326*TEMP_COST)-FIXED_COSTS)</f>
        <v>-999999999</v>
      </c>
    </row>
    <row r="327">
      <c r="A327" s="5" t="n">
        <v>0</v>
      </c>
      <c r="B327" s="5" t="n">
        <v>14</v>
      </c>
      <c r="C327" s="5" t="n">
        <v>20</v>
      </c>
      <c r="D327" s="18">
        <f>SEASON_HRS_TOM*B327*(1+DIM_TOM)^B327+SEASON_HRS_CAR*C327*(1+DIM_CAR)^C327</f>
        <v>5768.017767323079</v>
      </c>
      <c r="E327" s="18">
        <f>(FARMER_FIELD_HRS+A327*TEMP_HRS)-D327</f>
        <v>-5048.017767323079</v>
      </c>
      <c r="F327" s="21">
        <f>IF(E327&lt;0,0,MIN(COUNTIF(Labor!$C$59:$C$88,"&lt;="&amp;E327),MAXBED_MES,TOTAL_BEDS-B327-C327))</f>
        <v>0</v>
      </c>
      <c r="G327" s="21">
        <f>B327+C327+F327</f>
        <v>34</v>
      </c>
      <c r="H327" s="22">
        <f>IF(E327&lt;0,-999999999,B327*(PRICE_TOM-FERT_TOM)+C327*(PRICE_CAR-FERT_CAR)+F327*(PRICE_MES-FERT_MES)-(FARMER_SALARY+A327*TEMP_COST)-FIXED_COSTS)</f>
        <v>-999999999</v>
      </c>
    </row>
    <row r="328">
      <c r="A328" s="5" t="n">
        <v>0</v>
      </c>
      <c r="B328" s="5" t="n">
        <v>15</v>
      </c>
      <c r="C328" s="5" t="n">
        <v>0</v>
      </c>
      <c r="D328" s="18">
        <f>SEASON_HRS_TOM*B328*(1+DIM_TOM)^B328+SEASON_HRS_CAR*C328*(1+DIM_CAR)^C328</f>
        <v>5639.285028711136</v>
      </c>
      <c r="E328" s="18">
        <f>(FARMER_FIELD_HRS+A328*TEMP_HRS)-D328</f>
        <v>-4919.285028711136</v>
      </c>
      <c r="F328" s="21">
        <f>IF(E328&lt;0,0,MIN(COUNTIF(Labor!$C$59:$C$88,"&lt;="&amp;E328),MAXBED_MES,TOTAL_BEDS-B328-C328))</f>
        <v>0</v>
      </c>
      <c r="G328" s="21">
        <f>B328+C328+F328</f>
        <v>15</v>
      </c>
      <c r="H328" s="22">
        <f>IF(E328&lt;0,-999999999,B328*(PRICE_TOM-FERT_TOM)+C328*(PRICE_CAR-FERT_CAR)+F328*(PRICE_MES-FERT_MES)-(FARMER_SALARY+A328*TEMP_COST)-FIXED_COSTS)</f>
        <v>-999999999</v>
      </c>
    </row>
    <row r="329">
      <c r="A329" s="5" t="n">
        <v>0</v>
      </c>
      <c r="B329" s="5" t="n">
        <v>15</v>
      </c>
      <c r="C329" s="5" t="n">
        <v>1</v>
      </c>
      <c r="D329" s="18">
        <f>SEASON_HRS_TOM*B329*(1+DIM_TOM)^B329+SEASON_HRS_CAR*C329*(1+DIM_CAR)^C329</f>
        <v>5670.035028711136</v>
      </c>
      <c r="E329" s="18">
        <f>(FARMER_FIELD_HRS+A329*TEMP_HRS)-D329</f>
        <v>-4950.035028711136</v>
      </c>
      <c r="F329" s="21">
        <f>IF(E329&lt;0,0,MIN(COUNTIF(Labor!$C$59:$C$88,"&lt;="&amp;E329),MAXBED_MES,TOTAL_BEDS-B329-C329))</f>
        <v>0</v>
      </c>
      <c r="G329" s="21">
        <f>B329+C329+F329</f>
        <v>16</v>
      </c>
      <c r="H329" s="22">
        <f>IF(E329&lt;0,-999999999,B329*(PRICE_TOM-FERT_TOM)+C329*(PRICE_CAR-FERT_CAR)+F329*(PRICE_MES-FERT_MES)-(FARMER_SALARY+A329*TEMP_COST)-FIXED_COSTS)</f>
        <v>-999999999</v>
      </c>
    </row>
    <row r="330">
      <c r="A330" s="5" t="n">
        <v>0</v>
      </c>
      <c r="B330" s="5" t="n">
        <v>15</v>
      </c>
      <c r="C330" s="5" t="n">
        <v>2</v>
      </c>
      <c r="D330" s="18">
        <f>SEASON_HRS_TOM*B330*(1+DIM_TOM)^B330+SEASON_HRS_CAR*C330*(1+DIM_CAR)^C330</f>
        <v>5702.322528711136</v>
      </c>
      <c r="E330" s="18">
        <f>(FARMER_FIELD_HRS+A330*TEMP_HRS)-D330</f>
        <v>-4982.322528711136</v>
      </c>
      <c r="F330" s="21">
        <f>IF(E330&lt;0,0,MIN(COUNTIF(Labor!$C$59:$C$88,"&lt;="&amp;E330),MAXBED_MES,TOTAL_BEDS-B330-C330))</f>
        <v>0</v>
      </c>
      <c r="G330" s="21">
        <f>B330+C330+F330</f>
        <v>17</v>
      </c>
      <c r="H330" s="22">
        <f>IF(E330&lt;0,-999999999,B330*(PRICE_TOM-FERT_TOM)+C330*(PRICE_CAR-FERT_CAR)+F330*(PRICE_MES-FERT_MES)-(FARMER_SALARY+A330*TEMP_COST)-FIXED_COSTS)</f>
        <v>-999999999</v>
      </c>
    </row>
    <row r="331">
      <c r="A331" s="5" t="n">
        <v>0</v>
      </c>
      <c r="B331" s="5" t="n">
        <v>15</v>
      </c>
      <c r="C331" s="5" t="n">
        <v>3</v>
      </c>
      <c r="D331" s="18">
        <f>SEASON_HRS_TOM*B331*(1+DIM_TOM)^B331+SEASON_HRS_CAR*C331*(1+DIM_CAR)^C331</f>
        <v>5736.205184961136</v>
      </c>
      <c r="E331" s="18">
        <f>(FARMER_FIELD_HRS+A331*TEMP_HRS)-D331</f>
        <v>-5016.205184961136</v>
      </c>
      <c r="F331" s="21">
        <f>IF(E331&lt;0,0,MIN(COUNTIF(Labor!$C$59:$C$88,"&lt;="&amp;E331),MAXBED_MES,TOTAL_BEDS-B331-C331))</f>
        <v>0</v>
      </c>
      <c r="G331" s="21">
        <f>B331+C331+F331</f>
        <v>18</v>
      </c>
      <c r="H331" s="22">
        <f>IF(E331&lt;0,-999999999,B331*(PRICE_TOM-FERT_TOM)+C331*(PRICE_CAR-FERT_CAR)+F331*(PRICE_MES-FERT_MES)-(FARMER_SALARY+A331*TEMP_COST)-FIXED_COSTS)</f>
        <v>-999999999</v>
      </c>
    </row>
    <row r="332">
      <c r="A332" s="5" t="n">
        <v>0</v>
      </c>
      <c r="B332" s="5" t="n">
        <v>15</v>
      </c>
      <c r="C332" s="5" t="n">
        <v>4</v>
      </c>
      <c r="D332" s="18">
        <f>SEASON_HRS_TOM*B332*(1+DIM_TOM)^B332+SEASON_HRS_CAR*C332*(1+DIM_CAR)^C332</f>
        <v>5771.742575586136</v>
      </c>
      <c r="E332" s="18">
        <f>(FARMER_FIELD_HRS+A332*TEMP_HRS)-D332</f>
        <v>-5051.742575586136</v>
      </c>
      <c r="F332" s="21">
        <f>IF(E332&lt;0,0,MIN(COUNTIF(Labor!$C$59:$C$88,"&lt;="&amp;E332),MAXBED_MES,TOTAL_BEDS-B332-C332))</f>
        <v>0</v>
      </c>
      <c r="G332" s="21">
        <f>B332+C332+F332</f>
        <v>19</v>
      </c>
      <c r="H332" s="22">
        <f>IF(E332&lt;0,-999999999,B332*(PRICE_TOM-FERT_TOM)+C332*(PRICE_CAR-FERT_CAR)+F332*(PRICE_MES-FERT_MES)-(FARMER_SALARY+A332*TEMP_COST)-FIXED_COSTS)</f>
        <v>-999999999</v>
      </c>
    </row>
    <row r="333">
      <c r="A333" s="5" t="n">
        <v>0</v>
      </c>
      <c r="B333" s="5" t="n">
        <v>15</v>
      </c>
      <c r="C333" s="5" t="n">
        <v>5</v>
      </c>
      <c r="D333" s="18">
        <f>SEASON_HRS_TOM*B333*(1+DIM_TOM)^B333+SEASON_HRS_CAR*C333*(1+DIM_CAR)^C333</f>
        <v>5808.99626064473</v>
      </c>
      <c r="E333" s="18">
        <f>(FARMER_FIELD_HRS+A333*TEMP_HRS)-D333</f>
        <v>-5088.99626064473</v>
      </c>
      <c r="F333" s="21">
        <f>IF(E333&lt;0,0,MIN(COUNTIF(Labor!$C$59:$C$88,"&lt;="&amp;E333),MAXBED_MES,TOTAL_BEDS-B333-C333))</f>
        <v>0</v>
      </c>
      <c r="G333" s="21">
        <f>B333+C333+F333</f>
        <v>20</v>
      </c>
      <c r="H333" s="22">
        <f>IF(E333&lt;0,-999999999,B333*(PRICE_TOM-FERT_TOM)+C333*(PRICE_CAR-FERT_CAR)+F333*(PRICE_MES-FERT_MES)-(FARMER_SALARY+A333*TEMP_COST)-FIXED_COSTS)</f>
        <v>-999999999</v>
      </c>
    </row>
    <row r="334">
      <c r="A334" s="5" t="n">
        <v>0</v>
      </c>
      <c r="B334" s="5" t="n">
        <v>15</v>
      </c>
      <c r="C334" s="5" t="n">
        <v>6</v>
      </c>
      <c r="D334" s="18">
        <f>SEASON_HRS_TOM*B334*(1+DIM_TOM)^B334+SEASON_HRS_CAR*C334*(1+DIM_CAR)^C334</f>
        <v>5848.029843989456</v>
      </c>
      <c r="E334" s="18">
        <f>(FARMER_FIELD_HRS+A334*TEMP_HRS)-D334</f>
        <v>-5128.029843989456</v>
      </c>
      <c r="F334" s="21">
        <f>IF(E334&lt;0,0,MIN(COUNTIF(Labor!$C$59:$C$88,"&lt;="&amp;E334),MAXBED_MES,TOTAL_BEDS-B334-C334))</f>
        <v>0</v>
      </c>
      <c r="G334" s="21">
        <f>B334+C334+F334</f>
        <v>21</v>
      </c>
      <c r="H334" s="22">
        <f>IF(E334&lt;0,-999999999,B334*(PRICE_TOM-FERT_TOM)+C334*(PRICE_CAR-FERT_CAR)+F334*(PRICE_MES-FERT_MES)-(FARMER_SALARY+A334*TEMP_COST)-FIXED_COSTS)</f>
        <v>-999999999</v>
      </c>
    </row>
    <row r="335">
      <c r="A335" s="5" t="n">
        <v>0</v>
      </c>
      <c r="B335" s="5" t="n">
        <v>15</v>
      </c>
      <c r="C335" s="5" t="n">
        <v>7</v>
      </c>
      <c r="D335" s="18">
        <f>SEASON_HRS_TOM*B335*(1+DIM_TOM)^B335+SEASON_HRS_CAR*C335*(1+DIM_CAR)^C335</f>
        <v>5888.90903698146</v>
      </c>
      <c r="E335" s="18">
        <f>(FARMER_FIELD_HRS+A335*TEMP_HRS)-D335</f>
        <v>-5168.90903698146</v>
      </c>
      <c r="F335" s="21">
        <f>IF(E335&lt;0,0,MIN(COUNTIF(Labor!$C$59:$C$88,"&lt;="&amp;E335),MAXBED_MES,TOTAL_BEDS-B335-C335))</f>
        <v>0</v>
      </c>
      <c r="G335" s="21">
        <f>B335+C335+F335</f>
        <v>22</v>
      </c>
      <c r="H335" s="22">
        <f>IF(E335&lt;0,-999999999,B335*(PRICE_TOM-FERT_TOM)+C335*(PRICE_CAR-FERT_CAR)+F335*(PRICE_MES-FERT_MES)-(FARMER_SALARY+A335*TEMP_COST)-FIXED_COSTS)</f>
        <v>-999999999</v>
      </c>
    </row>
    <row r="336">
      <c r="A336" s="5" t="n">
        <v>0</v>
      </c>
      <c r="B336" s="5" t="n">
        <v>15</v>
      </c>
      <c r="C336" s="5" t="n">
        <v>8</v>
      </c>
      <c r="D336" s="18">
        <f>SEASON_HRS_TOM*B336*(1+DIM_TOM)^B336+SEASON_HRS_CAR*C336*(1+DIM_CAR)^C336</f>
        <v>5931.701724113516</v>
      </c>
      <c r="E336" s="18">
        <f>(FARMER_FIELD_HRS+A336*TEMP_HRS)-D336</f>
        <v>-5211.701724113516</v>
      </c>
      <c r="F336" s="21">
        <f>IF(E336&lt;0,0,MIN(COUNTIF(Labor!$C$59:$C$88,"&lt;="&amp;E336),MAXBED_MES,TOTAL_BEDS-B336-C336))</f>
        <v>0</v>
      </c>
      <c r="G336" s="21">
        <f>B336+C336+F336</f>
        <v>23</v>
      </c>
      <c r="H336" s="22">
        <f>IF(E336&lt;0,-999999999,B336*(PRICE_TOM-FERT_TOM)+C336*(PRICE_CAR-FERT_CAR)+F336*(PRICE_MES-FERT_MES)-(FARMER_SALARY+A336*TEMP_COST)-FIXED_COSTS)</f>
        <v>-999999999</v>
      </c>
    </row>
    <row r="337">
      <c r="A337" s="5" t="n">
        <v>0</v>
      </c>
      <c r="B337" s="5" t="n">
        <v>15</v>
      </c>
      <c r="C337" s="5" t="n">
        <v>9</v>
      </c>
      <c r="D337" s="18">
        <f>SEASON_HRS_TOM*B337*(1+DIM_TOM)^B337+SEASON_HRS_CAR*C337*(1+DIM_CAR)^C337</f>
        <v>5976.478030597005</v>
      </c>
      <c r="E337" s="18">
        <f>(FARMER_FIELD_HRS+A337*TEMP_HRS)-D337</f>
        <v>-5256.478030597005</v>
      </c>
      <c r="F337" s="21">
        <f>IF(E337&lt;0,0,MIN(COUNTIF(Labor!$C$59:$C$88,"&lt;="&amp;E337),MAXBED_MES,TOTAL_BEDS-B337-C337))</f>
        <v>0</v>
      </c>
      <c r="G337" s="21">
        <f>B337+C337+F337</f>
        <v>24</v>
      </c>
      <c r="H337" s="22">
        <f>IF(E337&lt;0,-999999999,B337*(PRICE_TOM-FERT_TOM)+C337*(PRICE_CAR-FERT_CAR)+F337*(PRICE_MES-FERT_MES)-(FARMER_SALARY+A337*TEMP_COST)-FIXED_COSTS)</f>
        <v>-999999999</v>
      </c>
    </row>
    <row r="338">
      <c r="A338" s="5" t="n">
        <v>0</v>
      </c>
      <c r="B338" s="5" t="n">
        <v>15</v>
      </c>
      <c r="C338" s="5" t="n">
        <v>10</v>
      </c>
      <c r="D338" s="18">
        <f>SEASON_HRS_TOM*B338*(1+DIM_TOM)^B338+SEASON_HRS_CAR*C338*(1+DIM_CAR)^C338</f>
        <v>6023.310391970043</v>
      </c>
      <c r="E338" s="18">
        <f>(FARMER_FIELD_HRS+A338*TEMP_HRS)-D338</f>
        <v>-5303.310391970043</v>
      </c>
      <c r="F338" s="21">
        <f>IF(E338&lt;0,0,MIN(COUNTIF(Labor!$C$59:$C$88,"&lt;="&amp;E338),MAXBED_MES,TOTAL_BEDS-B338-C338))</f>
        <v>0</v>
      </c>
      <c r="G338" s="21">
        <f>B338+C338+F338</f>
        <v>25</v>
      </c>
      <c r="H338" s="22">
        <f>IF(E338&lt;0,-999999999,B338*(PRICE_TOM-FERT_TOM)+C338*(PRICE_CAR-FERT_CAR)+F338*(PRICE_MES-FERT_MES)-(FARMER_SALARY+A338*TEMP_COST)-FIXED_COSTS)</f>
        <v>-999999999</v>
      </c>
    </row>
    <row r="339">
      <c r="A339" s="5" t="n">
        <v>0</v>
      </c>
      <c r="B339" s="5" t="n">
        <v>15</v>
      </c>
      <c r="C339" s="5" t="n">
        <v>11</v>
      </c>
      <c r="D339" s="18">
        <f>SEASON_HRS_TOM*B339*(1+DIM_TOM)^B339+SEASON_HRS_CAR*C339*(1+DIM_CAR)^C339</f>
        <v>6072.273625785554</v>
      </c>
      <c r="E339" s="18">
        <f>(FARMER_FIELD_HRS+A339*TEMP_HRS)-D339</f>
        <v>-5352.273625785554</v>
      </c>
      <c r="F339" s="21">
        <f>IF(E339&lt;0,0,MIN(COUNTIF(Labor!$C$59:$C$88,"&lt;="&amp;E339),MAXBED_MES,TOTAL_BEDS-B339-C339))</f>
        <v>0</v>
      </c>
      <c r="G339" s="21">
        <f>B339+C339+F339</f>
        <v>26</v>
      </c>
      <c r="H339" s="22">
        <f>IF(E339&lt;0,-999999999,B339*(PRICE_TOM-FERT_TOM)+C339*(PRICE_CAR-FERT_CAR)+F339*(PRICE_MES-FERT_MES)-(FARMER_SALARY+A339*TEMP_COST)-FIXED_COSTS)</f>
        <v>-999999999</v>
      </c>
    </row>
    <row r="340">
      <c r="A340" s="5" t="n">
        <v>0</v>
      </c>
      <c r="B340" s="5" t="n">
        <v>15</v>
      </c>
      <c r="C340" s="5" t="n">
        <v>12</v>
      </c>
      <c r="D340" s="18">
        <f>SEASON_HRS_TOM*B340*(1+DIM_TOM)^B340+SEASON_HRS_CAR*C340*(1+DIM_CAR)^C340</f>
        <v>6123.445005439803</v>
      </c>
      <c r="E340" s="18">
        <f>(FARMER_FIELD_HRS+A340*TEMP_HRS)-D340</f>
        <v>-5403.445005439803</v>
      </c>
      <c r="F340" s="21">
        <f>IF(E340&lt;0,0,MIN(COUNTIF(Labor!$C$59:$C$88,"&lt;="&amp;E340),MAXBED_MES,TOTAL_BEDS-B340-C340))</f>
        <v>0</v>
      </c>
      <c r="G340" s="21">
        <f>B340+C340+F340</f>
        <v>27</v>
      </c>
      <c r="H340" s="22">
        <f>IF(E340&lt;0,-999999999,B340*(PRICE_TOM-FERT_TOM)+C340*(PRICE_CAR-FERT_CAR)+F340*(PRICE_MES-FERT_MES)-(FARMER_SALARY+A340*TEMP_COST)-FIXED_COSTS)</f>
        <v>-999999999</v>
      </c>
    </row>
    <row r="341">
      <c r="A341" s="5" t="n">
        <v>0</v>
      </c>
      <c r="B341" s="5" t="n">
        <v>15</v>
      </c>
      <c r="C341" s="5" t="n">
        <v>13</v>
      </c>
      <c r="D341" s="18">
        <f>SEASON_HRS_TOM*B341*(1+DIM_TOM)^B341+SEASON_HRS_CAR*C341*(1+DIM_CAR)^C341</f>
        <v>6176.904336203593</v>
      </c>
      <c r="E341" s="18">
        <f>(FARMER_FIELD_HRS+A341*TEMP_HRS)-D341</f>
        <v>-5456.904336203593</v>
      </c>
      <c r="F341" s="21">
        <f>IF(E341&lt;0,0,MIN(COUNTIF(Labor!$C$59:$C$88,"&lt;="&amp;E341),MAXBED_MES,TOTAL_BEDS-B341-C341))</f>
        <v>0</v>
      </c>
      <c r="G341" s="21">
        <f>B341+C341+F341</f>
        <v>28</v>
      </c>
      <c r="H341" s="22">
        <f>IF(E341&lt;0,-999999999,B341*(PRICE_TOM-FERT_TOM)+C341*(PRICE_CAR-FERT_CAR)+F341*(PRICE_MES-FERT_MES)-(FARMER_SALARY+A341*TEMP_COST)-FIXED_COSTS)</f>
        <v>-999999999</v>
      </c>
    </row>
    <row r="342">
      <c r="A342" s="5" t="n">
        <v>0</v>
      </c>
      <c r="B342" s="5" t="n">
        <v>15</v>
      </c>
      <c r="C342" s="5" t="n">
        <v>14</v>
      </c>
      <c r="D342" s="18">
        <f>SEASON_HRS_TOM*B342*(1+DIM_TOM)^B342+SEASON_HRS_CAR*C342*(1+DIM_CAR)^C342</f>
        <v>6232.734033520118</v>
      </c>
      <c r="E342" s="18">
        <f>(FARMER_FIELD_HRS+A342*TEMP_HRS)-D342</f>
        <v>-5512.734033520118</v>
      </c>
      <c r="F342" s="21">
        <f>IF(E342&lt;0,0,MIN(COUNTIF(Labor!$C$59:$C$88,"&lt;="&amp;E342),MAXBED_MES,TOTAL_BEDS-B342-C342))</f>
        <v>0</v>
      </c>
      <c r="G342" s="21">
        <f>B342+C342+F342</f>
        <v>29</v>
      </c>
      <c r="H342" s="22">
        <f>IF(E342&lt;0,-999999999,B342*(PRICE_TOM-FERT_TOM)+C342*(PRICE_CAR-FERT_CAR)+F342*(PRICE_MES-FERT_MES)-(FARMER_SALARY+A342*TEMP_COST)-FIXED_COSTS)</f>
        <v>-999999999</v>
      </c>
    </row>
    <row r="343">
      <c r="A343" s="5" t="n">
        <v>0</v>
      </c>
      <c r="B343" s="5" t="n">
        <v>15</v>
      </c>
      <c r="C343" s="5" t="n">
        <v>15</v>
      </c>
      <c r="D343" s="18">
        <f>SEASON_HRS_TOM*B343*(1+DIM_TOM)^B343+SEASON_HRS_CAR*C343*(1+DIM_CAR)^C343</f>
        <v>6291.0192036352855</v>
      </c>
      <c r="E343" s="18">
        <f>(FARMER_FIELD_HRS+A343*TEMP_HRS)-D343</f>
        <v>-5571.0192036352855</v>
      </c>
      <c r="F343" s="21">
        <f>IF(E343&lt;0,0,MIN(COUNTIF(Labor!$C$59:$C$88,"&lt;="&amp;E343),MAXBED_MES,TOTAL_BEDS-B343-C343))</f>
        <v>0</v>
      </c>
      <c r="G343" s="21">
        <f>B343+C343+F343</f>
        <v>30</v>
      </c>
      <c r="H343" s="22">
        <f>IF(E343&lt;0,-999999999,B343*(PRICE_TOM-FERT_TOM)+C343*(PRICE_CAR-FERT_CAR)+F343*(PRICE_MES-FERT_MES)-(FARMER_SALARY+A343*TEMP_COST)-FIXED_COSTS)</f>
        <v>-999999999</v>
      </c>
    </row>
    <row r="344">
      <c r="A344" s="5" t="n">
        <v>0</v>
      </c>
      <c r="B344" s="5" t="n">
        <v>15</v>
      </c>
      <c r="C344" s="5" t="n">
        <v>16</v>
      </c>
      <c r="D344" s="18">
        <f>SEASON_HRS_TOM*B344*(1+DIM_TOM)^B344+SEASON_HRS_CAR*C344*(1+DIM_CAR)^C344</f>
        <v>6351.847726628206</v>
      </c>
      <c r="E344" s="18">
        <f>(FARMER_FIELD_HRS+A344*TEMP_HRS)-D344</f>
        <v>-5631.847726628206</v>
      </c>
      <c r="F344" s="21">
        <f>IF(E344&lt;0,0,MIN(COUNTIF(Labor!$C$59:$C$88,"&lt;="&amp;E344),MAXBED_MES,TOTAL_BEDS-B344-C344))</f>
        <v>0</v>
      </c>
      <c r="G344" s="21">
        <f>B344+C344+F344</f>
        <v>31</v>
      </c>
      <c r="H344" s="22">
        <f>IF(E344&lt;0,-999999999,B344*(PRICE_TOM-FERT_TOM)+C344*(PRICE_CAR-FERT_CAR)+F344*(PRICE_MES-FERT_MES)-(FARMER_SALARY+A344*TEMP_COST)-FIXED_COSTS)</f>
        <v>-999999999</v>
      </c>
    </row>
    <row r="345">
      <c r="A345" s="5" t="n">
        <v>0</v>
      </c>
      <c r="B345" s="5" t="n">
        <v>15</v>
      </c>
      <c r="C345" s="5" t="n">
        <v>17</v>
      </c>
      <c r="D345" s="18">
        <f>SEASON_HRS_TOM*B345*(1+DIM_TOM)^B345+SEASON_HRS_CAR*C345*(1+DIM_CAR)^C345</f>
        <v>6415.310341911445</v>
      </c>
      <c r="E345" s="18">
        <f>(FARMER_FIELD_HRS+A345*TEMP_HRS)-D345</f>
        <v>-5695.310341911445</v>
      </c>
      <c r="F345" s="21">
        <f>IF(E345&lt;0,0,MIN(COUNTIF(Labor!$C$59:$C$88,"&lt;="&amp;E345),MAXBED_MES,TOTAL_BEDS-B345-C345))</f>
        <v>0</v>
      </c>
      <c r="G345" s="21">
        <f>B345+C345+F345</f>
        <v>32</v>
      </c>
      <c r="H345" s="22">
        <f>IF(E345&lt;0,-999999999,B345*(PRICE_TOM-FERT_TOM)+C345*(PRICE_CAR-FERT_CAR)+F345*(PRICE_MES-FERT_MES)-(FARMER_SALARY+A345*TEMP_COST)-FIXED_COSTS)</f>
        <v>-999999999</v>
      </c>
    </row>
    <row r="346">
      <c r="A346" s="5" t="n">
        <v>0</v>
      </c>
      <c r="B346" s="5" t="n">
        <v>15</v>
      </c>
      <c r="C346" s="5" t="n">
        <v>18</v>
      </c>
      <c r="D346" s="18">
        <f>SEASON_HRS_TOM*B346*(1+DIM_TOM)^B346+SEASON_HRS_CAR*C346*(1+DIM_CAR)^C346</f>
        <v>6481.500736272647</v>
      </c>
      <c r="E346" s="18">
        <f>(FARMER_FIELD_HRS+A346*TEMP_HRS)-D346</f>
        <v>-5761.500736272647</v>
      </c>
      <c r="F346" s="21">
        <f>IF(E346&lt;0,0,MIN(COUNTIF(Labor!$C$59:$C$88,"&lt;="&amp;E346),MAXBED_MES,TOTAL_BEDS-B346-C346))</f>
        <v>0</v>
      </c>
      <c r="G346" s="21">
        <f>B346+C346+F346</f>
        <v>33</v>
      </c>
      <c r="H346" s="22">
        <f>IF(E346&lt;0,-999999999,B346*(PRICE_TOM-FERT_TOM)+C346*(PRICE_CAR-FERT_CAR)+F346*(PRICE_MES-FERT_MES)-(FARMER_SALARY+A346*TEMP_COST)-FIXED_COSTS)</f>
        <v>-999999999</v>
      </c>
    </row>
    <row r="347">
      <c r="A347" s="5" t="n">
        <v>0</v>
      </c>
      <c r="B347" s="5" t="n">
        <v>15</v>
      </c>
      <c r="C347" s="5" t="n">
        <v>19</v>
      </c>
      <c r="D347" s="18">
        <f>SEASON_HRS_TOM*B347*(1+DIM_TOM)^B347+SEASON_HRS_CAR*C347*(1+DIM_CAR)^C347</f>
        <v>6550.51563453116</v>
      </c>
      <c r="E347" s="18">
        <f>(FARMER_FIELD_HRS+A347*TEMP_HRS)-D347</f>
        <v>-5830.51563453116</v>
      </c>
      <c r="F347" s="21">
        <f>IF(E347&lt;0,0,MIN(COUNTIF(Labor!$C$59:$C$88,"&lt;="&amp;E347),MAXBED_MES,TOTAL_BEDS-B347-C347))</f>
        <v>0</v>
      </c>
      <c r="G347" s="21">
        <f>B347+C347+F347</f>
        <v>34</v>
      </c>
      <c r="H347" s="22">
        <f>IF(E347&lt;0,-999999999,B347*(PRICE_TOM-FERT_TOM)+C347*(PRICE_CAR-FERT_CAR)+F347*(PRICE_MES-FERT_MES)-(FARMER_SALARY+A347*TEMP_COST)-FIXED_COSTS)</f>
        <v>-999999999</v>
      </c>
    </row>
    <row r="348">
      <c r="A348" s="5" t="n">
        <v>0</v>
      </c>
      <c r="B348" s="5" t="n">
        <v>15</v>
      </c>
      <c r="C348" s="5" t="n">
        <v>20</v>
      </c>
      <c r="D348" s="18">
        <f>SEASON_HRS_TOM*B348*(1+DIM_TOM)^B348+SEASON_HRS_CAR*C348*(1+DIM_CAR)^C348</f>
        <v>6622.454892885373</v>
      </c>
      <c r="E348" s="18">
        <f>(FARMER_FIELD_HRS+A348*TEMP_HRS)-D348</f>
        <v>-5902.454892885373</v>
      </c>
      <c r="F348" s="21">
        <f>IF(E348&lt;0,0,MIN(COUNTIF(Labor!$C$59:$C$88,"&lt;="&amp;E348),MAXBED_MES,TOTAL_BEDS-B348-C348))</f>
        <v>0</v>
      </c>
      <c r="G348" s="21">
        <f>B348+C348+F348</f>
        <v>35</v>
      </c>
      <c r="H348" s="22">
        <f>IF(E348&lt;0,-999999999,B348*(PRICE_TOM-FERT_TOM)+C348*(PRICE_CAR-FERT_CAR)+F348*(PRICE_MES-FERT_MES)-(FARMER_SALARY+A348*TEMP_COST)-FIXED_COSTS)</f>
        <v>-999999999</v>
      </c>
    </row>
    <row r="349">
      <c r="A349" s="5" t="n">
        <v>0</v>
      </c>
      <c r="B349" s="5" t="n">
        <v>16</v>
      </c>
      <c r="C349" s="5" t="n">
        <v>0</v>
      </c>
      <c r="D349" s="18">
        <f>SEASON_HRS_TOM*B349*(1+DIM_TOM)^B349+SEASON_HRS_CAR*C349*(1+DIM_CAR)^C349</f>
        <v>6616.7611003544</v>
      </c>
      <c r="E349" s="18">
        <f>(FARMER_FIELD_HRS+A349*TEMP_HRS)-D349</f>
        <v>-5896.7611003544</v>
      </c>
      <c r="F349" s="21">
        <f>IF(E349&lt;0,0,MIN(COUNTIF(Labor!$C$59:$C$88,"&lt;="&amp;E349),MAXBED_MES,TOTAL_BEDS-B349-C349))</f>
        <v>0</v>
      </c>
      <c r="G349" s="21">
        <f>B349+C349+F349</f>
        <v>16</v>
      </c>
      <c r="H349" s="22">
        <f>IF(E349&lt;0,-999999999,B349*(PRICE_TOM-FERT_TOM)+C349*(PRICE_CAR-FERT_CAR)+F349*(PRICE_MES-FERT_MES)-(FARMER_SALARY+A349*TEMP_COST)-FIXED_COSTS)</f>
        <v>-999999999</v>
      </c>
    </row>
    <row r="350">
      <c r="A350" s="5" t="n">
        <v>0</v>
      </c>
      <c r="B350" s="5" t="n">
        <v>16</v>
      </c>
      <c r="C350" s="5" t="n">
        <v>1</v>
      </c>
      <c r="D350" s="18">
        <f>SEASON_HRS_TOM*B350*(1+DIM_TOM)^B350+SEASON_HRS_CAR*C350*(1+DIM_CAR)^C350</f>
        <v>6647.5111003544</v>
      </c>
      <c r="E350" s="18">
        <f>(FARMER_FIELD_HRS+A350*TEMP_HRS)-D350</f>
        <v>-5927.5111003544</v>
      </c>
      <c r="F350" s="21">
        <f>IF(E350&lt;0,0,MIN(COUNTIF(Labor!$C$59:$C$88,"&lt;="&amp;E350),MAXBED_MES,TOTAL_BEDS-B350-C350))</f>
        <v>0</v>
      </c>
      <c r="G350" s="21">
        <f>B350+C350+F350</f>
        <v>17</v>
      </c>
      <c r="H350" s="22">
        <f>IF(E350&lt;0,-999999999,B350*(PRICE_TOM-FERT_TOM)+C350*(PRICE_CAR-FERT_CAR)+F350*(PRICE_MES-FERT_MES)-(FARMER_SALARY+A350*TEMP_COST)-FIXED_COSTS)</f>
        <v>-999999999</v>
      </c>
    </row>
    <row r="351">
      <c r="A351" s="5" t="n">
        <v>0</v>
      </c>
      <c r="B351" s="5" t="n">
        <v>16</v>
      </c>
      <c r="C351" s="5" t="n">
        <v>2</v>
      </c>
      <c r="D351" s="18">
        <f>SEASON_HRS_TOM*B351*(1+DIM_TOM)^B351+SEASON_HRS_CAR*C351*(1+DIM_CAR)^C351</f>
        <v>6679.7986003544</v>
      </c>
      <c r="E351" s="18">
        <f>(FARMER_FIELD_HRS+A351*TEMP_HRS)-D351</f>
        <v>-5959.7986003544</v>
      </c>
      <c r="F351" s="21">
        <f>IF(E351&lt;0,0,MIN(COUNTIF(Labor!$C$59:$C$88,"&lt;="&amp;E351),MAXBED_MES,TOTAL_BEDS-B351-C351))</f>
        <v>0</v>
      </c>
      <c r="G351" s="21">
        <f>B351+C351+F351</f>
        <v>18</v>
      </c>
      <c r="H351" s="22">
        <f>IF(E351&lt;0,-999999999,B351*(PRICE_TOM-FERT_TOM)+C351*(PRICE_CAR-FERT_CAR)+F351*(PRICE_MES-FERT_MES)-(FARMER_SALARY+A351*TEMP_COST)-FIXED_COSTS)</f>
        <v>-999999999</v>
      </c>
    </row>
    <row r="352">
      <c r="A352" s="5" t="n">
        <v>0</v>
      </c>
      <c r="B352" s="5" t="n">
        <v>16</v>
      </c>
      <c r="C352" s="5" t="n">
        <v>3</v>
      </c>
      <c r="D352" s="18">
        <f>SEASON_HRS_TOM*B352*(1+DIM_TOM)^B352+SEASON_HRS_CAR*C352*(1+DIM_CAR)^C352</f>
        <v>6713.6812566044</v>
      </c>
      <c r="E352" s="18">
        <f>(FARMER_FIELD_HRS+A352*TEMP_HRS)-D352</f>
        <v>-5993.6812566044</v>
      </c>
      <c r="F352" s="21">
        <f>IF(E352&lt;0,0,MIN(COUNTIF(Labor!$C$59:$C$88,"&lt;="&amp;E352),MAXBED_MES,TOTAL_BEDS-B352-C352))</f>
        <v>0</v>
      </c>
      <c r="G352" s="21">
        <f>B352+C352+F352</f>
        <v>19</v>
      </c>
      <c r="H352" s="22">
        <f>IF(E352&lt;0,-999999999,B352*(PRICE_TOM-FERT_TOM)+C352*(PRICE_CAR-FERT_CAR)+F352*(PRICE_MES-FERT_MES)-(FARMER_SALARY+A352*TEMP_COST)-FIXED_COSTS)</f>
        <v>-999999999</v>
      </c>
    </row>
    <row r="353">
      <c r="A353" s="5" t="n">
        <v>0</v>
      </c>
      <c r="B353" s="5" t="n">
        <v>16</v>
      </c>
      <c r="C353" s="5" t="n">
        <v>4</v>
      </c>
      <c r="D353" s="18">
        <f>SEASON_HRS_TOM*B353*(1+DIM_TOM)^B353+SEASON_HRS_CAR*C353*(1+DIM_CAR)^C353</f>
        <v>6749.2186472294</v>
      </c>
      <c r="E353" s="18">
        <f>(FARMER_FIELD_HRS+A353*TEMP_HRS)-D353</f>
        <v>-6029.2186472294</v>
      </c>
      <c r="F353" s="21">
        <f>IF(E353&lt;0,0,MIN(COUNTIF(Labor!$C$59:$C$88,"&lt;="&amp;E353),MAXBED_MES,TOTAL_BEDS-B353-C353))</f>
        <v>0</v>
      </c>
      <c r="G353" s="21">
        <f>B353+C353+F353</f>
        <v>20</v>
      </c>
      <c r="H353" s="22">
        <f>IF(E353&lt;0,-999999999,B353*(PRICE_TOM-FERT_TOM)+C353*(PRICE_CAR-FERT_CAR)+F353*(PRICE_MES-FERT_MES)-(FARMER_SALARY+A353*TEMP_COST)-FIXED_COSTS)</f>
        <v>-999999999</v>
      </c>
    </row>
    <row r="354">
      <c r="A354" s="5" t="n">
        <v>0</v>
      </c>
      <c r="B354" s="5" t="n">
        <v>16</v>
      </c>
      <c r="C354" s="5" t="n">
        <v>5</v>
      </c>
      <c r="D354" s="18">
        <f>SEASON_HRS_TOM*B354*(1+DIM_TOM)^B354+SEASON_HRS_CAR*C354*(1+DIM_CAR)^C354</f>
        <v>6786.472332287994</v>
      </c>
      <c r="E354" s="18">
        <f>(FARMER_FIELD_HRS+A354*TEMP_HRS)-D354</f>
        <v>-6066.472332287994</v>
      </c>
      <c r="F354" s="21">
        <f>IF(E354&lt;0,0,MIN(COUNTIF(Labor!$C$59:$C$88,"&lt;="&amp;E354),MAXBED_MES,TOTAL_BEDS-B354-C354))</f>
        <v>0</v>
      </c>
      <c r="G354" s="21">
        <f>B354+C354+F354</f>
        <v>21</v>
      </c>
      <c r="H354" s="22">
        <f>IF(E354&lt;0,-999999999,B354*(PRICE_TOM-FERT_TOM)+C354*(PRICE_CAR-FERT_CAR)+F354*(PRICE_MES-FERT_MES)-(FARMER_SALARY+A354*TEMP_COST)-FIXED_COSTS)</f>
        <v>-999999999</v>
      </c>
    </row>
    <row r="355">
      <c r="A355" s="5" t="n">
        <v>0</v>
      </c>
      <c r="B355" s="5" t="n">
        <v>16</v>
      </c>
      <c r="C355" s="5" t="n">
        <v>6</v>
      </c>
      <c r="D355" s="18">
        <f>SEASON_HRS_TOM*B355*(1+DIM_TOM)^B355+SEASON_HRS_CAR*C355*(1+DIM_CAR)^C355</f>
        <v>6825.50591563272</v>
      </c>
      <c r="E355" s="18">
        <f>(FARMER_FIELD_HRS+A355*TEMP_HRS)-D355</f>
        <v>-6105.50591563272</v>
      </c>
      <c r="F355" s="21">
        <f>IF(E355&lt;0,0,MIN(COUNTIF(Labor!$C$59:$C$88,"&lt;="&amp;E355),MAXBED_MES,TOTAL_BEDS-B355-C355))</f>
        <v>0</v>
      </c>
      <c r="G355" s="21">
        <f>B355+C355+F355</f>
        <v>22</v>
      </c>
      <c r="H355" s="22">
        <f>IF(E355&lt;0,-999999999,B355*(PRICE_TOM-FERT_TOM)+C355*(PRICE_CAR-FERT_CAR)+F355*(PRICE_MES-FERT_MES)-(FARMER_SALARY+A355*TEMP_COST)-FIXED_COSTS)</f>
        <v>-999999999</v>
      </c>
    </row>
    <row r="356">
      <c r="A356" s="5" t="n">
        <v>0</v>
      </c>
      <c r="B356" s="5" t="n">
        <v>16</v>
      </c>
      <c r="C356" s="5" t="n">
        <v>7</v>
      </c>
      <c r="D356" s="18">
        <f>SEASON_HRS_TOM*B356*(1+DIM_TOM)^B356+SEASON_HRS_CAR*C356*(1+DIM_CAR)^C356</f>
        <v>6866.385108624724</v>
      </c>
      <c r="E356" s="18">
        <f>(FARMER_FIELD_HRS+A356*TEMP_HRS)-D356</f>
        <v>-6146.385108624724</v>
      </c>
      <c r="F356" s="21">
        <f>IF(E356&lt;0,0,MIN(COUNTIF(Labor!$C$59:$C$88,"&lt;="&amp;E356),MAXBED_MES,TOTAL_BEDS-B356-C356))</f>
        <v>0</v>
      </c>
      <c r="G356" s="21">
        <f>B356+C356+F356</f>
        <v>23</v>
      </c>
      <c r="H356" s="22">
        <f>IF(E356&lt;0,-999999999,B356*(PRICE_TOM-FERT_TOM)+C356*(PRICE_CAR-FERT_CAR)+F356*(PRICE_MES-FERT_MES)-(FARMER_SALARY+A356*TEMP_COST)-FIXED_COSTS)</f>
        <v>-999999999</v>
      </c>
    </row>
    <row r="357">
      <c r="A357" s="5" t="n">
        <v>0</v>
      </c>
      <c r="B357" s="5" t="n">
        <v>16</v>
      </c>
      <c r="C357" s="5" t="n">
        <v>8</v>
      </c>
      <c r="D357" s="18">
        <f>SEASON_HRS_TOM*B357*(1+DIM_TOM)^B357+SEASON_HRS_CAR*C357*(1+DIM_CAR)^C357</f>
        <v>6909.17779575678</v>
      </c>
      <c r="E357" s="18">
        <f>(FARMER_FIELD_HRS+A357*TEMP_HRS)-D357</f>
        <v>-6189.17779575678</v>
      </c>
      <c r="F357" s="21">
        <f>IF(E357&lt;0,0,MIN(COUNTIF(Labor!$C$59:$C$88,"&lt;="&amp;E357),MAXBED_MES,TOTAL_BEDS-B357-C357))</f>
        <v>0</v>
      </c>
      <c r="G357" s="21">
        <f>B357+C357+F357</f>
        <v>24</v>
      </c>
      <c r="H357" s="22">
        <f>IF(E357&lt;0,-999999999,B357*(PRICE_TOM-FERT_TOM)+C357*(PRICE_CAR-FERT_CAR)+F357*(PRICE_MES-FERT_MES)-(FARMER_SALARY+A357*TEMP_COST)-FIXED_COSTS)</f>
        <v>-999999999</v>
      </c>
    </row>
    <row r="358">
      <c r="A358" s="5" t="n">
        <v>0</v>
      </c>
      <c r="B358" s="5" t="n">
        <v>16</v>
      </c>
      <c r="C358" s="5" t="n">
        <v>9</v>
      </c>
      <c r="D358" s="18">
        <f>SEASON_HRS_TOM*B358*(1+DIM_TOM)^B358+SEASON_HRS_CAR*C358*(1+DIM_CAR)^C358</f>
        <v>6953.954102240269</v>
      </c>
      <c r="E358" s="18">
        <f>(FARMER_FIELD_HRS+A358*TEMP_HRS)-D358</f>
        <v>-6233.954102240269</v>
      </c>
      <c r="F358" s="21">
        <f>IF(E358&lt;0,0,MIN(COUNTIF(Labor!$C$59:$C$88,"&lt;="&amp;E358),MAXBED_MES,TOTAL_BEDS-B358-C358))</f>
        <v>0</v>
      </c>
      <c r="G358" s="21">
        <f>B358+C358+F358</f>
        <v>25</v>
      </c>
      <c r="H358" s="22">
        <f>IF(E358&lt;0,-999999999,B358*(PRICE_TOM-FERT_TOM)+C358*(PRICE_CAR-FERT_CAR)+F358*(PRICE_MES-FERT_MES)-(FARMER_SALARY+A358*TEMP_COST)-FIXED_COSTS)</f>
        <v>-999999999</v>
      </c>
    </row>
    <row r="359">
      <c r="A359" s="5" t="n">
        <v>0</v>
      </c>
      <c r="B359" s="5" t="n">
        <v>16</v>
      </c>
      <c r="C359" s="5" t="n">
        <v>10</v>
      </c>
      <c r="D359" s="18">
        <f>SEASON_HRS_TOM*B359*(1+DIM_TOM)^B359+SEASON_HRS_CAR*C359*(1+DIM_CAR)^C359</f>
        <v>7000.786463613307</v>
      </c>
      <c r="E359" s="18">
        <f>(FARMER_FIELD_HRS+A359*TEMP_HRS)-D359</f>
        <v>-6280.786463613307</v>
      </c>
      <c r="F359" s="21">
        <f>IF(E359&lt;0,0,MIN(COUNTIF(Labor!$C$59:$C$88,"&lt;="&amp;E359),MAXBED_MES,TOTAL_BEDS-B359-C359))</f>
        <v>0</v>
      </c>
      <c r="G359" s="21">
        <f>B359+C359+F359</f>
        <v>26</v>
      </c>
      <c r="H359" s="22">
        <f>IF(E359&lt;0,-999999999,B359*(PRICE_TOM-FERT_TOM)+C359*(PRICE_CAR-FERT_CAR)+F359*(PRICE_MES-FERT_MES)-(FARMER_SALARY+A359*TEMP_COST)-FIXED_COSTS)</f>
        <v>-999999999</v>
      </c>
    </row>
    <row r="360">
      <c r="A360" s="5" t="n">
        <v>0</v>
      </c>
      <c r="B360" s="5" t="n">
        <v>16</v>
      </c>
      <c r="C360" s="5" t="n">
        <v>11</v>
      </c>
      <c r="D360" s="18">
        <f>SEASON_HRS_TOM*B360*(1+DIM_TOM)^B360+SEASON_HRS_CAR*C360*(1+DIM_CAR)^C360</f>
        <v>7049.749697428817</v>
      </c>
      <c r="E360" s="18">
        <f>(FARMER_FIELD_HRS+A360*TEMP_HRS)-D360</f>
        <v>-6329.749697428817</v>
      </c>
      <c r="F360" s="21">
        <f>IF(E360&lt;0,0,MIN(COUNTIF(Labor!$C$59:$C$88,"&lt;="&amp;E360),MAXBED_MES,TOTAL_BEDS-B360-C360))</f>
        <v>0</v>
      </c>
      <c r="G360" s="21">
        <f>B360+C360+F360</f>
        <v>27</v>
      </c>
      <c r="H360" s="22">
        <f>IF(E360&lt;0,-999999999,B360*(PRICE_TOM-FERT_TOM)+C360*(PRICE_CAR-FERT_CAR)+F360*(PRICE_MES-FERT_MES)-(FARMER_SALARY+A360*TEMP_COST)-FIXED_COSTS)</f>
        <v>-999999999</v>
      </c>
    </row>
    <row r="361">
      <c r="A361" s="5" t="n">
        <v>0</v>
      </c>
      <c r="B361" s="5" t="n">
        <v>16</v>
      </c>
      <c r="C361" s="5" t="n">
        <v>12</v>
      </c>
      <c r="D361" s="18">
        <f>SEASON_HRS_TOM*B361*(1+DIM_TOM)^B361+SEASON_HRS_CAR*C361*(1+DIM_CAR)^C361</f>
        <v>7100.921077083067</v>
      </c>
      <c r="E361" s="18">
        <f>(FARMER_FIELD_HRS+A361*TEMP_HRS)-D361</f>
        <v>-6380.921077083067</v>
      </c>
      <c r="F361" s="21">
        <f>IF(E361&lt;0,0,MIN(COUNTIF(Labor!$C$59:$C$88,"&lt;="&amp;E361),MAXBED_MES,TOTAL_BEDS-B361-C361))</f>
        <v>0</v>
      </c>
      <c r="G361" s="21">
        <f>B361+C361+F361</f>
        <v>28</v>
      </c>
      <c r="H361" s="22">
        <f>IF(E361&lt;0,-999999999,B361*(PRICE_TOM-FERT_TOM)+C361*(PRICE_CAR-FERT_CAR)+F361*(PRICE_MES-FERT_MES)-(FARMER_SALARY+A361*TEMP_COST)-FIXED_COSTS)</f>
        <v>-999999999</v>
      </c>
    </row>
    <row r="362">
      <c r="A362" s="5" t="n">
        <v>0</v>
      </c>
      <c r="B362" s="5" t="n">
        <v>16</v>
      </c>
      <c r="C362" s="5" t="n">
        <v>13</v>
      </c>
      <c r="D362" s="18">
        <f>SEASON_HRS_TOM*B362*(1+DIM_TOM)^B362+SEASON_HRS_CAR*C362*(1+DIM_CAR)^C362</f>
        <v>7154.3804078468565</v>
      </c>
      <c r="E362" s="18">
        <f>(FARMER_FIELD_HRS+A362*TEMP_HRS)-D362</f>
        <v>-6434.3804078468565</v>
      </c>
      <c r="F362" s="21">
        <f>IF(E362&lt;0,0,MIN(COUNTIF(Labor!$C$59:$C$88,"&lt;="&amp;E362),MAXBED_MES,TOTAL_BEDS-B362-C362))</f>
        <v>0</v>
      </c>
      <c r="G362" s="21">
        <f>B362+C362+F362</f>
        <v>29</v>
      </c>
      <c r="H362" s="22">
        <f>IF(E362&lt;0,-999999999,B362*(PRICE_TOM-FERT_TOM)+C362*(PRICE_CAR-FERT_CAR)+F362*(PRICE_MES-FERT_MES)-(FARMER_SALARY+A362*TEMP_COST)-FIXED_COSTS)</f>
        <v>-999999999</v>
      </c>
    </row>
    <row r="363">
      <c r="A363" s="5" t="n">
        <v>0</v>
      </c>
      <c r="B363" s="5" t="n">
        <v>16</v>
      </c>
      <c r="C363" s="5" t="n">
        <v>14</v>
      </c>
      <c r="D363" s="18">
        <f>SEASON_HRS_TOM*B363*(1+DIM_TOM)^B363+SEASON_HRS_CAR*C363*(1+DIM_CAR)^C363</f>
        <v>7210.210105163382</v>
      </c>
      <c r="E363" s="18">
        <f>(FARMER_FIELD_HRS+A363*TEMP_HRS)-D363</f>
        <v>-6490.210105163382</v>
      </c>
      <c r="F363" s="21">
        <f>IF(E363&lt;0,0,MIN(COUNTIF(Labor!$C$59:$C$88,"&lt;="&amp;E363),MAXBED_MES,TOTAL_BEDS-B363-C363))</f>
        <v>0</v>
      </c>
      <c r="G363" s="21">
        <f>B363+C363+F363</f>
        <v>30</v>
      </c>
      <c r="H363" s="22">
        <f>IF(E363&lt;0,-999999999,B363*(PRICE_TOM-FERT_TOM)+C363*(PRICE_CAR-FERT_CAR)+F363*(PRICE_MES-FERT_MES)-(FARMER_SALARY+A363*TEMP_COST)-FIXED_COSTS)</f>
        <v>-999999999</v>
      </c>
    </row>
    <row r="364">
      <c r="A364" s="5" t="n">
        <v>0</v>
      </c>
      <c r="B364" s="5" t="n">
        <v>16</v>
      </c>
      <c r="C364" s="5" t="n">
        <v>15</v>
      </c>
      <c r="D364" s="18">
        <f>SEASON_HRS_TOM*B364*(1+DIM_TOM)^B364+SEASON_HRS_CAR*C364*(1+DIM_CAR)^C364</f>
        <v>7268.495275278549</v>
      </c>
      <c r="E364" s="18">
        <f>(FARMER_FIELD_HRS+A364*TEMP_HRS)-D364</f>
        <v>-6548.495275278549</v>
      </c>
      <c r="F364" s="21">
        <f>IF(E364&lt;0,0,MIN(COUNTIF(Labor!$C$59:$C$88,"&lt;="&amp;E364),MAXBED_MES,TOTAL_BEDS-B364-C364))</f>
        <v>0</v>
      </c>
      <c r="G364" s="21">
        <f>B364+C364+F364</f>
        <v>31</v>
      </c>
      <c r="H364" s="22">
        <f>IF(E364&lt;0,-999999999,B364*(PRICE_TOM-FERT_TOM)+C364*(PRICE_CAR-FERT_CAR)+F364*(PRICE_MES-FERT_MES)-(FARMER_SALARY+A364*TEMP_COST)-FIXED_COSTS)</f>
        <v>-999999999</v>
      </c>
    </row>
    <row r="365">
      <c r="A365" s="5" t="n">
        <v>0</v>
      </c>
      <c r="B365" s="5" t="n">
        <v>16</v>
      </c>
      <c r="C365" s="5" t="n">
        <v>16</v>
      </c>
      <c r="D365" s="18">
        <f>SEASON_HRS_TOM*B365*(1+DIM_TOM)^B365+SEASON_HRS_CAR*C365*(1+DIM_CAR)^C365</f>
        <v>7329.32379827147</v>
      </c>
      <c r="E365" s="18">
        <f>(FARMER_FIELD_HRS+A365*TEMP_HRS)-D365</f>
        <v>-6609.32379827147</v>
      </c>
      <c r="F365" s="21">
        <f>IF(E365&lt;0,0,MIN(COUNTIF(Labor!$C$59:$C$88,"&lt;="&amp;E365),MAXBED_MES,TOTAL_BEDS-B365-C365))</f>
        <v>0</v>
      </c>
      <c r="G365" s="21">
        <f>B365+C365+F365</f>
        <v>32</v>
      </c>
      <c r="H365" s="22">
        <f>IF(E365&lt;0,-999999999,B365*(PRICE_TOM-FERT_TOM)+C365*(PRICE_CAR-FERT_CAR)+F365*(PRICE_MES-FERT_MES)-(FARMER_SALARY+A365*TEMP_COST)-FIXED_COSTS)</f>
        <v>-999999999</v>
      </c>
    </row>
    <row r="366">
      <c r="A366" s="5" t="n">
        <v>0</v>
      </c>
      <c r="B366" s="5" t="n">
        <v>16</v>
      </c>
      <c r="C366" s="5" t="n">
        <v>17</v>
      </c>
      <c r="D366" s="18">
        <f>SEASON_HRS_TOM*B366*(1+DIM_TOM)^B366+SEASON_HRS_CAR*C366*(1+DIM_CAR)^C366</f>
        <v>7392.786413554709</v>
      </c>
      <c r="E366" s="18">
        <f>(FARMER_FIELD_HRS+A366*TEMP_HRS)-D366</f>
        <v>-6672.786413554709</v>
      </c>
      <c r="F366" s="21">
        <f>IF(E366&lt;0,0,MIN(COUNTIF(Labor!$C$59:$C$88,"&lt;="&amp;E366),MAXBED_MES,TOTAL_BEDS-B366-C366))</f>
        <v>0</v>
      </c>
      <c r="G366" s="21">
        <f>B366+C366+F366</f>
        <v>33</v>
      </c>
      <c r="H366" s="22">
        <f>IF(E366&lt;0,-999999999,B366*(PRICE_TOM-FERT_TOM)+C366*(PRICE_CAR-FERT_CAR)+F366*(PRICE_MES-FERT_MES)-(FARMER_SALARY+A366*TEMP_COST)-FIXED_COSTS)</f>
        <v>-999999999</v>
      </c>
    </row>
    <row r="367">
      <c r="A367" s="5" t="n">
        <v>0</v>
      </c>
      <c r="B367" s="5" t="n">
        <v>16</v>
      </c>
      <c r="C367" s="5" t="n">
        <v>18</v>
      </c>
      <c r="D367" s="18">
        <f>SEASON_HRS_TOM*B367*(1+DIM_TOM)^B367+SEASON_HRS_CAR*C367*(1+DIM_CAR)^C367</f>
        <v>7458.976807915911</v>
      </c>
      <c r="E367" s="18">
        <f>(FARMER_FIELD_HRS+A367*TEMP_HRS)-D367</f>
        <v>-6738.976807915911</v>
      </c>
      <c r="F367" s="21">
        <f>IF(E367&lt;0,0,MIN(COUNTIF(Labor!$C$59:$C$88,"&lt;="&amp;E367),MAXBED_MES,TOTAL_BEDS-B367-C367))</f>
        <v>0</v>
      </c>
      <c r="G367" s="21">
        <f>B367+C367+F367</f>
        <v>34</v>
      </c>
      <c r="H367" s="22">
        <f>IF(E367&lt;0,-999999999,B367*(PRICE_TOM-FERT_TOM)+C367*(PRICE_CAR-FERT_CAR)+F367*(PRICE_MES-FERT_MES)-(FARMER_SALARY+A367*TEMP_COST)-FIXED_COSTS)</f>
        <v>-999999999</v>
      </c>
    </row>
    <row r="368">
      <c r="A368" s="5" t="n">
        <v>0</v>
      </c>
      <c r="B368" s="5" t="n">
        <v>16</v>
      </c>
      <c r="C368" s="5" t="n">
        <v>19</v>
      </c>
      <c r="D368" s="18">
        <f>SEASON_HRS_TOM*B368*(1+DIM_TOM)^B368+SEASON_HRS_CAR*C368*(1+DIM_CAR)^C368</f>
        <v>7527.991706174424</v>
      </c>
      <c r="E368" s="18">
        <f>(FARMER_FIELD_HRS+A368*TEMP_HRS)-D368</f>
        <v>-6807.991706174424</v>
      </c>
      <c r="F368" s="21">
        <f>IF(E368&lt;0,0,MIN(COUNTIF(Labor!$C$59:$C$88,"&lt;="&amp;E368),MAXBED_MES,TOTAL_BEDS-B368-C368))</f>
        <v>0</v>
      </c>
      <c r="G368" s="21">
        <f>B368+C368+F368</f>
        <v>35</v>
      </c>
      <c r="H368" s="22">
        <f>IF(E368&lt;0,-999999999,B368*(PRICE_TOM-FERT_TOM)+C368*(PRICE_CAR-FERT_CAR)+F368*(PRICE_MES-FERT_MES)-(FARMER_SALARY+A368*TEMP_COST)-FIXED_COSTS)</f>
        <v>-999999999</v>
      </c>
    </row>
    <row r="369">
      <c r="A369" s="5" t="n">
        <v>0</v>
      </c>
      <c r="B369" s="5" t="n">
        <v>16</v>
      </c>
      <c r="C369" s="5" t="n">
        <v>20</v>
      </c>
      <c r="D369" s="18">
        <f>SEASON_HRS_TOM*B369*(1+DIM_TOM)^B369+SEASON_HRS_CAR*C369*(1+DIM_CAR)^C369</f>
        <v>7599.930964528637</v>
      </c>
      <c r="E369" s="18">
        <f>(FARMER_FIELD_HRS+A369*TEMP_HRS)-D369</f>
        <v>-6879.930964528637</v>
      </c>
      <c r="F369" s="21">
        <f>IF(E369&lt;0,0,MIN(COUNTIF(Labor!$C$59:$C$88,"&lt;="&amp;E369),MAXBED_MES,TOTAL_BEDS-B369-C369))</f>
        <v>0</v>
      </c>
      <c r="G369" s="21">
        <f>B369+C369+F369</f>
        <v>36</v>
      </c>
      <c r="H369" s="22">
        <f>IF(E369&lt;0,-999999999,B369*(PRICE_TOM-FERT_TOM)+C369*(PRICE_CAR-FERT_CAR)+F369*(PRICE_MES-FERT_MES)-(FARMER_SALARY+A369*TEMP_COST)-FIXED_COSTS)</f>
        <v>-999999999</v>
      </c>
    </row>
    <row r="370">
      <c r="A370" s="5" t="n">
        <v>0</v>
      </c>
      <c r="B370" s="5" t="n">
        <v>17</v>
      </c>
      <c r="C370" s="5" t="n">
        <v>0</v>
      </c>
      <c r="D370" s="18">
        <f>SEASON_HRS_TOM*B370*(1+DIM_TOM)^B370+SEASON_HRS_CAR*C370*(1+DIM_CAR)^C370</f>
        <v>7733.339536039206</v>
      </c>
      <c r="E370" s="18">
        <f>(FARMER_FIELD_HRS+A370*TEMP_HRS)-D370</f>
        <v>-7013.339536039206</v>
      </c>
      <c r="F370" s="21">
        <f>IF(E370&lt;0,0,MIN(COUNTIF(Labor!$C$59:$C$88,"&lt;="&amp;E370),MAXBED_MES,TOTAL_BEDS-B370-C370))</f>
        <v>0</v>
      </c>
      <c r="G370" s="21">
        <f>B370+C370+F370</f>
        <v>17</v>
      </c>
      <c r="H370" s="22">
        <f>IF(E370&lt;0,-999999999,B370*(PRICE_TOM-FERT_TOM)+C370*(PRICE_CAR-FERT_CAR)+F370*(PRICE_MES-FERT_MES)-(FARMER_SALARY+A370*TEMP_COST)-FIXED_COSTS)</f>
        <v>-999999999</v>
      </c>
    </row>
    <row r="371">
      <c r="A371" s="5" t="n">
        <v>0</v>
      </c>
      <c r="B371" s="5" t="n">
        <v>17</v>
      </c>
      <c r="C371" s="5" t="n">
        <v>1</v>
      </c>
      <c r="D371" s="18">
        <f>SEASON_HRS_TOM*B371*(1+DIM_TOM)^B371+SEASON_HRS_CAR*C371*(1+DIM_CAR)^C371</f>
        <v>7764.089536039206</v>
      </c>
      <c r="E371" s="18">
        <f>(FARMER_FIELD_HRS+A371*TEMP_HRS)-D371</f>
        <v>-7044.089536039206</v>
      </c>
      <c r="F371" s="21">
        <f>IF(E371&lt;0,0,MIN(COUNTIF(Labor!$C$59:$C$88,"&lt;="&amp;E371),MAXBED_MES,TOTAL_BEDS-B371-C371))</f>
        <v>0</v>
      </c>
      <c r="G371" s="21">
        <f>B371+C371+F371</f>
        <v>18</v>
      </c>
      <c r="H371" s="22">
        <f>IF(E371&lt;0,-999999999,B371*(PRICE_TOM-FERT_TOM)+C371*(PRICE_CAR-FERT_CAR)+F371*(PRICE_MES-FERT_MES)-(FARMER_SALARY+A371*TEMP_COST)-FIXED_COSTS)</f>
        <v>-999999999</v>
      </c>
    </row>
    <row r="372">
      <c r="A372" s="5" t="n">
        <v>0</v>
      </c>
      <c r="B372" s="5" t="n">
        <v>17</v>
      </c>
      <c r="C372" s="5" t="n">
        <v>2</v>
      </c>
      <c r="D372" s="18">
        <f>SEASON_HRS_TOM*B372*(1+DIM_TOM)^B372+SEASON_HRS_CAR*C372*(1+DIM_CAR)^C372</f>
        <v>7796.377036039206</v>
      </c>
      <c r="E372" s="18">
        <f>(FARMER_FIELD_HRS+A372*TEMP_HRS)-D372</f>
        <v>-7076.377036039206</v>
      </c>
      <c r="F372" s="21">
        <f>IF(E372&lt;0,0,MIN(COUNTIF(Labor!$C$59:$C$88,"&lt;="&amp;E372),MAXBED_MES,TOTAL_BEDS-B372-C372))</f>
        <v>0</v>
      </c>
      <c r="G372" s="21">
        <f>B372+C372+F372</f>
        <v>19</v>
      </c>
      <c r="H372" s="22">
        <f>IF(E372&lt;0,-999999999,B372*(PRICE_TOM-FERT_TOM)+C372*(PRICE_CAR-FERT_CAR)+F372*(PRICE_MES-FERT_MES)-(FARMER_SALARY+A372*TEMP_COST)-FIXED_COSTS)</f>
        <v>-999999999</v>
      </c>
    </row>
    <row r="373">
      <c r="A373" s="5" t="n">
        <v>0</v>
      </c>
      <c r="B373" s="5" t="n">
        <v>17</v>
      </c>
      <c r="C373" s="5" t="n">
        <v>3</v>
      </c>
      <c r="D373" s="18">
        <f>SEASON_HRS_TOM*B373*(1+DIM_TOM)^B373+SEASON_HRS_CAR*C373*(1+DIM_CAR)^C373</f>
        <v>7830.259692289206</v>
      </c>
      <c r="E373" s="18">
        <f>(FARMER_FIELD_HRS+A373*TEMP_HRS)-D373</f>
        <v>-7110.259692289206</v>
      </c>
      <c r="F373" s="21">
        <f>IF(E373&lt;0,0,MIN(COUNTIF(Labor!$C$59:$C$88,"&lt;="&amp;E373),MAXBED_MES,TOTAL_BEDS-B373-C373))</f>
        <v>0</v>
      </c>
      <c r="G373" s="21">
        <f>B373+C373+F373</f>
        <v>20</v>
      </c>
      <c r="H373" s="22">
        <f>IF(E373&lt;0,-999999999,B373*(PRICE_TOM-FERT_TOM)+C373*(PRICE_CAR-FERT_CAR)+F373*(PRICE_MES-FERT_MES)-(FARMER_SALARY+A373*TEMP_COST)-FIXED_COSTS)</f>
        <v>-999999999</v>
      </c>
    </row>
    <row r="374">
      <c r="A374" s="5" t="n">
        <v>0</v>
      </c>
      <c r="B374" s="5" t="n">
        <v>17</v>
      </c>
      <c r="C374" s="5" t="n">
        <v>4</v>
      </c>
      <c r="D374" s="18">
        <f>SEASON_HRS_TOM*B374*(1+DIM_TOM)^B374+SEASON_HRS_CAR*C374*(1+DIM_CAR)^C374</f>
        <v>7865.797082914206</v>
      </c>
      <c r="E374" s="18">
        <f>(FARMER_FIELD_HRS+A374*TEMP_HRS)-D374</f>
        <v>-7145.797082914206</v>
      </c>
      <c r="F374" s="21">
        <f>IF(E374&lt;0,0,MIN(COUNTIF(Labor!$C$59:$C$88,"&lt;="&amp;E374),MAXBED_MES,TOTAL_BEDS-B374-C374))</f>
        <v>0</v>
      </c>
      <c r="G374" s="21">
        <f>B374+C374+F374</f>
        <v>21</v>
      </c>
      <c r="H374" s="22">
        <f>IF(E374&lt;0,-999999999,B374*(PRICE_TOM-FERT_TOM)+C374*(PRICE_CAR-FERT_CAR)+F374*(PRICE_MES-FERT_MES)-(FARMER_SALARY+A374*TEMP_COST)-FIXED_COSTS)</f>
        <v>-999999999</v>
      </c>
    </row>
    <row r="375">
      <c r="A375" s="5" t="n">
        <v>0</v>
      </c>
      <c r="B375" s="5" t="n">
        <v>17</v>
      </c>
      <c r="C375" s="5" t="n">
        <v>5</v>
      </c>
      <c r="D375" s="18">
        <f>SEASON_HRS_TOM*B375*(1+DIM_TOM)^B375+SEASON_HRS_CAR*C375*(1+DIM_CAR)^C375</f>
        <v>7903.0507679728</v>
      </c>
      <c r="E375" s="18">
        <f>(FARMER_FIELD_HRS+A375*TEMP_HRS)-D375</f>
        <v>-7183.0507679728</v>
      </c>
      <c r="F375" s="21">
        <f>IF(E375&lt;0,0,MIN(COUNTIF(Labor!$C$59:$C$88,"&lt;="&amp;E375),MAXBED_MES,TOTAL_BEDS-B375-C375))</f>
        <v>0</v>
      </c>
      <c r="G375" s="21">
        <f>B375+C375+F375</f>
        <v>22</v>
      </c>
      <c r="H375" s="22">
        <f>IF(E375&lt;0,-999999999,B375*(PRICE_TOM-FERT_TOM)+C375*(PRICE_CAR-FERT_CAR)+F375*(PRICE_MES-FERT_MES)-(FARMER_SALARY+A375*TEMP_COST)-FIXED_COSTS)</f>
        <v>-999999999</v>
      </c>
    </row>
    <row r="376">
      <c r="A376" s="5" t="n">
        <v>0</v>
      </c>
      <c r="B376" s="5" t="n">
        <v>17</v>
      </c>
      <c r="C376" s="5" t="n">
        <v>6</v>
      </c>
      <c r="D376" s="18">
        <f>SEASON_HRS_TOM*B376*(1+DIM_TOM)^B376+SEASON_HRS_CAR*C376*(1+DIM_CAR)^C376</f>
        <v>7942.084351317526</v>
      </c>
      <c r="E376" s="18">
        <f>(FARMER_FIELD_HRS+A376*TEMP_HRS)-D376</f>
        <v>-7222.084351317526</v>
      </c>
      <c r="F376" s="21">
        <f>IF(E376&lt;0,0,MIN(COUNTIF(Labor!$C$59:$C$88,"&lt;="&amp;E376),MAXBED_MES,TOTAL_BEDS-B376-C376))</f>
        <v>0</v>
      </c>
      <c r="G376" s="21">
        <f>B376+C376+F376</f>
        <v>23</v>
      </c>
      <c r="H376" s="22">
        <f>IF(E376&lt;0,-999999999,B376*(PRICE_TOM-FERT_TOM)+C376*(PRICE_CAR-FERT_CAR)+F376*(PRICE_MES-FERT_MES)-(FARMER_SALARY+A376*TEMP_COST)-FIXED_COSTS)</f>
        <v>-999999999</v>
      </c>
    </row>
    <row r="377">
      <c r="A377" s="5" t="n">
        <v>0</v>
      </c>
      <c r="B377" s="5" t="n">
        <v>17</v>
      </c>
      <c r="C377" s="5" t="n">
        <v>7</v>
      </c>
      <c r="D377" s="18">
        <f>SEASON_HRS_TOM*B377*(1+DIM_TOM)^B377+SEASON_HRS_CAR*C377*(1+DIM_CAR)^C377</f>
        <v>7982.96354430953</v>
      </c>
      <c r="E377" s="18">
        <f>(FARMER_FIELD_HRS+A377*TEMP_HRS)-D377</f>
        <v>-7262.96354430953</v>
      </c>
      <c r="F377" s="21">
        <f>IF(E377&lt;0,0,MIN(COUNTIF(Labor!$C$59:$C$88,"&lt;="&amp;E377),MAXBED_MES,TOTAL_BEDS-B377-C377))</f>
        <v>0</v>
      </c>
      <c r="G377" s="21">
        <f>B377+C377+F377</f>
        <v>24</v>
      </c>
      <c r="H377" s="22">
        <f>IF(E377&lt;0,-999999999,B377*(PRICE_TOM-FERT_TOM)+C377*(PRICE_CAR-FERT_CAR)+F377*(PRICE_MES-FERT_MES)-(FARMER_SALARY+A377*TEMP_COST)-FIXED_COSTS)</f>
        <v>-999999999</v>
      </c>
    </row>
    <row r="378">
      <c r="A378" s="5" t="n">
        <v>0</v>
      </c>
      <c r="B378" s="5" t="n">
        <v>17</v>
      </c>
      <c r="C378" s="5" t="n">
        <v>8</v>
      </c>
      <c r="D378" s="18">
        <f>SEASON_HRS_TOM*B378*(1+DIM_TOM)^B378+SEASON_HRS_CAR*C378*(1+DIM_CAR)^C378</f>
        <v>8025.756231441586</v>
      </c>
      <c r="E378" s="18">
        <f>(FARMER_FIELD_HRS+A378*TEMP_HRS)-D378</f>
        <v>-7305.756231441586</v>
      </c>
      <c r="F378" s="21">
        <f>IF(E378&lt;0,0,MIN(COUNTIF(Labor!$C$59:$C$88,"&lt;="&amp;E378),MAXBED_MES,TOTAL_BEDS-B378-C378))</f>
        <v>0</v>
      </c>
      <c r="G378" s="21">
        <f>B378+C378+F378</f>
        <v>25</v>
      </c>
      <c r="H378" s="22">
        <f>IF(E378&lt;0,-999999999,B378*(PRICE_TOM-FERT_TOM)+C378*(PRICE_CAR-FERT_CAR)+F378*(PRICE_MES-FERT_MES)-(FARMER_SALARY+A378*TEMP_COST)-FIXED_COSTS)</f>
        <v>-999999999</v>
      </c>
    </row>
    <row r="379">
      <c r="A379" s="5" t="n">
        <v>0</v>
      </c>
      <c r="B379" s="5" t="n">
        <v>17</v>
      </c>
      <c r="C379" s="5" t="n">
        <v>9</v>
      </c>
      <c r="D379" s="18">
        <f>SEASON_HRS_TOM*B379*(1+DIM_TOM)^B379+SEASON_HRS_CAR*C379*(1+DIM_CAR)^C379</f>
        <v>8070.532537925075</v>
      </c>
      <c r="E379" s="18">
        <f>(FARMER_FIELD_HRS+A379*TEMP_HRS)-D379</f>
        <v>-7350.532537925075</v>
      </c>
      <c r="F379" s="21">
        <f>IF(E379&lt;0,0,MIN(COUNTIF(Labor!$C$59:$C$88,"&lt;="&amp;E379),MAXBED_MES,TOTAL_BEDS-B379-C379))</f>
        <v>0</v>
      </c>
      <c r="G379" s="21">
        <f>B379+C379+F379</f>
        <v>26</v>
      </c>
      <c r="H379" s="22">
        <f>IF(E379&lt;0,-999999999,B379*(PRICE_TOM-FERT_TOM)+C379*(PRICE_CAR-FERT_CAR)+F379*(PRICE_MES-FERT_MES)-(FARMER_SALARY+A379*TEMP_COST)-FIXED_COSTS)</f>
        <v>-999999999</v>
      </c>
    </row>
    <row r="380">
      <c r="A380" s="5" t="n">
        <v>0</v>
      </c>
      <c r="B380" s="5" t="n">
        <v>17</v>
      </c>
      <c r="C380" s="5" t="n">
        <v>10</v>
      </c>
      <c r="D380" s="18">
        <f>SEASON_HRS_TOM*B380*(1+DIM_TOM)^B380+SEASON_HRS_CAR*C380*(1+DIM_CAR)^C380</f>
        <v>8117.364899298113</v>
      </c>
      <c r="E380" s="18">
        <f>(FARMER_FIELD_HRS+A380*TEMP_HRS)-D380</f>
        <v>-7397.364899298113</v>
      </c>
      <c r="F380" s="21">
        <f>IF(E380&lt;0,0,MIN(COUNTIF(Labor!$C$59:$C$88,"&lt;="&amp;E380),MAXBED_MES,TOTAL_BEDS-B380-C380))</f>
        <v>0</v>
      </c>
      <c r="G380" s="21">
        <f>B380+C380+F380</f>
        <v>27</v>
      </c>
      <c r="H380" s="22">
        <f>IF(E380&lt;0,-999999999,B380*(PRICE_TOM-FERT_TOM)+C380*(PRICE_CAR-FERT_CAR)+F380*(PRICE_MES-FERT_MES)-(FARMER_SALARY+A380*TEMP_COST)-FIXED_COSTS)</f>
        <v>-999999999</v>
      </c>
    </row>
    <row r="381">
      <c r="A381" s="5" t="n">
        <v>0</v>
      </c>
      <c r="B381" s="5" t="n">
        <v>17</v>
      </c>
      <c r="C381" s="5" t="n">
        <v>11</v>
      </c>
      <c r="D381" s="18">
        <f>SEASON_HRS_TOM*B381*(1+DIM_TOM)^B381+SEASON_HRS_CAR*C381*(1+DIM_CAR)^C381</f>
        <v>8166.328133113624</v>
      </c>
      <c r="E381" s="18">
        <f>(FARMER_FIELD_HRS+A381*TEMP_HRS)-D381</f>
        <v>-7446.328133113624</v>
      </c>
      <c r="F381" s="21">
        <f>IF(E381&lt;0,0,MIN(COUNTIF(Labor!$C$59:$C$88,"&lt;="&amp;E381),MAXBED_MES,TOTAL_BEDS-B381-C381))</f>
        <v>0</v>
      </c>
      <c r="G381" s="21">
        <f>B381+C381+F381</f>
        <v>28</v>
      </c>
      <c r="H381" s="22">
        <f>IF(E381&lt;0,-999999999,B381*(PRICE_TOM-FERT_TOM)+C381*(PRICE_CAR-FERT_CAR)+F381*(PRICE_MES-FERT_MES)-(FARMER_SALARY+A381*TEMP_COST)-FIXED_COSTS)</f>
        <v>-999999999</v>
      </c>
    </row>
    <row r="382">
      <c r="A382" s="5" t="n">
        <v>0</v>
      </c>
      <c r="B382" s="5" t="n">
        <v>17</v>
      </c>
      <c r="C382" s="5" t="n">
        <v>12</v>
      </c>
      <c r="D382" s="18">
        <f>SEASON_HRS_TOM*B382*(1+DIM_TOM)^B382+SEASON_HRS_CAR*C382*(1+DIM_CAR)^C382</f>
        <v>8217.499512767872</v>
      </c>
      <c r="E382" s="18">
        <f>(FARMER_FIELD_HRS+A382*TEMP_HRS)-D382</f>
        <v>-7497.499512767872</v>
      </c>
      <c r="F382" s="21">
        <f>IF(E382&lt;0,0,MIN(COUNTIF(Labor!$C$59:$C$88,"&lt;="&amp;E382),MAXBED_MES,TOTAL_BEDS-B382-C382))</f>
        <v>0</v>
      </c>
      <c r="G382" s="21">
        <f>B382+C382+F382</f>
        <v>29</v>
      </c>
      <c r="H382" s="22">
        <f>IF(E382&lt;0,-999999999,B382*(PRICE_TOM-FERT_TOM)+C382*(PRICE_CAR-FERT_CAR)+F382*(PRICE_MES-FERT_MES)-(FARMER_SALARY+A382*TEMP_COST)-FIXED_COSTS)</f>
        <v>-999999999</v>
      </c>
    </row>
    <row r="383">
      <c r="A383" s="5" t="n">
        <v>0</v>
      </c>
      <c r="B383" s="5" t="n">
        <v>17</v>
      </c>
      <c r="C383" s="5" t="n">
        <v>13</v>
      </c>
      <c r="D383" s="18">
        <f>SEASON_HRS_TOM*B383*(1+DIM_TOM)^B383+SEASON_HRS_CAR*C383*(1+DIM_CAR)^C383</f>
        <v>8270.958843531664</v>
      </c>
      <c r="E383" s="18">
        <f>(FARMER_FIELD_HRS+A383*TEMP_HRS)-D383</f>
        <v>-7550.958843531664</v>
      </c>
      <c r="F383" s="21">
        <f>IF(E383&lt;0,0,MIN(COUNTIF(Labor!$C$59:$C$88,"&lt;="&amp;E383),MAXBED_MES,TOTAL_BEDS-B383-C383))</f>
        <v>0</v>
      </c>
      <c r="G383" s="21">
        <f>B383+C383+F383</f>
        <v>30</v>
      </c>
      <c r="H383" s="22">
        <f>IF(E383&lt;0,-999999999,B383*(PRICE_TOM-FERT_TOM)+C383*(PRICE_CAR-FERT_CAR)+F383*(PRICE_MES-FERT_MES)-(FARMER_SALARY+A383*TEMP_COST)-FIXED_COSTS)</f>
        <v>-999999999</v>
      </c>
    </row>
    <row r="384">
      <c r="A384" s="5" t="n">
        <v>0</v>
      </c>
      <c r="B384" s="5" t="n">
        <v>17</v>
      </c>
      <c r="C384" s="5" t="n">
        <v>14</v>
      </c>
      <c r="D384" s="18">
        <f>SEASON_HRS_TOM*B384*(1+DIM_TOM)^B384+SEASON_HRS_CAR*C384*(1+DIM_CAR)^C384</f>
        <v>8326.788540848187</v>
      </c>
      <c r="E384" s="18">
        <f>(FARMER_FIELD_HRS+A384*TEMP_HRS)-D384</f>
        <v>-7606.788540848187</v>
      </c>
      <c r="F384" s="21">
        <f>IF(E384&lt;0,0,MIN(COUNTIF(Labor!$C$59:$C$88,"&lt;="&amp;E384),MAXBED_MES,TOTAL_BEDS-B384-C384))</f>
        <v>0</v>
      </c>
      <c r="G384" s="21">
        <f>B384+C384+F384</f>
        <v>31</v>
      </c>
      <c r="H384" s="22">
        <f>IF(E384&lt;0,-999999999,B384*(PRICE_TOM-FERT_TOM)+C384*(PRICE_CAR-FERT_CAR)+F384*(PRICE_MES-FERT_MES)-(FARMER_SALARY+A384*TEMP_COST)-FIXED_COSTS)</f>
        <v>-999999999</v>
      </c>
    </row>
    <row r="385">
      <c r="A385" s="5" t="n">
        <v>0</v>
      </c>
      <c r="B385" s="5" t="n">
        <v>17</v>
      </c>
      <c r="C385" s="5" t="n">
        <v>15</v>
      </c>
      <c r="D385" s="18">
        <f>SEASON_HRS_TOM*B385*(1+DIM_TOM)^B385+SEASON_HRS_CAR*C385*(1+DIM_CAR)^C385</f>
        <v>8385.073710963356</v>
      </c>
      <c r="E385" s="18">
        <f>(FARMER_FIELD_HRS+A385*TEMP_HRS)-D385</f>
        <v>-7665.073710963356</v>
      </c>
      <c r="F385" s="21">
        <f>IF(E385&lt;0,0,MIN(COUNTIF(Labor!$C$59:$C$88,"&lt;="&amp;E385),MAXBED_MES,TOTAL_BEDS-B385-C385))</f>
        <v>0</v>
      </c>
      <c r="G385" s="21">
        <f>B385+C385+F385</f>
        <v>32</v>
      </c>
      <c r="H385" s="22">
        <f>IF(E385&lt;0,-999999999,B385*(PRICE_TOM-FERT_TOM)+C385*(PRICE_CAR-FERT_CAR)+F385*(PRICE_MES-FERT_MES)-(FARMER_SALARY+A385*TEMP_COST)-FIXED_COSTS)</f>
        <v>-999999999</v>
      </c>
    </row>
    <row r="386">
      <c r="A386" s="5" t="n">
        <v>0</v>
      </c>
      <c r="B386" s="5" t="n">
        <v>17</v>
      </c>
      <c r="C386" s="5" t="n">
        <v>16</v>
      </c>
      <c r="D386" s="18">
        <f>SEASON_HRS_TOM*B386*(1+DIM_TOM)^B386+SEASON_HRS_CAR*C386*(1+DIM_CAR)^C386</f>
        <v>8445.902233956276</v>
      </c>
      <c r="E386" s="18">
        <f>(FARMER_FIELD_HRS+A386*TEMP_HRS)-D386</f>
        <v>-7725.902233956276</v>
      </c>
      <c r="F386" s="21">
        <f>IF(E386&lt;0,0,MIN(COUNTIF(Labor!$C$59:$C$88,"&lt;="&amp;E386),MAXBED_MES,TOTAL_BEDS-B386-C386))</f>
        <v>0</v>
      </c>
      <c r="G386" s="21">
        <f>B386+C386+F386</f>
        <v>33</v>
      </c>
      <c r="H386" s="22">
        <f>IF(E386&lt;0,-999999999,B386*(PRICE_TOM-FERT_TOM)+C386*(PRICE_CAR-FERT_CAR)+F386*(PRICE_MES-FERT_MES)-(FARMER_SALARY+A386*TEMP_COST)-FIXED_COSTS)</f>
        <v>-999999999</v>
      </c>
    </row>
    <row r="387">
      <c r="A387" s="5" t="n">
        <v>0</v>
      </c>
      <c r="B387" s="5" t="n">
        <v>17</v>
      </c>
      <c r="C387" s="5" t="n">
        <v>17</v>
      </c>
      <c r="D387" s="18">
        <f>SEASON_HRS_TOM*B387*(1+DIM_TOM)^B387+SEASON_HRS_CAR*C387*(1+DIM_CAR)^C387</f>
        <v>8509.364849239515</v>
      </c>
      <c r="E387" s="18">
        <f>(FARMER_FIELD_HRS+A387*TEMP_HRS)-D387</f>
        <v>-7789.364849239515</v>
      </c>
      <c r="F387" s="21">
        <f>IF(E387&lt;0,0,MIN(COUNTIF(Labor!$C$59:$C$88,"&lt;="&amp;E387),MAXBED_MES,TOTAL_BEDS-B387-C387))</f>
        <v>0</v>
      </c>
      <c r="G387" s="21">
        <f>B387+C387+F387</f>
        <v>34</v>
      </c>
      <c r="H387" s="22">
        <f>IF(E387&lt;0,-999999999,B387*(PRICE_TOM-FERT_TOM)+C387*(PRICE_CAR-FERT_CAR)+F387*(PRICE_MES-FERT_MES)-(FARMER_SALARY+A387*TEMP_COST)-FIXED_COSTS)</f>
        <v>-999999999</v>
      </c>
    </row>
    <row r="388">
      <c r="A388" s="5" t="n">
        <v>0</v>
      </c>
      <c r="B388" s="5" t="n">
        <v>17</v>
      </c>
      <c r="C388" s="5" t="n">
        <v>18</v>
      </c>
      <c r="D388" s="18">
        <f>SEASON_HRS_TOM*B388*(1+DIM_TOM)^B388+SEASON_HRS_CAR*C388*(1+DIM_CAR)^C388</f>
        <v>8575.555243600718</v>
      </c>
      <c r="E388" s="18">
        <f>(FARMER_FIELD_HRS+A388*TEMP_HRS)-D388</f>
        <v>-7855.555243600718</v>
      </c>
      <c r="F388" s="21">
        <f>IF(E388&lt;0,0,MIN(COUNTIF(Labor!$C$59:$C$88,"&lt;="&amp;E388),MAXBED_MES,TOTAL_BEDS-B388-C388))</f>
        <v>0</v>
      </c>
      <c r="G388" s="21">
        <f>B388+C388+F388</f>
        <v>35</v>
      </c>
      <c r="H388" s="22">
        <f>IF(E388&lt;0,-999999999,B388*(PRICE_TOM-FERT_TOM)+C388*(PRICE_CAR-FERT_CAR)+F388*(PRICE_MES-FERT_MES)-(FARMER_SALARY+A388*TEMP_COST)-FIXED_COSTS)</f>
        <v>-999999999</v>
      </c>
    </row>
    <row r="389">
      <c r="A389" s="5" t="n">
        <v>0</v>
      </c>
      <c r="B389" s="5" t="n">
        <v>17</v>
      </c>
      <c r="C389" s="5" t="n">
        <v>19</v>
      </c>
      <c r="D389" s="18">
        <f>SEASON_HRS_TOM*B389*(1+DIM_TOM)^B389+SEASON_HRS_CAR*C389*(1+DIM_CAR)^C389</f>
        <v>8644.57014185923</v>
      </c>
      <c r="E389" s="18">
        <f>(FARMER_FIELD_HRS+A389*TEMP_HRS)-D389</f>
        <v>-7924.570141859231</v>
      </c>
      <c r="F389" s="21">
        <f>IF(E389&lt;0,0,MIN(COUNTIF(Labor!$C$59:$C$88,"&lt;="&amp;E389),MAXBED_MES,TOTAL_BEDS-B389-C389))</f>
        <v>0</v>
      </c>
      <c r="G389" s="21">
        <f>B389+C389+F389</f>
        <v>36</v>
      </c>
      <c r="H389" s="22">
        <f>IF(E389&lt;0,-999999999,B389*(PRICE_TOM-FERT_TOM)+C389*(PRICE_CAR-FERT_CAR)+F389*(PRICE_MES-FERT_MES)-(FARMER_SALARY+A389*TEMP_COST)-FIXED_COSTS)</f>
        <v>-999999999</v>
      </c>
    </row>
    <row r="390">
      <c r="A390" s="5" t="n">
        <v>0</v>
      </c>
      <c r="B390" s="5" t="n">
        <v>17</v>
      </c>
      <c r="C390" s="5" t="n">
        <v>20</v>
      </c>
      <c r="D390" s="18">
        <f>SEASON_HRS_TOM*B390*(1+DIM_TOM)^B390+SEASON_HRS_CAR*C390*(1+DIM_CAR)^C390</f>
        <v>8716.509400213443</v>
      </c>
      <c r="E390" s="18">
        <f>(FARMER_FIELD_HRS+A390*TEMP_HRS)-D390</f>
        <v>-7996.509400213443</v>
      </c>
      <c r="F390" s="21">
        <f>IF(E390&lt;0,0,MIN(COUNTIF(Labor!$C$59:$C$88,"&lt;="&amp;E390),MAXBED_MES,TOTAL_BEDS-B390-C390))</f>
        <v>0</v>
      </c>
      <c r="G390" s="21">
        <f>B390+C390+F390</f>
        <v>37</v>
      </c>
      <c r="H390" s="22">
        <f>IF(E390&lt;0,-999999999,B390*(PRICE_TOM-FERT_TOM)+C390*(PRICE_CAR-FERT_CAR)+F390*(PRICE_MES-FERT_MES)-(FARMER_SALARY+A390*TEMP_COST)-FIXED_COSTS)</f>
        <v>-999999999</v>
      </c>
    </row>
    <row r="391">
      <c r="A391" s="5" t="n">
        <v>0</v>
      </c>
      <c r="B391" s="5" t="n">
        <v>18</v>
      </c>
      <c r="C391" s="5" t="n">
        <v>0</v>
      </c>
      <c r="D391" s="18">
        <f>SEASON_HRS_TOM*B391*(1+DIM_TOM)^B391+SEASON_HRS_CAR*C391*(1+DIM_CAR)^C391</f>
        <v>9007.066047857428</v>
      </c>
      <c r="E391" s="18">
        <f>(FARMER_FIELD_HRS+A391*TEMP_HRS)-D391</f>
        <v>-8287.066047857428</v>
      </c>
      <c r="F391" s="21">
        <f>IF(E391&lt;0,0,MIN(COUNTIF(Labor!$C$59:$C$88,"&lt;="&amp;E391),MAXBED_MES,TOTAL_BEDS-B391-C391))</f>
        <v>0</v>
      </c>
      <c r="G391" s="21">
        <f>B391+C391+F391</f>
        <v>18</v>
      </c>
      <c r="H391" s="22">
        <f>IF(E391&lt;0,-999999999,B391*(PRICE_TOM-FERT_TOM)+C391*(PRICE_CAR-FERT_CAR)+F391*(PRICE_MES-FERT_MES)-(FARMER_SALARY+A391*TEMP_COST)-FIXED_COSTS)</f>
        <v>-999999999</v>
      </c>
    </row>
    <row r="392">
      <c r="A392" s="5" t="n">
        <v>0</v>
      </c>
      <c r="B392" s="5" t="n">
        <v>18</v>
      </c>
      <c r="C392" s="5" t="n">
        <v>1</v>
      </c>
      <c r="D392" s="18">
        <f>SEASON_HRS_TOM*B392*(1+DIM_TOM)^B392+SEASON_HRS_CAR*C392*(1+DIM_CAR)^C392</f>
        <v>9037.816047857428</v>
      </c>
      <c r="E392" s="18">
        <f>(FARMER_FIELD_HRS+A392*TEMP_HRS)-D392</f>
        <v>-8317.816047857428</v>
      </c>
      <c r="F392" s="21">
        <f>IF(E392&lt;0,0,MIN(COUNTIF(Labor!$C$59:$C$88,"&lt;="&amp;E392),MAXBED_MES,TOTAL_BEDS-B392-C392))</f>
        <v>0</v>
      </c>
      <c r="G392" s="21">
        <f>B392+C392+F392</f>
        <v>19</v>
      </c>
      <c r="H392" s="22">
        <f>IF(E392&lt;0,-999999999,B392*(PRICE_TOM-FERT_TOM)+C392*(PRICE_CAR-FERT_CAR)+F392*(PRICE_MES-FERT_MES)-(FARMER_SALARY+A392*TEMP_COST)-FIXED_COSTS)</f>
        <v>-999999999</v>
      </c>
    </row>
    <row r="393">
      <c r="A393" s="5" t="n">
        <v>0</v>
      </c>
      <c r="B393" s="5" t="n">
        <v>18</v>
      </c>
      <c r="C393" s="5" t="n">
        <v>2</v>
      </c>
      <c r="D393" s="18">
        <f>SEASON_HRS_TOM*B393*(1+DIM_TOM)^B393+SEASON_HRS_CAR*C393*(1+DIM_CAR)^C393</f>
        <v>9070.103547857429</v>
      </c>
      <c r="E393" s="18">
        <f>(FARMER_FIELD_HRS+A393*TEMP_HRS)-D393</f>
        <v>-8350.103547857429</v>
      </c>
      <c r="F393" s="21">
        <f>IF(E393&lt;0,0,MIN(COUNTIF(Labor!$C$59:$C$88,"&lt;="&amp;E393),MAXBED_MES,TOTAL_BEDS-B393-C393))</f>
        <v>0</v>
      </c>
      <c r="G393" s="21">
        <f>B393+C393+F393</f>
        <v>20</v>
      </c>
      <c r="H393" s="22">
        <f>IF(E393&lt;0,-999999999,B393*(PRICE_TOM-FERT_TOM)+C393*(PRICE_CAR-FERT_CAR)+F393*(PRICE_MES-FERT_MES)-(FARMER_SALARY+A393*TEMP_COST)-FIXED_COSTS)</f>
        <v>-999999999</v>
      </c>
    </row>
    <row r="394">
      <c r="A394" s="5" t="n">
        <v>0</v>
      </c>
      <c r="B394" s="5" t="n">
        <v>18</v>
      </c>
      <c r="C394" s="5" t="n">
        <v>3</v>
      </c>
      <c r="D394" s="18">
        <f>SEASON_HRS_TOM*B394*(1+DIM_TOM)^B394+SEASON_HRS_CAR*C394*(1+DIM_CAR)^C394</f>
        <v>9103.986204107428</v>
      </c>
      <c r="E394" s="18">
        <f>(FARMER_FIELD_HRS+A394*TEMP_HRS)-D394</f>
        <v>-8383.986204107428</v>
      </c>
      <c r="F394" s="21">
        <f>IF(E394&lt;0,0,MIN(COUNTIF(Labor!$C$59:$C$88,"&lt;="&amp;E394),MAXBED_MES,TOTAL_BEDS-B394-C394))</f>
        <v>0</v>
      </c>
      <c r="G394" s="21">
        <f>B394+C394+F394</f>
        <v>21</v>
      </c>
      <c r="H394" s="22">
        <f>IF(E394&lt;0,-999999999,B394*(PRICE_TOM-FERT_TOM)+C394*(PRICE_CAR-FERT_CAR)+F394*(PRICE_MES-FERT_MES)-(FARMER_SALARY+A394*TEMP_COST)-FIXED_COSTS)</f>
        <v>-999999999</v>
      </c>
    </row>
    <row r="395">
      <c r="A395" s="5" t="n">
        <v>0</v>
      </c>
      <c r="B395" s="5" t="n">
        <v>18</v>
      </c>
      <c r="C395" s="5" t="n">
        <v>4</v>
      </c>
      <c r="D395" s="18">
        <f>SEASON_HRS_TOM*B395*(1+DIM_TOM)^B395+SEASON_HRS_CAR*C395*(1+DIM_CAR)^C395</f>
        <v>9139.523594732429</v>
      </c>
      <c r="E395" s="18">
        <f>(FARMER_FIELD_HRS+A395*TEMP_HRS)-D395</f>
        <v>-8419.523594732429</v>
      </c>
      <c r="F395" s="21">
        <f>IF(E395&lt;0,0,MIN(COUNTIF(Labor!$C$59:$C$88,"&lt;="&amp;E395),MAXBED_MES,TOTAL_BEDS-B395-C395))</f>
        <v>0</v>
      </c>
      <c r="G395" s="21">
        <f>B395+C395+F395</f>
        <v>22</v>
      </c>
      <c r="H395" s="22">
        <f>IF(E395&lt;0,-999999999,B395*(PRICE_TOM-FERT_TOM)+C395*(PRICE_CAR-FERT_CAR)+F395*(PRICE_MES-FERT_MES)-(FARMER_SALARY+A395*TEMP_COST)-FIXED_COSTS)</f>
        <v>-999999999</v>
      </c>
    </row>
    <row r="396">
      <c r="A396" s="5" t="n">
        <v>0</v>
      </c>
      <c r="B396" s="5" t="n">
        <v>18</v>
      </c>
      <c r="C396" s="5" t="n">
        <v>5</v>
      </c>
      <c r="D396" s="18">
        <f>SEASON_HRS_TOM*B396*(1+DIM_TOM)^B396+SEASON_HRS_CAR*C396*(1+DIM_CAR)^C396</f>
        <v>9176.777279791022</v>
      </c>
      <c r="E396" s="18">
        <f>(FARMER_FIELD_HRS+A396*TEMP_HRS)-D396</f>
        <v>-8456.777279791022</v>
      </c>
      <c r="F396" s="21">
        <f>IF(E396&lt;0,0,MIN(COUNTIF(Labor!$C$59:$C$88,"&lt;="&amp;E396),MAXBED_MES,TOTAL_BEDS-B396-C396))</f>
        <v>0</v>
      </c>
      <c r="G396" s="21">
        <f>B396+C396+F396</f>
        <v>23</v>
      </c>
      <c r="H396" s="22">
        <f>IF(E396&lt;0,-999999999,B396*(PRICE_TOM-FERT_TOM)+C396*(PRICE_CAR-FERT_CAR)+F396*(PRICE_MES-FERT_MES)-(FARMER_SALARY+A396*TEMP_COST)-FIXED_COSTS)</f>
        <v>-999999999</v>
      </c>
    </row>
    <row r="397">
      <c r="A397" s="5" t="n">
        <v>0</v>
      </c>
      <c r="B397" s="5" t="n">
        <v>18</v>
      </c>
      <c r="C397" s="5" t="n">
        <v>6</v>
      </c>
      <c r="D397" s="18">
        <f>SEASON_HRS_TOM*B397*(1+DIM_TOM)^B397+SEASON_HRS_CAR*C397*(1+DIM_CAR)^C397</f>
        <v>9215.810863135748</v>
      </c>
      <c r="E397" s="18">
        <f>(FARMER_FIELD_HRS+A397*TEMP_HRS)-D397</f>
        <v>-8495.810863135748</v>
      </c>
      <c r="F397" s="21">
        <f>IF(E397&lt;0,0,MIN(COUNTIF(Labor!$C$59:$C$88,"&lt;="&amp;E397),MAXBED_MES,TOTAL_BEDS-B397-C397))</f>
        <v>0</v>
      </c>
      <c r="G397" s="21">
        <f>B397+C397+F397</f>
        <v>24</v>
      </c>
      <c r="H397" s="22">
        <f>IF(E397&lt;0,-999999999,B397*(PRICE_TOM-FERT_TOM)+C397*(PRICE_CAR-FERT_CAR)+F397*(PRICE_MES-FERT_MES)-(FARMER_SALARY+A397*TEMP_COST)-FIXED_COSTS)</f>
        <v>-999999999</v>
      </c>
    </row>
    <row r="398">
      <c r="A398" s="5" t="n">
        <v>0</v>
      </c>
      <c r="B398" s="5" t="n">
        <v>18</v>
      </c>
      <c r="C398" s="5" t="n">
        <v>7</v>
      </c>
      <c r="D398" s="18">
        <f>SEASON_HRS_TOM*B398*(1+DIM_TOM)^B398+SEASON_HRS_CAR*C398*(1+DIM_CAR)^C398</f>
        <v>9256.690056127753</v>
      </c>
      <c r="E398" s="18">
        <f>(FARMER_FIELD_HRS+A398*TEMP_HRS)-D398</f>
        <v>-8536.690056127753</v>
      </c>
      <c r="F398" s="21">
        <f>IF(E398&lt;0,0,MIN(COUNTIF(Labor!$C$59:$C$88,"&lt;="&amp;E398),MAXBED_MES,TOTAL_BEDS-B398-C398))</f>
        <v>0</v>
      </c>
      <c r="G398" s="21">
        <f>B398+C398+F398</f>
        <v>25</v>
      </c>
      <c r="H398" s="22">
        <f>IF(E398&lt;0,-999999999,B398*(PRICE_TOM-FERT_TOM)+C398*(PRICE_CAR-FERT_CAR)+F398*(PRICE_MES-FERT_MES)-(FARMER_SALARY+A398*TEMP_COST)-FIXED_COSTS)</f>
        <v>-999999999</v>
      </c>
    </row>
    <row r="399">
      <c r="A399" s="5" t="n">
        <v>0</v>
      </c>
      <c r="B399" s="5" t="n">
        <v>18</v>
      </c>
      <c r="C399" s="5" t="n">
        <v>8</v>
      </c>
      <c r="D399" s="18">
        <f>SEASON_HRS_TOM*B399*(1+DIM_TOM)^B399+SEASON_HRS_CAR*C399*(1+DIM_CAR)^C399</f>
        <v>9299.482743259809</v>
      </c>
      <c r="E399" s="18">
        <f>(FARMER_FIELD_HRS+A399*TEMP_HRS)-D399</f>
        <v>-8579.482743259809</v>
      </c>
      <c r="F399" s="21">
        <f>IF(E399&lt;0,0,MIN(COUNTIF(Labor!$C$59:$C$88,"&lt;="&amp;E399),MAXBED_MES,TOTAL_BEDS-B399-C399))</f>
        <v>0</v>
      </c>
      <c r="G399" s="21">
        <f>B399+C399+F399</f>
        <v>26</v>
      </c>
      <c r="H399" s="22">
        <f>IF(E399&lt;0,-999999999,B399*(PRICE_TOM-FERT_TOM)+C399*(PRICE_CAR-FERT_CAR)+F399*(PRICE_MES-FERT_MES)-(FARMER_SALARY+A399*TEMP_COST)-FIXED_COSTS)</f>
        <v>-999999999</v>
      </c>
    </row>
    <row r="400">
      <c r="A400" s="5" t="n">
        <v>0</v>
      </c>
      <c r="B400" s="5" t="n">
        <v>18</v>
      </c>
      <c r="C400" s="5" t="n">
        <v>9</v>
      </c>
      <c r="D400" s="18">
        <f>SEASON_HRS_TOM*B400*(1+DIM_TOM)^B400+SEASON_HRS_CAR*C400*(1+DIM_CAR)^C400</f>
        <v>9344.259049743298</v>
      </c>
      <c r="E400" s="18">
        <f>(FARMER_FIELD_HRS+A400*TEMP_HRS)-D400</f>
        <v>-8624.259049743298</v>
      </c>
      <c r="F400" s="21">
        <f>IF(E400&lt;0,0,MIN(COUNTIF(Labor!$C$59:$C$88,"&lt;="&amp;E400),MAXBED_MES,TOTAL_BEDS-B400-C400))</f>
        <v>0</v>
      </c>
      <c r="G400" s="21">
        <f>B400+C400+F400</f>
        <v>27</v>
      </c>
      <c r="H400" s="22">
        <f>IF(E400&lt;0,-999999999,B400*(PRICE_TOM-FERT_TOM)+C400*(PRICE_CAR-FERT_CAR)+F400*(PRICE_MES-FERT_MES)-(FARMER_SALARY+A400*TEMP_COST)-FIXED_COSTS)</f>
        <v>-999999999</v>
      </c>
    </row>
    <row r="401">
      <c r="A401" s="5" t="n">
        <v>0</v>
      </c>
      <c r="B401" s="5" t="n">
        <v>18</v>
      </c>
      <c r="C401" s="5" t="n">
        <v>10</v>
      </c>
      <c r="D401" s="18">
        <f>SEASON_HRS_TOM*B401*(1+DIM_TOM)^B401+SEASON_HRS_CAR*C401*(1+DIM_CAR)^C401</f>
        <v>9391.091411116335</v>
      </c>
      <c r="E401" s="18">
        <f>(FARMER_FIELD_HRS+A401*TEMP_HRS)-D401</f>
        <v>-8671.091411116335</v>
      </c>
      <c r="F401" s="21">
        <f>IF(E401&lt;0,0,MIN(COUNTIF(Labor!$C$59:$C$88,"&lt;="&amp;E401),MAXBED_MES,TOTAL_BEDS-B401-C401))</f>
        <v>0</v>
      </c>
      <c r="G401" s="21">
        <f>B401+C401+F401</f>
        <v>28</v>
      </c>
      <c r="H401" s="22">
        <f>IF(E401&lt;0,-999999999,B401*(PRICE_TOM-FERT_TOM)+C401*(PRICE_CAR-FERT_CAR)+F401*(PRICE_MES-FERT_MES)-(FARMER_SALARY+A401*TEMP_COST)-FIXED_COSTS)</f>
        <v>-999999999</v>
      </c>
    </row>
    <row r="402">
      <c r="A402" s="5" t="n">
        <v>0</v>
      </c>
      <c r="B402" s="5" t="n">
        <v>18</v>
      </c>
      <c r="C402" s="5" t="n">
        <v>11</v>
      </c>
      <c r="D402" s="18">
        <f>SEASON_HRS_TOM*B402*(1+DIM_TOM)^B402+SEASON_HRS_CAR*C402*(1+DIM_CAR)^C402</f>
        <v>9440.054644931846</v>
      </c>
      <c r="E402" s="18">
        <f>(FARMER_FIELD_HRS+A402*TEMP_HRS)-D402</f>
        <v>-8720.054644931846</v>
      </c>
      <c r="F402" s="21">
        <f>IF(E402&lt;0,0,MIN(COUNTIF(Labor!$C$59:$C$88,"&lt;="&amp;E402),MAXBED_MES,TOTAL_BEDS-B402-C402))</f>
        <v>0</v>
      </c>
      <c r="G402" s="21">
        <f>B402+C402+F402</f>
        <v>29</v>
      </c>
      <c r="H402" s="22">
        <f>IF(E402&lt;0,-999999999,B402*(PRICE_TOM-FERT_TOM)+C402*(PRICE_CAR-FERT_CAR)+F402*(PRICE_MES-FERT_MES)-(FARMER_SALARY+A402*TEMP_COST)-FIXED_COSTS)</f>
        <v>-999999999</v>
      </c>
    </row>
    <row r="403">
      <c r="A403" s="5" t="n">
        <v>0</v>
      </c>
      <c r="B403" s="5" t="n">
        <v>18</v>
      </c>
      <c r="C403" s="5" t="n">
        <v>12</v>
      </c>
      <c r="D403" s="18">
        <f>SEASON_HRS_TOM*B403*(1+DIM_TOM)^B403+SEASON_HRS_CAR*C403*(1+DIM_CAR)^C403</f>
        <v>9491.226024586094</v>
      </c>
      <c r="E403" s="18">
        <f>(FARMER_FIELD_HRS+A403*TEMP_HRS)-D403</f>
        <v>-8771.226024586094</v>
      </c>
      <c r="F403" s="21">
        <f>IF(E403&lt;0,0,MIN(COUNTIF(Labor!$C$59:$C$88,"&lt;="&amp;E403),MAXBED_MES,TOTAL_BEDS-B403-C403))</f>
        <v>0</v>
      </c>
      <c r="G403" s="21">
        <f>B403+C403+F403</f>
        <v>30</v>
      </c>
      <c r="H403" s="22">
        <f>IF(E403&lt;0,-999999999,B403*(PRICE_TOM-FERT_TOM)+C403*(PRICE_CAR-FERT_CAR)+F403*(PRICE_MES-FERT_MES)-(FARMER_SALARY+A403*TEMP_COST)-FIXED_COSTS)</f>
        <v>-999999999</v>
      </c>
    </row>
    <row r="404">
      <c r="A404" s="5" t="n">
        <v>0</v>
      </c>
      <c r="B404" s="5" t="n">
        <v>18</v>
      </c>
      <c r="C404" s="5" t="n">
        <v>13</v>
      </c>
      <c r="D404" s="18">
        <f>SEASON_HRS_TOM*B404*(1+DIM_TOM)^B404+SEASON_HRS_CAR*C404*(1+DIM_CAR)^C404</f>
        <v>9544.685355349886</v>
      </c>
      <c r="E404" s="18">
        <f>(FARMER_FIELD_HRS+A404*TEMP_HRS)-D404</f>
        <v>-8824.685355349886</v>
      </c>
      <c r="F404" s="21">
        <f>IF(E404&lt;0,0,MIN(COUNTIF(Labor!$C$59:$C$88,"&lt;="&amp;E404),MAXBED_MES,TOTAL_BEDS-B404-C404))</f>
        <v>0</v>
      </c>
      <c r="G404" s="21">
        <f>B404+C404+F404</f>
        <v>31</v>
      </c>
      <c r="H404" s="22">
        <f>IF(E404&lt;0,-999999999,B404*(PRICE_TOM-FERT_TOM)+C404*(PRICE_CAR-FERT_CAR)+F404*(PRICE_MES-FERT_MES)-(FARMER_SALARY+A404*TEMP_COST)-FIXED_COSTS)</f>
        <v>-999999999</v>
      </c>
    </row>
    <row r="405">
      <c r="A405" s="5" t="n">
        <v>0</v>
      </c>
      <c r="B405" s="5" t="n">
        <v>18</v>
      </c>
      <c r="C405" s="5" t="n">
        <v>14</v>
      </c>
      <c r="D405" s="18">
        <f>SEASON_HRS_TOM*B405*(1+DIM_TOM)^B405+SEASON_HRS_CAR*C405*(1+DIM_CAR)^C405</f>
        <v>9600.51505266641</v>
      </c>
      <c r="E405" s="18">
        <f>(FARMER_FIELD_HRS+A405*TEMP_HRS)-D405</f>
        <v>-8880.51505266641</v>
      </c>
      <c r="F405" s="21">
        <f>IF(E405&lt;0,0,MIN(COUNTIF(Labor!$C$59:$C$88,"&lt;="&amp;E405),MAXBED_MES,TOTAL_BEDS-B405-C405))</f>
        <v>0</v>
      </c>
      <c r="G405" s="21">
        <f>B405+C405+F405</f>
        <v>32</v>
      </c>
      <c r="H405" s="22">
        <f>IF(E405&lt;0,-999999999,B405*(PRICE_TOM-FERT_TOM)+C405*(PRICE_CAR-FERT_CAR)+F405*(PRICE_MES-FERT_MES)-(FARMER_SALARY+A405*TEMP_COST)-FIXED_COSTS)</f>
        <v>-999999999</v>
      </c>
    </row>
    <row r="406">
      <c r="A406" s="5" t="n">
        <v>0</v>
      </c>
      <c r="B406" s="5" t="n">
        <v>18</v>
      </c>
      <c r="C406" s="5" t="n">
        <v>15</v>
      </c>
      <c r="D406" s="18">
        <f>SEASON_HRS_TOM*B406*(1+DIM_TOM)^B406+SEASON_HRS_CAR*C406*(1+DIM_CAR)^C406</f>
        <v>9658.800222781578</v>
      </c>
      <c r="E406" s="18">
        <f>(FARMER_FIELD_HRS+A406*TEMP_HRS)-D406</f>
        <v>-8938.800222781578</v>
      </c>
      <c r="F406" s="21">
        <f>IF(E406&lt;0,0,MIN(COUNTIF(Labor!$C$59:$C$88,"&lt;="&amp;E406),MAXBED_MES,TOTAL_BEDS-B406-C406))</f>
        <v>0</v>
      </c>
      <c r="G406" s="21">
        <f>B406+C406+F406</f>
        <v>33</v>
      </c>
      <c r="H406" s="22">
        <f>IF(E406&lt;0,-999999999,B406*(PRICE_TOM-FERT_TOM)+C406*(PRICE_CAR-FERT_CAR)+F406*(PRICE_MES-FERT_MES)-(FARMER_SALARY+A406*TEMP_COST)-FIXED_COSTS)</f>
        <v>-999999999</v>
      </c>
    </row>
    <row r="407">
      <c r="A407" s="5" t="n">
        <v>0</v>
      </c>
      <c r="B407" s="5" t="n">
        <v>18</v>
      </c>
      <c r="C407" s="5" t="n">
        <v>16</v>
      </c>
      <c r="D407" s="18">
        <f>SEASON_HRS_TOM*B407*(1+DIM_TOM)^B407+SEASON_HRS_CAR*C407*(1+DIM_CAR)^C407</f>
        <v>9719.628745774498</v>
      </c>
      <c r="E407" s="18">
        <f>(FARMER_FIELD_HRS+A407*TEMP_HRS)-D407</f>
        <v>-8999.628745774498</v>
      </c>
      <c r="F407" s="21">
        <f>IF(E407&lt;0,0,MIN(COUNTIF(Labor!$C$59:$C$88,"&lt;="&amp;E407),MAXBED_MES,TOTAL_BEDS-B407-C407))</f>
        <v>0</v>
      </c>
      <c r="G407" s="21">
        <f>B407+C407+F407</f>
        <v>34</v>
      </c>
      <c r="H407" s="22">
        <f>IF(E407&lt;0,-999999999,B407*(PRICE_TOM-FERT_TOM)+C407*(PRICE_CAR-FERT_CAR)+F407*(PRICE_MES-FERT_MES)-(FARMER_SALARY+A407*TEMP_COST)-FIXED_COSTS)</f>
        <v>-999999999</v>
      </c>
    </row>
    <row r="408">
      <c r="A408" s="5" t="n">
        <v>0</v>
      </c>
      <c r="B408" s="5" t="n">
        <v>18</v>
      </c>
      <c r="C408" s="5" t="n">
        <v>17</v>
      </c>
      <c r="D408" s="18">
        <f>SEASON_HRS_TOM*B408*(1+DIM_TOM)^B408+SEASON_HRS_CAR*C408*(1+DIM_CAR)^C408</f>
        <v>9783.091361057737</v>
      </c>
      <c r="E408" s="18">
        <f>(FARMER_FIELD_HRS+A408*TEMP_HRS)-D408</f>
        <v>-9063.091361057737</v>
      </c>
      <c r="F408" s="21">
        <f>IF(E408&lt;0,0,MIN(COUNTIF(Labor!$C$59:$C$88,"&lt;="&amp;E408),MAXBED_MES,TOTAL_BEDS-B408-C408))</f>
        <v>0</v>
      </c>
      <c r="G408" s="21">
        <f>B408+C408+F408</f>
        <v>35</v>
      </c>
      <c r="H408" s="22">
        <f>IF(E408&lt;0,-999999999,B408*(PRICE_TOM-FERT_TOM)+C408*(PRICE_CAR-FERT_CAR)+F408*(PRICE_MES-FERT_MES)-(FARMER_SALARY+A408*TEMP_COST)-FIXED_COSTS)</f>
        <v>-999999999</v>
      </c>
    </row>
    <row r="409">
      <c r="A409" s="5" t="n">
        <v>0</v>
      </c>
      <c r="B409" s="5" t="n">
        <v>18</v>
      </c>
      <c r="C409" s="5" t="n">
        <v>18</v>
      </c>
      <c r="D409" s="18">
        <f>SEASON_HRS_TOM*B409*(1+DIM_TOM)^B409+SEASON_HRS_CAR*C409*(1+DIM_CAR)^C409</f>
        <v>9849.28175541894</v>
      </c>
      <c r="E409" s="18">
        <f>(FARMER_FIELD_HRS+A409*TEMP_HRS)-D409</f>
        <v>-9129.28175541894</v>
      </c>
      <c r="F409" s="21">
        <f>IF(E409&lt;0,0,MIN(COUNTIF(Labor!$C$59:$C$88,"&lt;="&amp;E409),MAXBED_MES,TOTAL_BEDS-B409-C409))</f>
        <v>0</v>
      </c>
      <c r="G409" s="21">
        <f>B409+C409+F409</f>
        <v>36</v>
      </c>
      <c r="H409" s="22">
        <f>IF(E409&lt;0,-999999999,B409*(PRICE_TOM-FERT_TOM)+C409*(PRICE_CAR-FERT_CAR)+F409*(PRICE_MES-FERT_MES)-(FARMER_SALARY+A409*TEMP_COST)-FIXED_COSTS)</f>
        <v>-999999999</v>
      </c>
    </row>
    <row r="410">
      <c r="A410" s="5" t="n">
        <v>0</v>
      </c>
      <c r="B410" s="5" t="n">
        <v>18</v>
      </c>
      <c r="C410" s="5" t="n">
        <v>19</v>
      </c>
      <c r="D410" s="18">
        <f>SEASON_HRS_TOM*B410*(1+DIM_TOM)^B410+SEASON_HRS_CAR*C410*(1+DIM_CAR)^C410</f>
        <v>9918.296653677453</v>
      </c>
      <c r="E410" s="18">
        <f>(FARMER_FIELD_HRS+A410*TEMP_HRS)-D410</f>
        <v>-9198.296653677453</v>
      </c>
      <c r="F410" s="21">
        <f>IF(E410&lt;0,0,MIN(COUNTIF(Labor!$C$59:$C$88,"&lt;="&amp;E410),MAXBED_MES,TOTAL_BEDS-B410-C410))</f>
        <v>0</v>
      </c>
      <c r="G410" s="21">
        <f>B410+C410+F410</f>
        <v>37</v>
      </c>
      <c r="H410" s="22">
        <f>IF(E410&lt;0,-999999999,B410*(PRICE_TOM-FERT_TOM)+C410*(PRICE_CAR-FERT_CAR)+F410*(PRICE_MES-FERT_MES)-(FARMER_SALARY+A410*TEMP_COST)-FIXED_COSTS)</f>
        <v>-999999999</v>
      </c>
    </row>
    <row r="411">
      <c r="A411" s="5" t="n">
        <v>0</v>
      </c>
      <c r="B411" s="5" t="n">
        <v>18</v>
      </c>
      <c r="C411" s="5" t="n">
        <v>20</v>
      </c>
      <c r="D411" s="18">
        <f>SEASON_HRS_TOM*B411*(1+DIM_TOM)^B411+SEASON_HRS_CAR*C411*(1+DIM_CAR)^C411</f>
        <v>9990.235912031665</v>
      </c>
      <c r="E411" s="18">
        <f>(FARMER_FIELD_HRS+A411*TEMP_HRS)-D411</f>
        <v>-9270.235912031665</v>
      </c>
      <c r="F411" s="21">
        <f>IF(E411&lt;0,0,MIN(COUNTIF(Labor!$C$59:$C$88,"&lt;="&amp;E411),MAXBED_MES,TOTAL_BEDS-B411-C411))</f>
        <v>0</v>
      </c>
      <c r="G411" s="21">
        <f>B411+C411+F411</f>
        <v>38</v>
      </c>
      <c r="H411" s="22">
        <f>IF(E411&lt;0,-999999999,B411*(PRICE_TOM-FERT_TOM)+C411*(PRICE_CAR-FERT_CAR)+F411*(PRICE_MES-FERT_MES)-(FARMER_SALARY+A411*TEMP_COST)-FIXED_COSTS)</f>
        <v>-999999999</v>
      </c>
    </row>
    <row r="412">
      <c r="A412" s="5" t="n">
        <v>0</v>
      </c>
      <c r="B412" s="5" t="n">
        <v>19</v>
      </c>
      <c r="C412" s="5" t="n">
        <v>0</v>
      </c>
      <c r="D412" s="18">
        <f>SEASON_HRS_TOM*B412*(1+DIM_TOM)^B412+SEASON_HRS_CAR*C412*(1+DIM_CAR)^C412</f>
        <v>10458.204466678904</v>
      </c>
      <c r="E412" s="18">
        <f>(FARMER_FIELD_HRS+A412*TEMP_HRS)-D412</f>
        <v>-9738.204466678904</v>
      </c>
      <c r="F412" s="21">
        <f>IF(E412&lt;0,0,MIN(COUNTIF(Labor!$C$59:$C$88,"&lt;="&amp;E412),MAXBED_MES,TOTAL_BEDS-B412-C412))</f>
        <v>0</v>
      </c>
      <c r="G412" s="21">
        <f>B412+C412+F412</f>
        <v>19</v>
      </c>
      <c r="H412" s="22">
        <f>IF(E412&lt;0,-999999999,B412*(PRICE_TOM-FERT_TOM)+C412*(PRICE_CAR-FERT_CAR)+F412*(PRICE_MES-FERT_MES)-(FARMER_SALARY+A412*TEMP_COST)-FIXED_COSTS)</f>
        <v>-999999999</v>
      </c>
    </row>
    <row r="413">
      <c r="A413" s="5" t="n">
        <v>0</v>
      </c>
      <c r="B413" s="5" t="n">
        <v>19</v>
      </c>
      <c r="C413" s="5" t="n">
        <v>1</v>
      </c>
      <c r="D413" s="18">
        <f>SEASON_HRS_TOM*B413*(1+DIM_TOM)^B413+SEASON_HRS_CAR*C413*(1+DIM_CAR)^C413</f>
        <v>10488.954466678904</v>
      </c>
      <c r="E413" s="18">
        <f>(FARMER_FIELD_HRS+A413*TEMP_HRS)-D413</f>
        <v>-9768.954466678904</v>
      </c>
      <c r="F413" s="21">
        <f>IF(E413&lt;0,0,MIN(COUNTIF(Labor!$C$59:$C$88,"&lt;="&amp;E413),MAXBED_MES,TOTAL_BEDS-B413-C413))</f>
        <v>0</v>
      </c>
      <c r="G413" s="21">
        <f>B413+C413+F413</f>
        <v>20</v>
      </c>
      <c r="H413" s="22">
        <f>IF(E413&lt;0,-999999999,B413*(PRICE_TOM-FERT_TOM)+C413*(PRICE_CAR-FERT_CAR)+F413*(PRICE_MES-FERT_MES)-(FARMER_SALARY+A413*TEMP_COST)-FIXED_COSTS)</f>
        <v>-999999999</v>
      </c>
    </row>
    <row r="414">
      <c r="A414" s="5" t="n">
        <v>0</v>
      </c>
      <c r="B414" s="5" t="n">
        <v>19</v>
      </c>
      <c r="C414" s="5" t="n">
        <v>2</v>
      </c>
      <c r="D414" s="18">
        <f>SEASON_HRS_TOM*B414*(1+DIM_TOM)^B414+SEASON_HRS_CAR*C414*(1+DIM_CAR)^C414</f>
        <v>10521.241966678905</v>
      </c>
      <c r="E414" s="18">
        <f>(FARMER_FIELD_HRS+A414*TEMP_HRS)-D414</f>
        <v>-9801.241966678905</v>
      </c>
      <c r="F414" s="21">
        <f>IF(E414&lt;0,0,MIN(COUNTIF(Labor!$C$59:$C$88,"&lt;="&amp;E414),MAXBED_MES,TOTAL_BEDS-B414-C414))</f>
        <v>0</v>
      </c>
      <c r="G414" s="21">
        <f>B414+C414+F414</f>
        <v>21</v>
      </c>
      <c r="H414" s="22">
        <f>IF(E414&lt;0,-999999999,B414*(PRICE_TOM-FERT_TOM)+C414*(PRICE_CAR-FERT_CAR)+F414*(PRICE_MES-FERT_MES)-(FARMER_SALARY+A414*TEMP_COST)-FIXED_COSTS)</f>
        <v>-999999999</v>
      </c>
    </row>
    <row r="415">
      <c r="A415" s="5" t="n">
        <v>0</v>
      </c>
      <c r="B415" s="5" t="n">
        <v>19</v>
      </c>
      <c r="C415" s="5" t="n">
        <v>3</v>
      </c>
      <c r="D415" s="18">
        <f>SEASON_HRS_TOM*B415*(1+DIM_TOM)^B415+SEASON_HRS_CAR*C415*(1+DIM_CAR)^C415</f>
        <v>10555.124622928905</v>
      </c>
      <c r="E415" s="18">
        <f>(FARMER_FIELD_HRS+A415*TEMP_HRS)-D415</f>
        <v>-9835.124622928905</v>
      </c>
      <c r="F415" s="21">
        <f>IF(E415&lt;0,0,MIN(COUNTIF(Labor!$C$59:$C$88,"&lt;="&amp;E415),MAXBED_MES,TOTAL_BEDS-B415-C415))</f>
        <v>0</v>
      </c>
      <c r="G415" s="21">
        <f>B415+C415+F415</f>
        <v>22</v>
      </c>
      <c r="H415" s="22">
        <f>IF(E415&lt;0,-999999999,B415*(PRICE_TOM-FERT_TOM)+C415*(PRICE_CAR-FERT_CAR)+F415*(PRICE_MES-FERT_MES)-(FARMER_SALARY+A415*TEMP_COST)-FIXED_COSTS)</f>
        <v>-999999999</v>
      </c>
    </row>
    <row r="416">
      <c r="A416" s="5" t="n">
        <v>0</v>
      </c>
      <c r="B416" s="5" t="n">
        <v>19</v>
      </c>
      <c r="C416" s="5" t="n">
        <v>4</v>
      </c>
      <c r="D416" s="18">
        <f>SEASON_HRS_TOM*B416*(1+DIM_TOM)^B416+SEASON_HRS_CAR*C416*(1+DIM_CAR)^C416</f>
        <v>10590.662013553905</v>
      </c>
      <c r="E416" s="18">
        <f>(FARMER_FIELD_HRS+A416*TEMP_HRS)-D416</f>
        <v>-9870.662013553905</v>
      </c>
      <c r="F416" s="21">
        <f>IF(E416&lt;0,0,MIN(COUNTIF(Labor!$C$59:$C$88,"&lt;="&amp;E416),MAXBED_MES,TOTAL_BEDS-B416-C416))</f>
        <v>0</v>
      </c>
      <c r="G416" s="21">
        <f>B416+C416+F416</f>
        <v>23</v>
      </c>
      <c r="H416" s="22">
        <f>IF(E416&lt;0,-999999999,B416*(PRICE_TOM-FERT_TOM)+C416*(PRICE_CAR-FERT_CAR)+F416*(PRICE_MES-FERT_MES)-(FARMER_SALARY+A416*TEMP_COST)-FIXED_COSTS)</f>
        <v>-999999999</v>
      </c>
    </row>
    <row r="417">
      <c r="A417" s="5" t="n">
        <v>0</v>
      </c>
      <c r="B417" s="5" t="n">
        <v>19</v>
      </c>
      <c r="C417" s="5" t="n">
        <v>5</v>
      </c>
      <c r="D417" s="18">
        <f>SEASON_HRS_TOM*B417*(1+DIM_TOM)^B417+SEASON_HRS_CAR*C417*(1+DIM_CAR)^C417</f>
        <v>10627.915698612498</v>
      </c>
      <c r="E417" s="18">
        <f>(FARMER_FIELD_HRS+A417*TEMP_HRS)-D417</f>
        <v>-9907.915698612498</v>
      </c>
      <c r="F417" s="21">
        <f>IF(E417&lt;0,0,MIN(COUNTIF(Labor!$C$59:$C$88,"&lt;="&amp;E417),MAXBED_MES,TOTAL_BEDS-B417-C417))</f>
        <v>0</v>
      </c>
      <c r="G417" s="21">
        <f>B417+C417+F417</f>
        <v>24</v>
      </c>
      <c r="H417" s="22">
        <f>IF(E417&lt;0,-999999999,B417*(PRICE_TOM-FERT_TOM)+C417*(PRICE_CAR-FERT_CAR)+F417*(PRICE_MES-FERT_MES)-(FARMER_SALARY+A417*TEMP_COST)-FIXED_COSTS)</f>
        <v>-999999999</v>
      </c>
    </row>
    <row r="418">
      <c r="A418" s="5" t="n">
        <v>0</v>
      </c>
      <c r="B418" s="5" t="n">
        <v>19</v>
      </c>
      <c r="C418" s="5" t="n">
        <v>6</v>
      </c>
      <c r="D418" s="18">
        <f>SEASON_HRS_TOM*B418*(1+DIM_TOM)^B418+SEASON_HRS_CAR*C418*(1+DIM_CAR)^C418</f>
        <v>10666.949281957224</v>
      </c>
      <c r="E418" s="18">
        <f>(FARMER_FIELD_HRS+A418*TEMP_HRS)-D418</f>
        <v>-9946.949281957224</v>
      </c>
      <c r="F418" s="21">
        <f>IF(E418&lt;0,0,MIN(COUNTIF(Labor!$C$59:$C$88,"&lt;="&amp;E418),MAXBED_MES,TOTAL_BEDS-B418-C418))</f>
        <v>0</v>
      </c>
      <c r="G418" s="21">
        <f>B418+C418+F418</f>
        <v>25</v>
      </c>
      <c r="H418" s="22">
        <f>IF(E418&lt;0,-999999999,B418*(PRICE_TOM-FERT_TOM)+C418*(PRICE_CAR-FERT_CAR)+F418*(PRICE_MES-FERT_MES)-(FARMER_SALARY+A418*TEMP_COST)-FIXED_COSTS)</f>
        <v>-999999999</v>
      </c>
    </row>
    <row r="419">
      <c r="A419" s="5" t="n">
        <v>0</v>
      </c>
      <c r="B419" s="5" t="n">
        <v>19</v>
      </c>
      <c r="C419" s="5" t="n">
        <v>7</v>
      </c>
      <c r="D419" s="18">
        <f>SEASON_HRS_TOM*B419*(1+DIM_TOM)^B419+SEASON_HRS_CAR*C419*(1+DIM_CAR)^C419</f>
        <v>10707.828474949229</v>
      </c>
      <c r="E419" s="18">
        <f>(FARMER_FIELD_HRS+A419*TEMP_HRS)-D419</f>
        <v>-9987.828474949229</v>
      </c>
      <c r="F419" s="21">
        <f>IF(E419&lt;0,0,MIN(COUNTIF(Labor!$C$59:$C$88,"&lt;="&amp;E419),MAXBED_MES,TOTAL_BEDS-B419-C419))</f>
        <v>0</v>
      </c>
      <c r="G419" s="21">
        <f>B419+C419+F419</f>
        <v>26</v>
      </c>
      <c r="H419" s="22">
        <f>IF(E419&lt;0,-999999999,B419*(PRICE_TOM-FERT_TOM)+C419*(PRICE_CAR-FERT_CAR)+F419*(PRICE_MES-FERT_MES)-(FARMER_SALARY+A419*TEMP_COST)-FIXED_COSTS)</f>
        <v>-999999999</v>
      </c>
    </row>
    <row r="420">
      <c r="A420" s="5" t="n">
        <v>0</v>
      </c>
      <c r="B420" s="5" t="n">
        <v>19</v>
      </c>
      <c r="C420" s="5" t="n">
        <v>8</v>
      </c>
      <c r="D420" s="18">
        <f>SEASON_HRS_TOM*B420*(1+DIM_TOM)^B420+SEASON_HRS_CAR*C420*(1+DIM_CAR)^C420</f>
        <v>10750.621162081285</v>
      </c>
      <c r="E420" s="18">
        <f>(FARMER_FIELD_HRS+A420*TEMP_HRS)-D420</f>
        <v>-10030.621162081285</v>
      </c>
      <c r="F420" s="21">
        <f>IF(E420&lt;0,0,MIN(COUNTIF(Labor!$C$59:$C$88,"&lt;="&amp;E420),MAXBED_MES,TOTAL_BEDS-B420-C420))</f>
        <v>0</v>
      </c>
      <c r="G420" s="21">
        <f>B420+C420+F420</f>
        <v>27</v>
      </c>
      <c r="H420" s="22">
        <f>IF(E420&lt;0,-999999999,B420*(PRICE_TOM-FERT_TOM)+C420*(PRICE_CAR-FERT_CAR)+F420*(PRICE_MES-FERT_MES)-(FARMER_SALARY+A420*TEMP_COST)-FIXED_COSTS)</f>
        <v>-999999999</v>
      </c>
    </row>
    <row r="421">
      <c r="A421" s="5" t="n">
        <v>0</v>
      </c>
      <c r="B421" s="5" t="n">
        <v>19</v>
      </c>
      <c r="C421" s="5" t="n">
        <v>9</v>
      </c>
      <c r="D421" s="18">
        <f>SEASON_HRS_TOM*B421*(1+DIM_TOM)^B421+SEASON_HRS_CAR*C421*(1+DIM_CAR)^C421</f>
        <v>10795.397468564774</v>
      </c>
      <c r="E421" s="18">
        <f>(FARMER_FIELD_HRS+A421*TEMP_HRS)-D421</f>
        <v>-10075.397468564774</v>
      </c>
      <c r="F421" s="21">
        <f>IF(E421&lt;0,0,MIN(COUNTIF(Labor!$C$59:$C$88,"&lt;="&amp;E421),MAXBED_MES,TOTAL_BEDS-B421-C421))</f>
        <v>0</v>
      </c>
      <c r="G421" s="21">
        <f>B421+C421+F421</f>
        <v>28</v>
      </c>
      <c r="H421" s="22">
        <f>IF(E421&lt;0,-999999999,B421*(PRICE_TOM-FERT_TOM)+C421*(PRICE_CAR-FERT_CAR)+F421*(PRICE_MES-FERT_MES)-(FARMER_SALARY+A421*TEMP_COST)-FIXED_COSTS)</f>
        <v>-999999999</v>
      </c>
    </row>
    <row r="422">
      <c r="A422" s="5" t="n">
        <v>0</v>
      </c>
      <c r="B422" s="5" t="n">
        <v>19</v>
      </c>
      <c r="C422" s="5" t="n">
        <v>10</v>
      </c>
      <c r="D422" s="18">
        <f>SEASON_HRS_TOM*B422*(1+DIM_TOM)^B422+SEASON_HRS_CAR*C422*(1+DIM_CAR)^C422</f>
        <v>10842.22982993781</v>
      </c>
      <c r="E422" s="18">
        <f>(FARMER_FIELD_HRS+A422*TEMP_HRS)-D422</f>
        <v>-10122.22982993781</v>
      </c>
      <c r="F422" s="21">
        <f>IF(E422&lt;0,0,MIN(COUNTIF(Labor!$C$59:$C$88,"&lt;="&amp;E422),MAXBED_MES,TOTAL_BEDS-B422-C422))</f>
        <v>0</v>
      </c>
      <c r="G422" s="21">
        <f>B422+C422+F422</f>
        <v>29</v>
      </c>
      <c r="H422" s="22">
        <f>IF(E422&lt;0,-999999999,B422*(PRICE_TOM-FERT_TOM)+C422*(PRICE_CAR-FERT_CAR)+F422*(PRICE_MES-FERT_MES)-(FARMER_SALARY+A422*TEMP_COST)-FIXED_COSTS)</f>
        <v>-999999999</v>
      </c>
    </row>
    <row r="423">
      <c r="A423" s="5" t="n">
        <v>0</v>
      </c>
      <c r="B423" s="5" t="n">
        <v>19</v>
      </c>
      <c r="C423" s="5" t="n">
        <v>11</v>
      </c>
      <c r="D423" s="18">
        <f>SEASON_HRS_TOM*B423*(1+DIM_TOM)^B423+SEASON_HRS_CAR*C423*(1+DIM_CAR)^C423</f>
        <v>10891.193063753322</v>
      </c>
      <c r="E423" s="18">
        <f>(FARMER_FIELD_HRS+A423*TEMP_HRS)-D423</f>
        <v>-10171.193063753322</v>
      </c>
      <c r="F423" s="21">
        <f>IF(E423&lt;0,0,MIN(COUNTIF(Labor!$C$59:$C$88,"&lt;="&amp;E423),MAXBED_MES,TOTAL_BEDS-B423-C423))</f>
        <v>0</v>
      </c>
      <c r="G423" s="21">
        <f>B423+C423+F423</f>
        <v>30</v>
      </c>
      <c r="H423" s="22">
        <f>IF(E423&lt;0,-999999999,B423*(PRICE_TOM-FERT_TOM)+C423*(PRICE_CAR-FERT_CAR)+F423*(PRICE_MES-FERT_MES)-(FARMER_SALARY+A423*TEMP_COST)-FIXED_COSTS)</f>
        <v>-999999999</v>
      </c>
    </row>
    <row r="424">
      <c r="A424" s="5" t="n">
        <v>0</v>
      </c>
      <c r="B424" s="5" t="n">
        <v>19</v>
      </c>
      <c r="C424" s="5" t="n">
        <v>12</v>
      </c>
      <c r="D424" s="18">
        <f>SEASON_HRS_TOM*B424*(1+DIM_TOM)^B424+SEASON_HRS_CAR*C424*(1+DIM_CAR)^C424</f>
        <v>10942.36444340757</v>
      </c>
      <c r="E424" s="18">
        <f>(FARMER_FIELD_HRS+A424*TEMP_HRS)-D424</f>
        <v>-10222.36444340757</v>
      </c>
      <c r="F424" s="21">
        <f>IF(E424&lt;0,0,MIN(COUNTIF(Labor!$C$59:$C$88,"&lt;="&amp;E424),MAXBED_MES,TOTAL_BEDS-B424-C424))</f>
        <v>0</v>
      </c>
      <c r="G424" s="21">
        <f>B424+C424+F424</f>
        <v>31</v>
      </c>
      <c r="H424" s="22">
        <f>IF(E424&lt;0,-999999999,B424*(PRICE_TOM-FERT_TOM)+C424*(PRICE_CAR-FERT_CAR)+F424*(PRICE_MES-FERT_MES)-(FARMER_SALARY+A424*TEMP_COST)-FIXED_COSTS)</f>
        <v>-999999999</v>
      </c>
    </row>
    <row r="425">
      <c r="A425" s="5" t="n">
        <v>0</v>
      </c>
      <c r="B425" s="5" t="n">
        <v>19</v>
      </c>
      <c r="C425" s="5" t="n">
        <v>13</v>
      </c>
      <c r="D425" s="18">
        <f>SEASON_HRS_TOM*B425*(1+DIM_TOM)^B425+SEASON_HRS_CAR*C425*(1+DIM_CAR)^C425</f>
        <v>10995.823774171362</v>
      </c>
      <c r="E425" s="18">
        <f>(FARMER_FIELD_HRS+A425*TEMP_HRS)-D425</f>
        <v>-10275.823774171362</v>
      </c>
      <c r="F425" s="21">
        <f>IF(E425&lt;0,0,MIN(COUNTIF(Labor!$C$59:$C$88,"&lt;="&amp;E425),MAXBED_MES,TOTAL_BEDS-B425-C425))</f>
        <v>0</v>
      </c>
      <c r="G425" s="21">
        <f>B425+C425+F425</f>
        <v>32</v>
      </c>
      <c r="H425" s="22">
        <f>IF(E425&lt;0,-999999999,B425*(PRICE_TOM-FERT_TOM)+C425*(PRICE_CAR-FERT_CAR)+F425*(PRICE_MES-FERT_MES)-(FARMER_SALARY+A425*TEMP_COST)-FIXED_COSTS)</f>
        <v>-999999999</v>
      </c>
    </row>
    <row r="426">
      <c r="A426" s="5" t="n">
        <v>0</v>
      </c>
      <c r="B426" s="5" t="n">
        <v>19</v>
      </c>
      <c r="C426" s="5" t="n">
        <v>14</v>
      </c>
      <c r="D426" s="18">
        <f>SEASON_HRS_TOM*B426*(1+DIM_TOM)^B426+SEASON_HRS_CAR*C426*(1+DIM_CAR)^C426</f>
        <v>11051.653471487885</v>
      </c>
      <c r="E426" s="18">
        <f>(FARMER_FIELD_HRS+A426*TEMP_HRS)-D426</f>
        <v>-10331.653471487885</v>
      </c>
      <c r="F426" s="21">
        <f>IF(E426&lt;0,0,MIN(COUNTIF(Labor!$C$59:$C$88,"&lt;="&amp;E426),MAXBED_MES,TOTAL_BEDS-B426-C426))</f>
        <v>0</v>
      </c>
      <c r="G426" s="21">
        <f>B426+C426+F426</f>
        <v>33</v>
      </c>
      <c r="H426" s="22">
        <f>IF(E426&lt;0,-999999999,B426*(PRICE_TOM-FERT_TOM)+C426*(PRICE_CAR-FERT_CAR)+F426*(PRICE_MES-FERT_MES)-(FARMER_SALARY+A426*TEMP_COST)-FIXED_COSTS)</f>
        <v>-999999999</v>
      </c>
    </row>
    <row r="427">
      <c r="A427" s="5" t="n">
        <v>0</v>
      </c>
      <c r="B427" s="5" t="n">
        <v>19</v>
      </c>
      <c r="C427" s="5" t="n">
        <v>15</v>
      </c>
      <c r="D427" s="18">
        <f>SEASON_HRS_TOM*B427*(1+DIM_TOM)^B427+SEASON_HRS_CAR*C427*(1+DIM_CAR)^C427</f>
        <v>11109.938641603054</v>
      </c>
      <c r="E427" s="18">
        <f>(FARMER_FIELD_HRS+A427*TEMP_HRS)-D427</f>
        <v>-10389.938641603054</v>
      </c>
      <c r="F427" s="21">
        <f>IF(E427&lt;0,0,MIN(COUNTIF(Labor!$C$59:$C$88,"&lt;="&amp;E427),MAXBED_MES,TOTAL_BEDS-B427-C427))</f>
        <v>0</v>
      </c>
      <c r="G427" s="21">
        <f>B427+C427+F427</f>
        <v>34</v>
      </c>
      <c r="H427" s="22">
        <f>IF(E427&lt;0,-999999999,B427*(PRICE_TOM-FERT_TOM)+C427*(PRICE_CAR-FERT_CAR)+F427*(PRICE_MES-FERT_MES)-(FARMER_SALARY+A427*TEMP_COST)-FIXED_COSTS)</f>
        <v>-999999999</v>
      </c>
    </row>
    <row r="428">
      <c r="A428" s="5" t="n">
        <v>0</v>
      </c>
      <c r="B428" s="5" t="n">
        <v>19</v>
      </c>
      <c r="C428" s="5" t="n">
        <v>16</v>
      </c>
      <c r="D428" s="18">
        <f>SEASON_HRS_TOM*B428*(1+DIM_TOM)^B428+SEASON_HRS_CAR*C428*(1+DIM_CAR)^C428</f>
        <v>11170.767164595974</v>
      </c>
      <c r="E428" s="18">
        <f>(FARMER_FIELD_HRS+A428*TEMP_HRS)-D428</f>
        <v>-10450.767164595974</v>
      </c>
      <c r="F428" s="21">
        <f>IF(E428&lt;0,0,MIN(COUNTIF(Labor!$C$59:$C$88,"&lt;="&amp;E428),MAXBED_MES,TOTAL_BEDS-B428-C428))</f>
        <v>0</v>
      </c>
      <c r="G428" s="21">
        <f>B428+C428+F428</f>
        <v>35</v>
      </c>
      <c r="H428" s="22">
        <f>IF(E428&lt;0,-999999999,B428*(PRICE_TOM-FERT_TOM)+C428*(PRICE_CAR-FERT_CAR)+F428*(PRICE_MES-FERT_MES)-(FARMER_SALARY+A428*TEMP_COST)-FIXED_COSTS)</f>
        <v>-999999999</v>
      </c>
    </row>
    <row r="429">
      <c r="A429" s="5" t="n">
        <v>0</v>
      </c>
      <c r="B429" s="5" t="n">
        <v>19</v>
      </c>
      <c r="C429" s="5" t="n">
        <v>17</v>
      </c>
      <c r="D429" s="18">
        <f>SEASON_HRS_TOM*B429*(1+DIM_TOM)^B429+SEASON_HRS_CAR*C429*(1+DIM_CAR)^C429</f>
        <v>11234.229779879213</v>
      </c>
      <c r="E429" s="18">
        <f>(FARMER_FIELD_HRS+A429*TEMP_HRS)-D429</f>
        <v>-10514.229779879213</v>
      </c>
      <c r="F429" s="21">
        <f>IF(E429&lt;0,0,MIN(COUNTIF(Labor!$C$59:$C$88,"&lt;="&amp;E429),MAXBED_MES,TOTAL_BEDS-B429-C429))</f>
        <v>0</v>
      </c>
      <c r="G429" s="21">
        <f>B429+C429+F429</f>
        <v>36</v>
      </c>
      <c r="H429" s="22">
        <f>IF(E429&lt;0,-999999999,B429*(PRICE_TOM-FERT_TOM)+C429*(PRICE_CAR-FERT_CAR)+F429*(PRICE_MES-FERT_MES)-(FARMER_SALARY+A429*TEMP_COST)-FIXED_COSTS)</f>
        <v>-999999999</v>
      </c>
    </row>
    <row r="430">
      <c r="A430" s="5" t="n">
        <v>0</v>
      </c>
      <c r="B430" s="5" t="n">
        <v>19</v>
      </c>
      <c r="C430" s="5" t="n">
        <v>18</v>
      </c>
      <c r="D430" s="18">
        <f>SEASON_HRS_TOM*B430*(1+DIM_TOM)^B430+SEASON_HRS_CAR*C430*(1+DIM_CAR)^C430</f>
        <v>11300.420174240417</v>
      </c>
      <c r="E430" s="18">
        <f>(FARMER_FIELD_HRS+A430*TEMP_HRS)-D430</f>
        <v>-10580.420174240417</v>
      </c>
      <c r="F430" s="21">
        <f>IF(E430&lt;0,0,MIN(COUNTIF(Labor!$C$59:$C$88,"&lt;="&amp;E430),MAXBED_MES,TOTAL_BEDS-B430-C430))</f>
        <v>0</v>
      </c>
      <c r="G430" s="21">
        <f>B430+C430+F430</f>
        <v>37</v>
      </c>
      <c r="H430" s="22">
        <f>IF(E430&lt;0,-999999999,B430*(PRICE_TOM-FERT_TOM)+C430*(PRICE_CAR-FERT_CAR)+F430*(PRICE_MES-FERT_MES)-(FARMER_SALARY+A430*TEMP_COST)-FIXED_COSTS)</f>
        <v>-999999999</v>
      </c>
    </row>
    <row r="431">
      <c r="A431" s="5" t="n">
        <v>0</v>
      </c>
      <c r="B431" s="5" t="n">
        <v>19</v>
      </c>
      <c r="C431" s="5" t="n">
        <v>19</v>
      </c>
      <c r="D431" s="18">
        <f>SEASON_HRS_TOM*B431*(1+DIM_TOM)^B431+SEASON_HRS_CAR*C431*(1+DIM_CAR)^C431</f>
        <v>11369.435072498929</v>
      </c>
      <c r="E431" s="18">
        <f>(FARMER_FIELD_HRS+A431*TEMP_HRS)-D431</f>
        <v>-10649.435072498929</v>
      </c>
      <c r="F431" s="21">
        <f>IF(E431&lt;0,0,MIN(COUNTIF(Labor!$C$59:$C$88,"&lt;="&amp;E431),MAXBED_MES,TOTAL_BEDS-B431-C431))</f>
        <v>0</v>
      </c>
      <c r="G431" s="21">
        <f>B431+C431+F431</f>
        <v>38</v>
      </c>
      <c r="H431" s="22">
        <f>IF(E431&lt;0,-999999999,B431*(PRICE_TOM-FERT_TOM)+C431*(PRICE_CAR-FERT_CAR)+F431*(PRICE_MES-FERT_MES)-(FARMER_SALARY+A431*TEMP_COST)-FIXED_COSTS)</f>
        <v>-999999999</v>
      </c>
    </row>
    <row r="432">
      <c r="A432" s="5" t="n">
        <v>0</v>
      </c>
      <c r="B432" s="5" t="n">
        <v>19</v>
      </c>
      <c r="C432" s="5" t="n">
        <v>20</v>
      </c>
      <c r="D432" s="18">
        <f>SEASON_HRS_TOM*B432*(1+DIM_TOM)^B432+SEASON_HRS_CAR*C432*(1+DIM_CAR)^C432</f>
        <v>11441.374330853141</v>
      </c>
      <c r="E432" s="18">
        <f>(FARMER_FIELD_HRS+A432*TEMP_HRS)-D432</f>
        <v>-10721.374330853141</v>
      </c>
      <c r="F432" s="21">
        <f>IF(E432&lt;0,0,MIN(COUNTIF(Labor!$C$59:$C$88,"&lt;="&amp;E432),MAXBED_MES,TOTAL_BEDS-B432-C432))</f>
        <v>0</v>
      </c>
      <c r="G432" s="21">
        <f>B432+C432+F432</f>
        <v>39</v>
      </c>
      <c r="H432" s="22">
        <f>IF(E432&lt;0,-999999999,B432*(PRICE_TOM-FERT_TOM)+C432*(PRICE_CAR-FERT_CAR)+F432*(PRICE_MES-FERT_MES)-(FARMER_SALARY+A432*TEMP_COST)-FIXED_COSTS)</f>
        <v>-999999999</v>
      </c>
    </row>
    <row r="433">
      <c r="A433" s="5" t="n">
        <v>0</v>
      </c>
      <c r="B433" s="5" t="n">
        <v>20</v>
      </c>
      <c r="C433" s="5" t="n">
        <v>0</v>
      </c>
      <c r="D433" s="18">
        <f>SEASON_HRS_TOM*B433*(1+DIM_TOM)^B433+SEASON_HRS_CAR*C433*(1+DIM_CAR)^C433</f>
        <v>12109.4999087861</v>
      </c>
      <c r="E433" s="18">
        <f>(FARMER_FIELD_HRS+A433*TEMP_HRS)-D433</f>
        <v>-11389.4999087861</v>
      </c>
      <c r="F433" s="21">
        <f>IF(E433&lt;0,0,MIN(COUNTIF(Labor!$C$59:$C$88,"&lt;="&amp;E433),MAXBED_MES,TOTAL_BEDS-B433-C433))</f>
        <v>0</v>
      </c>
      <c r="G433" s="21">
        <f>B433+C433+F433</f>
        <v>20</v>
      </c>
      <c r="H433" s="22">
        <f>IF(E433&lt;0,-999999999,B433*(PRICE_TOM-FERT_TOM)+C433*(PRICE_CAR-FERT_CAR)+F433*(PRICE_MES-FERT_MES)-(FARMER_SALARY+A433*TEMP_COST)-FIXED_COSTS)</f>
        <v>-999999999</v>
      </c>
    </row>
    <row r="434">
      <c r="A434" s="5" t="n">
        <v>0</v>
      </c>
      <c r="B434" s="5" t="n">
        <v>20</v>
      </c>
      <c r="C434" s="5" t="n">
        <v>1</v>
      </c>
      <c r="D434" s="18">
        <f>SEASON_HRS_TOM*B434*(1+DIM_TOM)^B434+SEASON_HRS_CAR*C434*(1+DIM_CAR)^C434</f>
        <v>12140.2499087861</v>
      </c>
      <c r="E434" s="18">
        <f>(FARMER_FIELD_HRS+A434*TEMP_HRS)-D434</f>
        <v>-11420.2499087861</v>
      </c>
      <c r="F434" s="21">
        <f>IF(E434&lt;0,0,MIN(COUNTIF(Labor!$C$59:$C$88,"&lt;="&amp;E434),MAXBED_MES,TOTAL_BEDS-B434-C434))</f>
        <v>0</v>
      </c>
      <c r="G434" s="21">
        <f>B434+C434+F434</f>
        <v>21</v>
      </c>
      <c r="H434" s="22">
        <f>IF(E434&lt;0,-999999999,B434*(PRICE_TOM-FERT_TOM)+C434*(PRICE_CAR-FERT_CAR)+F434*(PRICE_MES-FERT_MES)-(FARMER_SALARY+A434*TEMP_COST)-FIXED_COSTS)</f>
        <v>-999999999</v>
      </c>
    </row>
    <row r="435">
      <c r="A435" s="5" t="n">
        <v>0</v>
      </c>
      <c r="B435" s="5" t="n">
        <v>20</v>
      </c>
      <c r="C435" s="5" t="n">
        <v>2</v>
      </c>
      <c r="D435" s="18">
        <f>SEASON_HRS_TOM*B435*(1+DIM_TOM)^B435+SEASON_HRS_CAR*C435*(1+DIM_CAR)^C435</f>
        <v>12172.5374087861</v>
      </c>
      <c r="E435" s="18">
        <f>(FARMER_FIELD_HRS+A435*TEMP_HRS)-D435</f>
        <v>-11452.5374087861</v>
      </c>
      <c r="F435" s="21">
        <f>IF(E435&lt;0,0,MIN(COUNTIF(Labor!$C$59:$C$88,"&lt;="&amp;E435),MAXBED_MES,TOTAL_BEDS-B435-C435))</f>
        <v>0</v>
      </c>
      <c r="G435" s="21">
        <f>B435+C435+F435</f>
        <v>22</v>
      </c>
      <c r="H435" s="22">
        <f>IF(E435&lt;0,-999999999,B435*(PRICE_TOM-FERT_TOM)+C435*(PRICE_CAR-FERT_CAR)+F435*(PRICE_MES-FERT_MES)-(FARMER_SALARY+A435*TEMP_COST)-FIXED_COSTS)</f>
        <v>-999999999</v>
      </c>
    </row>
    <row r="436">
      <c r="A436" s="5" t="n">
        <v>0</v>
      </c>
      <c r="B436" s="5" t="n">
        <v>20</v>
      </c>
      <c r="C436" s="5" t="n">
        <v>3</v>
      </c>
      <c r="D436" s="18">
        <f>SEASON_HRS_TOM*B436*(1+DIM_TOM)^B436+SEASON_HRS_CAR*C436*(1+DIM_CAR)^C436</f>
        <v>12206.4200650361</v>
      </c>
      <c r="E436" s="18">
        <f>(FARMER_FIELD_HRS+A436*TEMP_HRS)-D436</f>
        <v>-11486.4200650361</v>
      </c>
      <c r="F436" s="21">
        <f>IF(E436&lt;0,0,MIN(COUNTIF(Labor!$C$59:$C$88,"&lt;="&amp;E436),MAXBED_MES,TOTAL_BEDS-B436-C436))</f>
        <v>0</v>
      </c>
      <c r="G436" s="21">
        <f>B436+C436+F436</f>
        <v>23</v>
      </c>
      <c r="H436" s="22">
        <f>IF(E436&lt;0,-999999999,B436*(PRICE_TOM-FERT_TOM)+C436*(PRICE_CAR-FERT_CAR)+F436*(PRICE_MES-FERT_MES)-(FARMER_SALARY+A436*TEMP_COST)-FIXED_COSTS)</f>
        <v>-999999999</v>
      </c>
    </row>
    <row r="437">
      <c r="A437" s="5" t="n">
        <v>0</v>
      </c>
      <c r="B437" s="5" t="n">
        <v>20</v>
      </c>
      <c r="C437" s="5" t="n">
        <v>4</v>
      </c>
      <c r="D437" s="18">
        <f>SEASON_HRS_TOM*B437*(1+DIM_TOM)^B437+SEASON_HRS_CAR*C437*(1+DIM_CAR)^C437</f>
        <v>12241.9574556611</v>
      </c>
      <c r="E437" s="18">
        <f>(FARMER_FIELD_HRS+A437*TEMP_HRS)-D437</f>
        <v>-11521.9574556611</v>
      </c>
      <c r="F437" s="21">
        <f>IF(E437&lt;0,0,MIN(COUNTIF(Labor!$C$59:$C$88,"&lt;="&amp;E437),MAXBED_MES,TOTAL_BEDS-B437-C437))</f>
        <v>0</v>
      </c>
      <c r="G437" s="21">
        <f>B437+C437+F437</f>
        <v>24</v>
      </c>
      <c r="H437" s="22">
        <f>IF(E437&lt;0,-999999999,B437*(PRICE_TOM-FERT_TOM)+C437*(PRICE_CAR-FERT_CAR)+F437*(PRICE_MES-FERT_MES)-(FARMER_SALARY+A437*TEMP_COST)-FIXED_COSTS)</f>
        <v>-999999999</v>
      </c>
    </row>
    <row r="438">
      <c r="A438" s="5" t="n">
        <v>0</v>
      </c>
      <c r="B438" s="5" t="n">
        <v>20</v>
      </c>
      <c r="C438" s="5" t="n">
        <v>5</v>
      </c>
      <c r="D438" s="18">
        <f>SEASON_HRS_TOM*B438*(1+DIM_TOM)^B438+SEASON_HRS_CAR*C438*(1+DIM_CAR)^C438</f>
        <v>12279.211140719694</v>
      </c>
      <c r="E438" s="18">
        <f>(FARMER_FIELD_HRS+A438*TEMP_HRS)-D438</f>
        <v>-11559.211140719694</v>
      </c>
      <c r="F438" s="21">
        <f>IF(E438&lt;0,0,MIN(COUNTIF(Labor!$C$59:$C$88,"&lt;="&amp;E438),MAXBED_MES,TOTAL_BEDS-B438-C438))</f>
        <v>0</v>
      </c>
      <c r="G438" s="21">
        <f>B438+C438+F438</f>
        <v>25</v>
      </c>
      <c r="H438" s="22">
        <f>IF(E438&lt;0,-999999999,B438*(PRICE_TOM-FERT_TOM)+C438*(PRICE_CAR-FERT_CAR)+F438*(PRICE_MES-FERT_MES)-(FARMER_SALARY+A438*TEMP_COST)-FIXED_COSTS)</f>
        <v>-999999999</v>
      </c>
    </row>
    <row r="439">
      <c r="A439" s="5" t="n">
        <v>0</v>
      </c>
      <c r="B439" s="5" t="n">
        <v>20</v>
      </c>
      <c r="C439" s="5" t="n">
        <v>6</v>
      </c>
      <c r="D439" s="18">
        <f>SEASON_HRS_TOM*B439*(1+DIM_TOM)^B439+SEASON_HRS_CAR*C439*(1+DIM_CAR)^C439</f>
        <v>12318.24472406442</v>
      </c>
      <c r="E439" s="18">
        <f>(FARMER_FIELD_HRS+A439*TEMP_HRS)-D439</f>
        <v>-11598.24472406442</v>
      </c>
      <c r="F439" s="21">
        <f>IF(E439&lt;0,0,MIN(COUNTIF(Labor!$C$59:$C$88,"&lt;="&amp;E439),MAXBED_MES,TOTAL_BEDS-B439-C439))</f>
        <v>0</v>
      </c>
      <c r="G439" s="21">
        <f>B439+C439+F439</f>
        <v>26</v>
      </c>
      <c r="H439" s="22">
        <f>IF(E439&lt;0,-999999999,B439*(PRICE_TOM-FERT_TOM)+C439*(PRICE_CAR-FERT_CAR)+F439*(PRICE_MES-FERT_MES)-(FARMER_SALARY+A439*TEMP_COST)-FIXED_COSTS)</f>
        <v>-999999999</v>
      </c>
    </row>
    <row r="440">
      <c r="A440" s="5" t="n">
        <v>0</v>
      </c>
      <c r="B440" s="5" t="n">
        <v>20</v>
      </c>
      <c r="C440" s="5" t="n">
        <v>7</v>
      </c>
      <c r="D440" s="18">
        <f>SEASON_HRS_TOM*B440*(1+DIM_TOM)^B440+SEASON_HRS_CAR*C440*(1+DIM_CAR)^C440</f>
        <v>12359.123917056424</v>
      </c>
      <c r="E440" s="18">
        <f>(FARMER_FIELD_HRS+A440*TEMP_HRS)-D440</f>
        <v>-11639.123917056424</v>
      </c>
      <c r="F440" s="21">
        <f>IF(E440&lt;0,0,MIN(COUNTIF(Labor!$C$59:$C$88,"&lt;="&amp;E440),MAXBED_MES,TOTAL_BEDS-B440-C440))</f>
        <v>0</v>
      </c>
      <c r="G440" s="21">
        <f>B440+C440+F440</f>
        <v>27</v>
      </c>
      <c r="H440" s="22">
        <f>IF(E440&lt;0,-999999999,B440*(PRICE_TOM-FERT_TOM)+C440*(PRICE_CAR-FERT_CAR)+F440*(PRICE_MES-FERT_MES)-(FARMER_SALARY+A440*TEMP_COST)-FIXED_COSTS)</f>
        <v>-999999999</v>
      </c>
    </row>
    <row r="441">
      <c r="A441" s="5" t="n">
        <v>0</v>
      </c>
      <c r="B441" s="5" t="n">
        <v>20</v>
      </c>
      <c r="C441" s="5" t="n">
        <v>8</v>
      </c>
      <c r="D441" s="18">
        <f>SEASON_HRS_TOM*B441*(1+DIM_TOM)^B441+SEASON_HRS_CAR*C441*(1+DIM_CAR)^C441</f>
        <v>12401.91660418848</v>
      </c>
      <c r="E441" s="18">
        <f>(FARMER_FIELD_HRS+A441*TEMP_HRS)-D441</f>
        <v>-11681.91660418848</v>
      </c>
      <c r="F441" s="21">
        <f>IF(E441&lt;0,0,MIN(COUNTIF(Labor!$C$59:$C$88,"&lt;="&amp;E441),MAXBED_MES,TOTAL_BEDS-B441-C441))</f>
        <v>0</v>
      </c>
      <c r="G441" s="21">
        <f>B441+C441+F441</f>
        <v>28</v>
      </c>
      <c r="H441" s="22">
        <f>IF(E441&lt;0,-999999999,B441*(PRICE_TOM-FERT_TOM)+C441*(PRICE_CAR-FERT_CAR)+F441*(PRICE_MES-FERT_MES)-(FARMER_SALARY+A441*TEMP_COST)-FIXED_COSTS)</f>
        <v>-999999999</v>
      </c>
    </row>
    <row r="442">
      <c r="A442" s="5" t="n">
        <v>0</v>
      </c>
      <c r="B442" s="5" t="n">
        <v>20</v>
      </c>
      <c r="C442" s="5" t="n">
        <v>9</v>
      </c>
      <c r="D442" s="18">
        <f>SEASON_HRS_TOM*B442*(1+DIM_TOM)^B442+SEASON_HRS_CAR*C442*(1+DIM_CAR)^C442</f>
        <v>12446.692910671969</v>
      </c>
      <c r="E442" s="18">
        <f>(FARMER_FIELD_HRS+A442*TEMP_HRS)-D442</f>
        <v>-11726.692910671969</v>
      </c>
      <c r="F442" s="21">
        <f>IF(E442&lt;0,0,MIN(COUNTIF(Labor!$C$59:$C$88,"&lt;="&amp;E442),MAXBED_MES,TOTAL_BEDS-B442-C442))</f>
        <v>0</v>
      </c>
      <c r="G442" s="21">
        <f>B442+C442+F442</f>
        <v>29</v>
      </c>
      <c r="H442" s="22">
        <f>IF(E442&lt;0,-999999999,B442*(PRICE_TOM-FERT_TOM)+C442*(PRICE_CAR-FERT_CAR)+F442*(PRICE_MES-FERT_MES)-(FARMER_SALARY+A442*TEMP_COST)-FIXED_COSTS)</f>
        <v>-999999999</v>
      </c>
    </row>
    <row r="443">
      <c r="A443" s="5" t="n">
        <v>0</v>
      </c>
      <c r="B443" s="5" t="n">
        <v>20</v>
      </c>
      <c r="C443" s="5" t="n">
        <v>10</v>
      </c>
      <c r="D443" s="18">
        <f>SEASON_HRS_TOM*B443*(1+DIM_TOM)^B443+SEASON_HRS_CAR*C443*(1+DIM_CAR)^C443</f>
        <v>12493.525272045006</v>
      </c>
      <c r="E443" s="18">
        <f>(FARMER_FIELD_HRS+A443*TEMP_HRS)-D443</f>
        <v>-11773.525272045006</v>
      </c>
      <c r="F443" s="21">
        <f>IF(E443&lt;0,0,MIN(COUNTIF(Labor!$C$59:$C$88,"&lt;="&amp;E443),MAXBED_MES,TOTAL_BEDS-B443-C443))</f>
        <v>0</v>
      </c>
      <c r="G443" s="21">
        <f>B443+C443+F443</f>
        <v>30</v>
      </c>
      <c r="H443" s="22">
        <f>IF(E443&lt;0,-999999999,B443*(PRICE_TOM-FERT_TOM)+C443*(PRICE_CAR-FERT_CAR)+F443*(PRICE_MES-FERT_MES)-(FARMER_SALARY+A443*TEMP_COST)-FIXED_COSTS)</f>
        <v>-999999999</v>
      </c>
    </row>
    <row r="444">
      <c r="A444" s="5" t="n">
        <v>0</v>
      </c>
      <c r="B444" s="5" t="n">
        <v>20</v>
      </c>
      <c r="C444" s="5" t="n">
        <v>11</v>
      </c>
      <c r="D444" s="18">
        <f>SEASON_HRS_TOM*B444*(1+DIM_TOM)^B444+SEASON_HRS_CAR*C444*(1+DIM_CAR)^C444</f>
        <v>12542.488505860518</v>
      </c>
      <c r="E444" s="18">
        <f>(FARMER_FIELD_HRS+A444*TEMP_HRS)-D444</f>
        <v>-11822.488505860518</v>
      </c>
      <c r="F444" s="21">
        <f>IF(E444&lt;0,0,MIN(COUNTIF(Labor!$C$59:$C$88,"&lt;="&amp;E444),MAXBED_MES,TOTAL_BEDS-B444-C444))</f>
        <v>0</v>
      </c>
      <c r="G444" s="21">
        <f>B444+C444+F444</f>
        <v>31</v>
      </c>
      <c r="H444" s="22">
        <f>IF(E444&lt;0,-999999999,B444*(PRICE_TOM-FERT_TOM)+C444*(PRICE_CAR-FERT_CAR)+F444*(PRICE_MES-FERT_MES)-(FARMER_SALARY+A444*TEMP_COST)-FIXED_COSTS)</f>
        <v>-999999999</v>
      </c>
    </row>
    <row r="445">
      <c r="A445" s="5" t="n">
        <v>0</v>
      </c>
      <c r="B445" s="5" t="n">
        <v>20</v>
      </c>
      <c r="C445" s="5" t="n">
        <v>12</v>
      </c>
      <c r="D445" s="18">
        <f>SEASON_HRS_TOM*B445*(1+DIM_TOM)^B445+SEASON_HRS_CAR*C445*(1+DIM_CAR)^C445</f>
        <v>12593.659885514766</v>
      </c>
      <c r="E445" s="18">
        <f>(FARMER_FIELD_HRS+A445*TEMP_HRS)-D445</f>
        <v>-11873.659885514766</v>
      </c>
      <c r="F445" s="21">
        <f>IF(E445&lt;0,0,MIN(COUNTIF(Labor!$C$59:$C$88,"&lt;="&amp;E445),MAXBED_MES,TOTAL_BEDS-B445-C445))</f>
        <v>0</v>
      </c>
      <c r="G445" s="21">
        <f>B445+C445+F445</f>
        <v>32</v>
      </c>
      <c r="H445" s="22">
        <f>IF(E445&lt;0,-999999999,B445*(PRICE_TOM-FERT_TOM)+C445*(PRICE_CAR-FERT_CAR)+F445*(PRICE_MES-FERT_MES)-(FARMER_SALARY+A445*TEMP_COST)-FIXED_COSTS)</f>
        <v>-999999999</v>
      </c>
    </row>
    <row r="446">
      <c r="A446" s="5" t="n">
        <v>0</v>
      </c>
      <c r="B446" s="5" t="n">
        <v>20</v>
      </c>
      <c r="C446" s="5" t="n">
        <v>13</v>
      </c>
      <c r="D446" s="18">
        <f>SEASON_HRS_TOM*B446*(1+DIM_TOM)^B446+SEASON_HRS_CAR*C446*(1+DIM_CAR)^C446</f>
        <v>12647.119216278557</v>
      </c>
      <c r="E446" s="18">
        <f>(FARMER_FIELD_HRS+A446*TEMP_HRS)-D446</f>
        <v>-11927.119216278557</v>
      </c>
      <c r="F446" s="21">
        <f>IF(E446&lt;0,0,MIN(COUNTIF(Labor!$C$59:$C$88,"&lt;="&amp;E446),MAXBED_MES,TOTAL_BEDS-B446-C446))</f>
        <v>0</v>
      </c>
      <c r="G446" s="21">
        <f>B446+C446+F446</f>
        <v>33</v>
      </c>
      <c r="H446" s="22">
        <f>IF(E446&lt;0,-999999999,B446*(PRICE_TOM-FERT_TOM)+C446*(PRICE_CAR-FERT_CAR)+F446*(PRICE_MES-FERT_MES)-(FARMER_SALARY+A446*TEMP_COST)-FIXED_COSTS)</f>
        <v>-999999999</v>
      </c>
    </row>
    <row r="447">
      <c r="A447" s="5" t="n">
        <v>0</v>
      </c>
      <c r="B447" s="5" t="n">
        <v>20</v>
      </c>
      <c r="C447" s="5" t="n">
        <v>14</v>
      </c>
      <c r="D447" s="18">
        <f>SEASON_HRS_TOM*B447*(1+DIM_TOM)^B447+SEASON_HRS_CAR*C447*(1+DIM_CAR)^C447</f>
        <v>12702.94891359508</v>
      </c>
      <c r="E447" s="18">
        <f>(FARMER_FIELD_HRS+A447*TEMP_HRS)-D447</f>
        <v>-11982.94891359508</v>
      </c>
      <c r="F447" s="21">
        <f>IF(E447&lt;0,0,MIN(COUNTIF(Labor!$C$59:$C$88,"&lt;="&amp;E447),MAXBED_MES,TOTAL_BEDS-B447-C447))</f>
        <v>0</v>
      </c>
      <c r="G447" s="21">
        <f>B447+C447+F447</f>
        <v>34</v>
      </c>
      <c r="H447" s="22">
        <f>IF(E447&lt;0,-999999999,B447*(PRICE_TOM-FERT_TOM)+C447*(PRICE_CAR-FERT_CAR)+F447*(PRICE_MES-FERT_MES)-(FARMER_SALARY+A447*TEMP_COST)-FIXED_COSTS)</f>
        <v>-999999999</v>
      </c>
    </row>
    <row r="448">
      <c r="A448" s="5" t="n">
        <v>0</v>
      </c>
      <c r="B448" s="5" t="n">
        <v>20</v>
      </c>
      <c r="C448" s="5" t="n">
        <v>15</v>
      </c>
      <c r="D448" s="18">
        <f>SEASON_HRS_TOM*B448*(1+DIM_TOM)^B448+SEASON_HRS_CAR*C448*(1+DIM_CAR)^C448</f>
        <v>12761.23408371025</v>
      </c>
      <c r="E448" s="18">
        <f>(FARMER_FIELD_HRS+A448*TEMP_HRS)-D448</f>
        <v>-12041.23408371025</v>
      </c>
      <c r="F448" s="21">
        <f>IF(E448&lt;0,0,MIN(COUNTIF(Labor!$C$59:$C$88,"&lt;="&amp;E448),MAXBED_MES,TOTAL_BEDS-B448-C448))</f>
        <v>0</v>
      </c>
      <c r="G448" s="21">
        <f>B448+C448+F448</f>
        <v>35</v>
      </c>
      <c r="H448" s="22">
        <f>IF(E448&lt;0,-999999999,B448*(PRICE_TOM-FERT_TOM)+C448*(PRICE_CAR-FERT_CAR)+F448*(PRICE_MES-FERT_MES)-(FARMER_SALARY+A448*TEMP_COST)-FIXED_COSTS)</f>
        <v>-999999999</v>
      </c>
    </row>
    <row r="449">
      <c r="A449" s="5" t="n">
        <v>0</v>
      </c>
      <c r="B449" s="5" t="n">
        <v>20</v>
      </c>
      <c r="C449" s="5" t="n">
        <v>16</v>
      </c>
      <c r="D449" s="18">
        <f>SEASON_HRS_TOM*B449*(1+DIM_TOM)^B449+SEASON_HRS_CAR*C449*(1+DIM_CAR)^C449</f>
        <v>12822.06260670317</v>
      </c>
      <c r="E449" s="18">
        <f>(FARMER_FIELD_HRS+A449*TEMP_HRS)-D449</f>
        <v>-12102.06260670317</v>
      </c>
      <c r="F449" s="21">
        <f>IF(E449&lt;0,0,MIN(COUNTIF(Labor!$C$59:$C$88,"&lt;="&amp;E449),MAXBED_MES,TOTAL_BEDS-B449-C449))</f>
        <v>0</v>
      </c>
      <c r="G449" s="21">
        <f>B449+C449+F449</f>
        <v>36</v>
      </c>
      <c r="H449" s="22">
        <f>IF(E449&lt;0,-999999999,B449*(PRICE_TOM-FERT_TOM)+C449*(PRICE_CAR-FERT_CAR)+F449*(PRICE_MES-FERT_MES)-(FARMER_SALARY+A449*TEMP_COST)-FIXED_COSTS)</f>
        <v>-999999999</v>
      </c>
    </row>
    <row r="450">
      <c r="A450" s="5" t="n">
        <v>0</v>
      </c>
      <c r="B450" s="5" t="n">
        <v>20</v>
      </c>
      <c r="C450" s="5" t="n">
        <v>17</v>
      </c>
      <c r="D450" s="18">
        <f>SEASON_HRS_TOM*B450*(1+DIM_TOM)^B450+SEASON_HRS_CAR*C450*(1+DIM_CAR)^C450</f>
        <v>12885.525221986409</v>
      </c>
      <c r="E450" s="18">
        <f>(FARMER_FIELD_HRS+A450*TEMP_HRS)-D450</f>
        <v>-12165.525221986409</v>
      </c>
      <c r="F450" s="21">
        <f>IF(E450&lt;0,0,MIN(COUNTIF(Labor!$C$59:$C$88,"&lt;="&amp;E450),MAXBED_MES,TOTAL_BEDS-B450-C450))</f>
        <v>0</v>
      </c>
      <c r="G450" s="21">
        <f>B450+C450+F450</f>
        <v>37</v>
      </c>
      <c r="H450" s="22">
        <f>IF(E450&lt;0,-999999999,B450*(PRICE_TOM-FERT_TOM)+C450*(PRICE_CAR-FERT_CAR)+F450*(PRICE_MES-FERT_MES)-(FARMER_SALARY+A450*TEMP_COST)-FIXED_COSTS)</f>
        <v>-999999999</v>
      </c>
    </row>
    <row r="451">
      <c r="A451" s="5" t="n">
        <v>0</v>
      </c>
      <c r="B451" s="5" t="n">
        <v>20</v>
      </c>
      <c r="C451" s="5" t="n">
        <v>18</v>
      </c>
      <c r="D451" s="18">
        <f>SEASON_HRS_TOM*B451*(1+DIM_TOM)^B451+SEASON_HRS_CAR*C451*(1+DIM_CAR)^C451</f>
        <v>12951.715616347612</v>
      </c>
      <c r="E451" s="18">
        <f>(FARMER_FIELD_HRS+A451*TEMP_HRS)-D451</f>
        <v>-12231.715616347612</v>
      </c>
      <c r="F451" s="21">
        <f>IF(E451&lt;0,0,MIN(COUNTIF(Labor!$C$59:$C$88,"&lt;="&amp;E451),MAXBED_MES,TOTAL_BEDS-B451-C451))</f>
        <v>0</v>
      </c>
      <c r="G451" s="21">
        <f>B451+C451+F451</f>
        <v>38</v>
      </c>
      <c r="H451" s="22">
        <f>IF(E451&lt;0,-999999999,B451*(PRICE_TOM-FERT_TOM)+C451*(PRICE_CAR-FERT_CAR)+F451*(PRICE_MES-FERT_MES)-(FARMER_SALARY+A451*TEMP_COST)-FIXED_COSTS)</f>
        <v>-999999999</v>
      </c>
    </row>
    <row r="452">
      <c r="A452" s="5" t="n">
        <v>0</v>
      </c>
      <c r="B452" s="5" t="n">
        <v>20</v>
      </c>
      <c r="C452" s="5" t="n">
        <v>19</v>
      </c>
      <c r="D452" s="18">
        <f>SEASON_HRS_TOM*B452*(1+DIM_TOM)^B452+SEASON_HRS_CAR*C452*(1+DIM_CAR)^C452</f>
        <v>13020.730514606124</v>
      </c>
      <c r="E452" s="18">
        <f>(FARMER_FIELD_HRS+A452*TEMP_HRS)-D452</f>
        <v>-12300.730514606124</v>
      </c>
      <c r="F452" s="21">
        <f>IF(E452&lt;0,0,MIN(COUNTIF(Labor!$C$59:$C$88,"&lt;="&amp;E452),MAXBED_MES,TOTAL_BEDS-B452-C452))</f>
        <v>0</v>
      </c>
      <c r="G452" s="21">
        <f>B452+C452+F452</f>
        <v>39</v>
      </c>
      <c r="H452" s="22">
        <f>IF(E452&lt;0,-999999999,B452*(PRICE_TOM-FERT_TOM)+C452*(PRICE_CAR-FERT_CAR)+F452*(PRICE_MES-FERT_MES)-(FARMER_SALARY+A452*TEMP_COST)-FIXED_COSTS)</f>
        <v>-999999999</v>
      </c>
    </row>
    <row r="453">
      <c r="A453" s="5" t="n">
        <v>0</v>
      </c>
      <c r="B453" s="5" t="n">
        <v>20</v>
      </c>
      <c r="C453" s="5" t="n">
        <v>20</v>
      </c>
      <c r="D453" s="18">
        <f>SEASON_HRS_TOM*B453*(1+DIM_TOM)^B453+SEASON_HRS_CAR*C453*(1+DIM_CAR)^C453</f>
        <v>13092.669772960337</v>
      </c>
      <c r="E453" s="18">
        <f>(FARMER_FIELD_HRS+A453*TEMP_HRS)-D453</f>
        <v>-12372.669772960337</v>
      </c>
      <c r="F453" s="21">
        <f>IF(E453&lt;0,0,MIN(COUNTIF(Labor!$C$59:$C$88,"&lt;="&amp;E453),MAXBED_MES,TOTAL_BEDS-B453-C453))</f>
        <v>0</v>
      </c>
      <c r="G453" s="21">
        <f>B453+C453+F453</f>
        <v>40</v>
      </c>
      <c r="H453" s="22">
        <f>IF(E453&lt;0,-999999999,B453*(PRICE_TOM-FERT_TOM)+C453*(PRICE_CAR-FERT_CAR)+F453*(PRICE_MES-FERT_MES)-(FARMER_SALARY+A453*TEMP_COST)-FIXED_COSTS)</f>
        <v>-999999999</v>
      </c>
    </row>
    <row r="454">
      <c r="A454" s="5" t="n">
        <v>1</v>
      </c>
      <c r="B454" s="5" t="n">
        <v>0</v>
      </c>
      <c r="C454" s="5" t="n">
        <v>0</v>
      </c>
      <c r="D454" s="18">
        <f>SEASON_HRS_TOM*B454*(1+DIM_TOM)^B454+SEASON_HRS_CAR*C454*(1+DIM_CAR)^C454</f>
        <v>0</v>
      </c>
      <c r="E454" s="18">
        <f>(FARMER_FIELD_HRS+A454*TEMP_HRS)-D454</f>
        <v>2160</v>
      </c>
      <c r="F454" s="21">
        <f>IF(E454&lt;0,0,MIN(COUNTIF(Labor!$C$59:$C$88,"&lt;="&amp;E454),MAXBED_MES,TOTAL_BEDS-B454-C454))</f>
        <v>30</v>
      </c>
      <c r="G454" s="21">
        <f>B454+C454+F454</f>
        <v>30</v>
      </c>
      <c r="H454" s="22">
        <f>IF(E454&lt;0,-999999999,B454*(PRICE_TOM-FERT_TOM)+C454*(PRICE_CAR-FERT_CAR)+F454*(PRICE_MES-FERT_MES)-(FARMER_SALARY+A454*TEMP_COST)-FIXED_COSTS)</f>
        <v>-40400</v>
      </c>
    </row>
    <row r="455">
      <c r="A455" s="5" t="n">
        <v>1</v>
      </c>
      <c r="B455" s="5" t="n">
        <v>0</v>
      </c>
      <c r="C455" s="5" t="n">
        <v>1</v>
      </c>
      <c r="D455" s="18">
        <f>SEASON_HRS_TOM*B455*(1+DIM_TOM)^B455+SEASON_HRS_CAR*C455*(1+DIM_CAR)^C455</f>
        <v>30.749999999999996</v>
      </c>
      <c r="E455" s="18">
        <f>(FARMER_FIELD_HRS+A455*TEMP_HRS)-D455</f>
        <v>2129.25</v>
      </c>
      <c r="F455" s="21">
        <f>IF(E455&lt;0,0,MIN(COUNTIF(Labor!$C$59:$C$88,"&lt;="&amp;E455),MAXBED_MES,TOTAL_BEDS-B455-C455))</f>
        <v>30</v>
      </c>
      <c r="G455" s="21">
        <f>B455+C455+F455</f>
        <v>31</v>
      </c>
      <c r="H455" s="22">
        <f>IF(E455&lt;0,-999999999,B455*(PRICE_TOM-FERT_TOM)+C455*(PRICE_CAR-FERT_CAR)+F455*(PRICE_MES-FERT_MES)-(FARMER_SALARY+A455*TEMP_COST)-FIXED_COSTS)</f>
        <v>-38746</v>
      </c>
    </row>
    <row r="456">
      <c r="A456" s="5" t="n">
        <v>1</v>
      </c>
      <c r="B456" s="5" t="n">
        <v>0</v>
      </c>
      <c r="C456" s="5" t="n">
        <v>2</v>
      </c>
      <c r="D456" s="18">
        <f>SEASON_HRS_TOM*B456*(1+DIM_TOM)^B456+SEASON_HRS_CAR*C456*(1+DIM_CAR)^C456</f>
        <v>63.037499999999994</v>
      </c>
      <c r="E456" s="18">
        <f>(FARMER_FIELD_HRS+A456*TEMP_HRS)-D456</f>
        <v>2096.9625</v>
      </c>
      <c r="F456" s="21">
        <f>IF(E456&lt;0,0,MIN(COUNTIF(Labor!$C$59:$C$88,"&lt;="&amp;E456),MAXBED_MES,TOTAL_BEDS-B456-C456))</f>
        <v>30</v>
      </c>
      <c r="G456" s="21">
        <f>B456+C456+F456</f>
        <v>32</v>
      </c>
      <c r="H456" s="22">
        <f>IF(E456&lt;0,-999999999,B456*(PRICE_TOM-FERT_TOM)+C456*(PRICE_CAR-FERT_CAR)+F456*(PRICE_MES-FERT_MES)-(FARMER_SALARY+A456*TEMP_COST)-FIXED_COSTS)</f>
        <v>-37092</v>
      </c>
    </row>
    <row r="457">
      <c r="A457" s="5" t="n">
        <v>1</v>
      </c>
      <c r="B457" s="5" t="n">
        <v>0</v>
      </c>
      <c r="C457" s="5" t="n">
        <v>3</v>
      </c>
      <c r="D457" s="18">
        <f>SEASON_HRS_TOM*B457*(1+DIM_TOM)^B457+SEASON_HRS_CAR*C457*(1+DIM_CAR)^C457</f>
        <v>96.92015624999996</v>
      </c>
      <c r="E457" s="18">
        <f>(FARMER_FIELD_HRS+A457*TEMP_HRS)-D457</f>
        <v>2063.0798437500002</v>
      </c>
      <c r="F457" s="21">
        <f>IF(E457&lt;0,0,MIN(COUNTIF(Labor!$C$59:$C$88,"&lt;="&amp;E457),MAXBED_MES,TOTAL_BEDS-B457-C457))</f>
        <v>30</v>
      </c>
      <c r="G457" s="21">
        <f>B457+C457+F457</f>
        <v>33</v>
      </c>
      <c r="H457" s="22">
        <f>IF(E457&lt;0,-999999999,B457*(PRICE_TOM-FERT_TOM)+C457*(PRICE_CAR-FERT_CAR)+F457*(PRICE_MES-FERT_MES)-(FARMER_SALARY+A457*TEMP_COST)-FIXED_COSTS)</f>
        <v>-35438</v>
      </c>
    </row>
    <row r="458">
      <c r="A458" s="5" t="n">
        <v>1</v>
      </c>
      <c r="B458" s="5" t="n">
        <v>0</v>
      </c>
      <c r="C458" s="5" t="n">
        <v>4</v>
      </c>
      <c r="D458" s="18">
        <f>SEASON_HRS_TOM*B458*(1+DIM_TOM)^B458+SEASON_HRS_CAR*C458*(1+DIM_CAR)^C458</f>
        <v>132.45754687499993</v>
      </c>
      <c r="E458" s="18">
        <f>(FARMER_FIELD_HRS+A458*TEMP_HRS)-D458</f>
        <v>2027.542453125</v>
      </c>
      <c r="F458" s="21">
        <f>IF(E458&lt;0,0,MIN(COUNTIF(Labor!$C$59:$C$88,"&lt;="&amp;E458),MAXBED_MES,TOTAL_BEDS-B458-C458))</f>
        <v>30</v>
      </c>
      <c r="G458" s="21">
        <f>B458+C458+F458</f>
        <v>34</v>
      </c>
      <c r="H458" s="22">
        <f>IF(E458&lt;0,-999999999,B458*(PRICE_TOM-FERT_TOM)+C458*(PRICE_CAR-FERT_CAR)+F458*(PRICE_MES-FERT_MES)-(FARMER_SALARY+A458*TEMP_COST)-FIXED_COSTS)</f>
        <v>-33784</v>
      </c>
    </row>
    <row r="459">
      <c r="A459" s="5" t="n">
        <v>1</v>
      </c>
      <c r="B459" s="5" t="n">
        <v>0</v>
      </c>
      <c r="C459" s="5" t="n">
        <v>5</v>
      </c>
      <c r="D459" s="18">
        <f>SEASON_HRS_TOM*B459*(1+DIM_TOM)^B459+SEASON_HRS_CAR*C459*(1+DIM_CAR)^C459</f>
        <v>169.71123193359367</v>
      </c>
      <c r="E459" s="18">
        <f>(FARMER_FIELD_HRS+A459*TEMP_HRS)-D459</f>
        <v>1990.2887680664064</v>
      </c>
      <c r="F459" s="21">
        <f>IF(E459&lt;0,0,MIN(COUNTIF(Labor!$C$59:$C$88,"&lt;="&amp;E459),MAXBED_MES,TOTAL_BEDS-B459-C459))</f>
        <v>30</v>
      </c>
      <c r="G459" s="21">
        <f>B459+C459+F459</f>
        <v>35</v>
      </c>
      <c r="H459" s="22">
        <f>IF(E459&lt;0,-999999999,B459*(PRICE_TOM-FERT_TOM)+C459*(PRICE_CAR-FERT_CAR)+F459*(PRICE_MES-FERT_MES)-(FARMER_SALARY+A459*TEMP_COST)-FIXED_COSTS)</f>
        <v>-32130</v>
      </c>
    </row>
    <row r="460">
      <c r="A460" s="5" t="n">
        <v>1</v>
      </c>
      <c r="B460" s="5" t="n">
        <v>0</v>
      </c>
      <c r="C460" s="5" t="n">
        <v>6</v>
      </c>
      <c r="D460" s="18">
        <f>SEASON_HRS_TOM*B460*(1+DIM_TOM)^B460+SEASON_HRS_CAR*C460*(1+DIM_CAR)^C460</f>
        <v>208.7448152783202</v>
      </c>
      <c r="E460" s="18">
        <f>(FARMER_FIELD_HRS+A460*TEMP_HRS)-D460</f>
        <v>1951.2551847216798</v>
      </c>
      <c r="F460" s="21">
        <f>IF(E460&lt;0,0,MIN(COUNTIF(Labor!$C$59:$C$88,"&lt;="&amp;E460),MAXBED_MES,TOTAL_BEDS-B460-C460))</f>
        <v>29</v>
      </c>
      <c r="G460" s="21">
        <f>B460+C460+F460</f>
        <v>35</v>
      </c>
      <c r="H460" s="22">
        <f>IF(E460&lt;0,-999999999,B460*(PRICE_TOM-FERT_TOM)+C460*(PRICE_CAR-FERT_CAR)+F460*(PRICE_MES-FERT_MES)-(FARMER_SALARY+A460*TEMP_COST)-FIXED_COSTS)</f>
        <v>-32296</v>
      </c>
    </row>
    <row r="461">
      <c r="A461" s="5" t="n">
        <v>1</v>
      </c>
      <c r="B461" s="5" t="n">
        <v>0</v>
      </c>
      <c r="C461" s="5" t="n">
        <v>7</v>
      </c>
      <c r="D461" s="18">
        <f>SEASON_HRS_TOM*B461*(1+DIM_TOM)^B461+SEASON_HRS_CAR*C461*(1+DIM_CAR)^C461</f>
        <v>249.62400827032457</v>
      </c>
      <c r="E461" s="18">
        <f>(FARMER_FIELD_HRS+A461*TEMP_HRS)-D461</f>
        <v>1910.3759917296754</v>
      </c>
      <c r="F461" s="21">
        <f>IF(E461&lt;0,0,MIN(COUNTIF(Labor!$C$59:$C$88,"&lt;="&amp;E461),MAXBED_MES,TOTAL_BEDS-B461-C461))</f>
        <v>29</v>
      </c>
      <c r="G461" s="21">
        <f>B461+C461+F461</f>
        <v>36</v>
      </c>
      <c r="H461" s="22">
        <f>IF(E461&lt;0,-999999999,B461*(PRICE_TOM-FERT_TOM)+C461*(PRICE_CAR-FERT_CAR)+F461*(PRICE_MES-FERT_MES)-(FARMER_SALARY+A461*TEMP_COST)-FIXED_COSTS)</f>
        <v>-30642</v>
      </c>
    </row>
    <row r="462">
      <c r="A462" s="5" t="n">
        <v>1</v>
      </c>
      <c r="B462" s="5" t="n">
        <v>0</v>
      </c>
      <c r="C462" s="5" t="n">
        <v>8</v>
      </c>
      <c r="D462" s="18">
        <f>SEASON_HRS_TOM*B462*(1+DIM_TOM)^B462+SEASON_HRS_CAR*C462*(1+DIM_CAR)^C462</f>
        <v>292.4166954023801</v>
      </c>
      <c r="E462" s="18">
        <f>(FARMER_FIELD_HRS+A462*TEMP_HRS)-D462</f>
        <v>1867.5833045976199</v>
      </c>
      <c r="F462" s="21">
        <f>IF(E462&lt;0,0,MIN(COUNTIF(Labor!$C$59:$C$88,"&lt;="&amp;E462),MAXBED_MES,TOTAL_BEDS-B462-C462))</f>
        <v>28</v>
      </c>
      <c r="G462" s="21">
        <f>B462+C462+F462</f>
        <v>36</v>
      </c>
      <c r="H462" s="22">
        <f>IF(E462&lt;0,-999999999,B462*(PRICE_TOM-FERT_TOM)+C462*(PRICE_CAR-FERT_CAR)+F462*(PRICE_MES-FERT_MES)-(FARMER_SALARY+A462*TEMP_COST)-FIXED_COSTS)</f>
        <v>-30808</v>
      </c>
    </row>
    <row r="463">
      <c r="A463" s="5" t="n">
        <v>1</v>
      </c>
      <c r="B463" s="5" t="n">
        <v>0</v>
      </c>
      <c r="C463" s="5" t="n">
        <v>9</v>
      </c>
      <c r="D463" s="18">
        <f>SEASON_HRS_TOM*B463*(1+DIM_TOM)^B463+SEASON_HRS_CAR*C463*(1+DIM_CAR)^C463</f>
        <v>337.1930018858696</v>
      </c>
      <c r="E463" s="18">
        <f>(FARMER_FIELD_HRS+A463*TEMP_HRS)-D463</f>
        <v>1822.8069981141305</v>
      </c>
      <c r="F463" s="21">
        <f>IF(E463&lt;0,0,MIN(COUNTIF(Labor!$C$59:$C$88,"&lt;="&amp;E463),MAXBED_MES,TOTAL_BEDS-B463-C463))</f>
        <v>28</v>
      </c>
      <c r="G463" s="21">
        <f>B463+C463+F463</f>
        <v>37</v>
      </c>
      <c r="H463" s="22">
        <f>IF(E463&lt;0,-999999999,B463*(PRICE_TOM-FERT_TOM)+C463*(PRICE_CAR-FERT_CAR)+F463*(PRICE_MES-FERT_MES)-(FARMER_SALARY+A463*TEMP_COST)-FIXED_COSTS)</f>
        <v>-29154</v>
      </c>
    </row>
    <row r="464">
      <c r="A464" s="5" t="n">
        <v>1</v>
      </c>
      <c r="B464" s="5" t="n">
        <v>0</v>
      </c>
      <c r="C464" s="5" t="n">
        <v>10</v>
      </c>
      <c r="D464" s="18">
        <f>SEASON_HRS_TOM*B464*(1+DIM_TOM)^B464+SEASON_HRS_CAR*C464*(1+DIM_CAR)^C464</f>
        <v>384.025363258907</v>
      </c>
      <c r="E464" s="18">
        <f>(FARMER_FIELD_HRS+A464*TEMP_HRS)-D464</f>
        <v>1775.974636741093</v>
      </c>
      <c r="F464" s="21">
        <f>IF(E464&lt;0,0,MIN(COUNTIF(Labor!$C$59:$C$88,"&lt;="&amp;E464),MAXBED_MES,TOTAL_BEDS-B464-C464))</f>
        <v>27</v>
      </c>
      <c r="G464" s="21">
        <f>B464+C464+F464</f>
        <v>37</v>
      </c>
      <c r="H464" s="22">
        <f>IF(E464&lt;0,-999999999,B464*(PRICE_TOM-FERT_TOM)+C464*(PRICE_CAR-FERT_CAR)+F464*(PRICE_MES-FERT_MES)-(FARMER_SALARY+A464*TEMP_COST)-FIXED_COSTS)</f>
        <v>-29320</v>
      </c>
    </row>
    <row r="465">
      <c r="A465" s="5" t="n">
        <v>1</v>
      </c>
      <c r="B465" s="5" t="n">
        <v>0</v>
      </c>
      <c r="C465" s="5" t="n">
        <v>11</v>
      </c>
      <c r="D465" s="18">
        <f>SEASON_HRS_TOM*B465*(1+DIM_TOM)^B465+SEASON_HRS_CAR*C465*(1+DIM_CAR)^C465</f>
        <v>432.9885970744176</v>
      </c>
      <c r="E465" s="18">
        <f>(FARMER_FIELD_HRS+A465*TEMP_HRS)-D465</f>
        <v>1727.0114029255824</v>
      </c>
      <c r="F465" s="21">
        <f>IF(E465&lt;0,0,MIN(COUNTIF(Labor!$C$59:$C$88,"&lt;="&amp;E465),MAXBED_MES,TOTAL_BEDS-B465-C465))</f>
        <v>27</v>
      </c>
      <c r="G465" s="21">
        <f>B465+C465+F465</f>
        <v>38</v>
      </c>
      <c r="H465" s="22">
        <f>IF(E465&lt;0,-999999999,B465*(PRICE_TOM-FERT_TOM)+C465*(PRICE_CAR-FERT_CAR)+F465*(PRICE_MES-FERT_MES)-(FARMER_SALARY+A465*TEMP_COST)-FIXED_COSTS)</f>
        <v>-27666</v>
      </c>
    </row>
    <row r="466">
      <c r="A466" s="5" t="n">
        <v>1</v>
      </c>
      <c r="B466" s="5" t="n">
        <v>0</v>
      </c>
      <c r="C466" s="5" t="n">
        <v>12</v>
      </c>
      <c r="D466" s="18">
        <f>SEASON_HRS_TOM*B466*(1+DIM_TOM)^B466+SEASON_HRS_CAR*C466*(1+DIM_CAR)^C466</f>
        <v>484.15997672866695</v>
      </c>
      <c r="E466" s="18">
        <f>(FARMER_FIELD_HRS+A466*TEMP_HRS)-D466</f>
        <v>1675.840023271333</v>
      </c>
      <c r="F466" s="21">
        <f>IF(E466&lt;0,0,MIN(COUNTIF(Labor!$C$59:$C$88,"&lt;="&amp;E466),MAXBED_MES,TOTAL_BEDS-B466-C466))</f>
        <v>26</v>
      </c>
      <c r="G466" s="21">
        <f>B466+C466+F466</f>
        <v>38</v>
      </c>
      <c r="H466" s="22">
        <f>IF(E466&lt;0,-999999999,B466*(PRICE_TOM-FERT_TOM)+C466*(PRICE_CAR-FERT_CAR)+F466*(PRICE_MES-FERT_MES)-(FARMER_SALARY+A466*TEMP_COST)-FIXED_COSTS)</f>
        <v>-27832</v>
      </c>
    </row>
    <row r="467">
      <c r="A467" s="5" t="n">
        <v>1</v>
      </c>
      <c r="B467" s="5" t="n">
        <v>0</v>
      </c>
      <c r="C467" s="5" t="n">
        <v>13</v>
      </c>
      <c r="D467" s="18">
        <f>SEASON_HRS_TOM*B467*(1+DIM_TOM)^B467+SEASON_HRS_CAR*C467*(1+DIM_CAR)^C467</f>
        <v>537.6193074924571</v>
      </c>
      <c r="E467" s="18">
        <f>(FARMER_FIELD_HRS+A467*TEMP_HRS)-D467</f>
        <v>1622.3806925075428</v>
      </c>
      <c r="F467" s="21">
        <f>IF(E467&lt;0,0,MIN(COUNTIF(Labor!$C$59:$C$88,"&lt;="&amp;E467),MAXBED_MES,TOTAL_BEDS-B467-C467))</f>
        <v>26</v>
      </c>
      <c r="G467" s="21">
        <f>B467+C467+F467</f>
        <v>39</v>
      </c>
      <c r="H467" s="22">
        <f>IF(E467&lt;0,-999999999,B467*(PRICE_TOM-FERT_TOM)+C467*(PRICE_CAR-FERT_CAR)+F467*(PRICE_MES-FERT_MES)-(FARMER_SALARY+A467*TEMP_COST)-FIXED_COSTS)</f>
        <v>-26178</v>
      </c>
    </row>
    <row r="468">
      <c r="A468" s="5" t="n">
        <v>1</v>
      </c>
      <c r="B468" s="5" t="n">
        <v>0</v>
      </c>
      <c r="C468" s="5" t="n">
        <v>14</v>
      </c>
      <c r="D468" s="18">
        <f>SEASON_HRS_TOM*B468*(1+DIM_TOM)^B468+SEASON_HRS_CAR*C468*(1+DIM_CAR)^C468</f>
        <v>593.4490048089816</v>
      </c>
      <c r="E468" s="18">
        <f>(FARMER_FIELD_HRS+A468*TEMP_HRS)-D468</f>
        <v>1566.5509951910185</v>
      </c>
      <c r="F468" s="21">
        <f>IF(E468&lt;0,0,MIN(COUNTIF(Labor!$C$59:$C$88,"&lt;="&amp;E468),MAXBED_MES,TOTAL_BEDS-B468-C468))</f>
        <v>25</v>
      </c>
      <c r="G468" s="21">
        <f>B468+C468+F468</f>
        <v>39</v>
      </c>
      <c r="H468" s="22">
        <f>IF(E468&lt;0,-999999999,B468*(PRICE_TOM-FERT_TOM)+C468*(PRICE_CAR-FERT_CAR)+F468*(PRICE_MES-FERT_MES)-(FARMER_SALARY+A468*TEMP_COST)-FIXED_COSTS)</f>
        <v>-26344</v>
      </c>
    </row>
    <row r="469">
      <c r="A469" s="5" t="n">
        <v>1</v>
      </c>
      <c r="B469" s="5" t="n">
        <v>0</v>
      </c>
      <c r="C469" s="5" t="n">
        <v>15</v>
      </c>
      <c r="D469" s="18">
        <f>SEASON_HRS_TOM*B469*(1+DIM_TOM)^B469+SEASON_HRS_CAR*C469*(1+DIM_CAR)^C469</f>
        <v>651.7341749241493</v>
      </c>
      <c r="E469" s="18">
        <f>(FARMER_FIELD_HRS+A469*TEMP_HRS)-D469</f>
        <v>1508.2658250758507</v>
      </c>
      <c r="F469" s="21">
        <f>IF(E469&lt;0,0,MIN(COUNTIF(Labor!$C$59:$C$88,"&lt;="&amp;E469),MAXBED_MES,TOTAL_BEDS-B469-C469))</f>
        <v>24</v>
      </c>
      <c r="G469" s="21">
        <f>B469+C469+F469</f>
        <v>39</v>
      </c>
      <c r="H469" s="22">
        <f>IF(E469&lt;0,-999999999,B469*(PRICE_TOM-FERT_TOM)+C469*(PRICE_CAR-FERT_CAR)+F469*(PRICE_MES-FERT_MES)-(FARMER_SALARY+A469*TEMP_COST)-FIXED_COSTS)</f>
        <v>-26510</v>
      </c>
    </row>
    <row r="470">
      <c r="A470" s="5" t="n">
        <v>1</v>
      </c>
      <c r="B470" s="5" t="n">
        <v>0</v>
      </c>
      <c r="C470" s="5" t="n">
        <v>16</v>
      </c>
      <c r="D470" s="18">
        <f>SEASON_HRS_TOM*B470*(1+DIM_TOM)^B470+SEASON_HRS_CAR*C470*(1+DIM_CAR)^C470</f>
        <v>712.5626979170698</v>
      </c>
      <c r="E470" s="18">
        <f>(FARMER_FIELD_HRS+A470*TEMP_HRS)-D470</f>
        <v>1447.4373020829303</v>
      </c>
      <c r="F470" s="21">
        <f>IF(E470&lt;0,0,MIN(COUNTIF(Labor!$C$59:$C$88,"&lt;="&amp;E470),MAXBED_MES,TOTAL_BEDS-B470-C470))</f>
        <v>23</v>
      </c>
      <c r="G470" s="21">
        <f>B470+C470+F470</f>
        <v>39</v>
      </c>
      <c r="H470" s="22">
        <f>IF(E470&lt;0,-999999999,B470*(PRICE_TOM-FERT_TOM)+C470*(PRICE_CAR-FERT_CAR)+F470*(PRICE_MES-FERT_MES)-(FARMER_SALARY+A470*TEMP_COST)-FIXED_COSTS)</f>
        <v>-26676</v>
      </c>
    </row>
    <row r="471">
      <c r="A471" s="5" t="n">
        <v>1</v>
      </c>
      <c r="B471" s="5" t="n">
        <v>0</v>
      </c>
      <c r="C471" s="5" t="n">
        <v>17</v>
      </c>
      <c r="D471" s="18">
        <f>SEASON_HRS_TOM*B471*(1+DIM_TOM)^B471+SEASON_HRS_CAR*C471*(1+DIM_CAR)^C471</f>
        <v>776.0253132003088</v>
      </c>
      <c r="E471" s="18">
        <f>(FARMER_FIELD_HRS+A471*TEMP_HRS)-D471</f>
        <v>1383.9746867996912</v>
      </c>
      <c r="F471" s="21">
        <f>IF(E471&lt;0,0,MIN(COUNTIF(Labor!$C$59:$C$88,"&lt;="&amp;E471),MAXBED_MES,TOTAL_BEDS-B471-C471))</f>
        <v>23</v>
      </c>
      <c r="G471" s="21">
        <f>B471+C471+F471</f>
        <v>40</v>
      </c>
      <c r="H471" s="22">
        <f>IF(E471&lt;0,-999999999,B471*(PRICE_TOM-FERT_TOM)+C471*(PRICE_CAR-FERT_CAR)+F471*(PRICE_MES-FERT_MES)-(FARMER_SALARY+A471*TEMP_COST)-FIXED_COSTS)</f>
        <v>-25022</v>
      </c>
    </row>
    <row r="472">
      <c r="A472" s="5" t="n">
        <v>1</v>
      </c>
      <c r="B472" s="5" t="n">
        <v>0</v>
      </c>
      <c r="C472" s="5" t="n">
        <v>18</v>
      </c>
      <c r="D472" s="18">
        <f>SEASON_HRS_TOM*B472*(1+DIM_TOM)^B472+SEASON_HRS_CAR*C472*(1+DIM_CAR)^C472</f>
        <v>842.2157075615115</v>
      </c>
      <c r="E472" s="18">
        <f>(FARMER_FIELD_HRS+A472*TEMP_HRS)-D472</f>
        <v>1317.7842924384886</v>
      </c>
      <c r="F472" s="21">
        <f>IF(E472&lt;0,0,MIN(COUNTIF(Labor!$C$59:$C$88,"&lt;="&amp;E472),MAXBED_MES,TOTAL_BEDS-B472-C472))</f>
        <v>22</v>
      </c>
      <c r="G472" s="21">
        <f>B472+C472+F472</f>
        <v>40</v>
      </c>
      <c r="H472" s="22">
        <f>IF(E472&lt;0,-999999999,B472*(PRICE_TOM-FERT_TOM)+C472*(PRICE_CAR-FERT_CAR)+F472*(PRICE_MES-FERT_MES)-(FARMER_SALARY+A472*TEMP_COST)-FIXED_COSTS)</f>
        <v>-25188</v>
      </c>
    </row>
    <row r="473">
      <c r="A473" s="5" t="n">
        <v>1</v>
      </c>
      <c r="B473" s="5" t="n">
        <v>0</v>
      </c>
      <c r="C473" s="5" t="n">
        <v>19</v>
      </c>
      <c r="D473" s="18">
        <f>SEASON_HRS_TOM*B473*(1+DIM_TOM)^B473+SEASON_HRS_CAR*C473*(1+DIM_CAR)^C473</f>
        <v>911.2306058200242</v>
      </c>
      <c r="E473" s="18">
        <f>(FARMER_FIELD_HRS+A473*TEMP_HRS)-D473</f>
        <v>1248.7693941799757</v>
      </c>
      <c r="F473" s="21">
        <f>IF(E473&lt;0,0,MIN(COUNTIF(Labor!$C$59:$C$88,"&lt;="&amp;E473),MAXBED_MES,TOTAL_BEDS-B473-C473))</f>
        <v>21</v>
      </c>
      <c r="G473" s="21">
        <f>B473+C473+F473</f>
        <v>40</v>
      </c>
      <c r="H473" s="22">
        <f>IF(E473&lt;0,-999999999,B473*(PRICE_TOM-FERT_TOM)+C473*(PRICE_CAR-FERT_CAR)+F473*(PRICE_MES-FERT_MES)-(FARMER_SALARY+A473*TEMP_COST)-FIXED_COSTS)</f>
        <v>-25354</v>
      </c>
    </row>
    <row r="474">
      <c r="A474" s="5" t="n">
        <v>1</v>
      </c>
      <c r="B474" s="5" t="n">
        <v>0</v>
      </c>
      <c r="C474" s="5" t="n">
        <v>20</v>
      </c>
      <c r="D474" s="18">
        <f>SEASON_HRS_TOM*B474*(1+DIM_TOM)^B474+SEASON_HRS_CAR*C474*(1+DIM_CAR)^C474</f>
        <v>983.1698641742365</v>
      </c>
      <c r="E474" s="18">
        <f>(FARMER_FIELD_HRS+A474*TEMP_HRS)-D474</f>
        <v>1176.8301358257636</v>
      </c>
      <c r="F474" s="21">
        <f>IF(E474&lt;0,0,MIN(COUNTIF(Labor!$C$59:$C$88,"&lt;="&amp;E474),MAXBED_MES,TOTAL_BEDS-B474-C474))</f>
        <v>20</v>
      </c>
      <c r="G474" s="21">
        <f>B474+C474+F474</f>
        <v>40</v>
      </c>
      <c r="H474" s="22">
        <f>IF(E474&lt;0,-999999999,B474*(PRICE_TOM-FERT_TOM)+C474*(PRICE_CAR-FERT_CAR)+F474*(PRICE_MES-FERT_MES)-(FARMER_SALARY+A474*TEMP_COST)-FIXED_COSTS)</f>
        <v>-25520</v>
      </c>
    </row>
    <row r="475">
      <c r="A475" s="5" t="n">
        <v>1</v>
      </c>
      <c r="B475" s="5" t="n">
        <v>1</v>
      </c>
      <c r="C475" s="5" t="n">
        <v>0</v>
      </c>
      <c r="D475" s="18">
        <f>SEASON_HRS_TOM*B475*(1+DIM_TOM)^B475+SEASON_HRS_CAR*C475*(1+DIM_CAR)^C475</f>
        <v>99.00000000000001</v>
      </c>
      <c r="E475" s="18">
        <f>(FARMER_FIELD_HRS+A475*TEMP_HRS)-D475</f>
        <v>2061</v>
      </c>
      <c r="F475" s="21">
        <f>IF(E475&lt;0,0,MIN(COUNTIF(Labor!$C$59:$C$88,"&lt;="&amp;E475),MAXBED_MES,TOTAL_BEDS-B475-C475))</f>
        <v>30</v>
      </c>
      <c r="G475" s="21">
        <f>B475+C475+F475</f>
        <v>31</v>
      </c>
      <c r="H475" s="22">
        <f>IF(E475&lt;0,-999999999,B475*(PRICE_TOM-FERT_TOM)+C475*(PRICE_CAR-FERT_CAR)+F475*(PRICE_MES-FERT_MES)-(FARMER_SALARY+A475*TEMP_COST)-FIXED_COSTS)</f>
        <v>-32480</v>
      </c>
    </row>
    <row r="476">
      <c r="A476" s="5" t="n">
        <v>1</v>
      </c>
      <c r="B476" s="5" t="n">
        <v>1</v>
      </c>
      <c r="C476" s="5" t="n">
        <v>1</v>
      </c>
      <c r="D476" s="18">
        <f>SEASON_HRS_TOM*B476*(1+DIM_TOM)^B476+SEASON_HRS_CAR*C476*(1+DIM_CAR)^C476</f>
        <v>129.75</v>
      </c>
      <c r="E476" s="18">
        <f>(FARMER_FIELD_HRS+A476*TEMP_HRS)-D476</f>
        <v>2030.25</v>
      </c>
      <c r="F476" s="21">
        <f>IF(E476&lt;0,0,MIN(COUNTIF(Labor!$C$59:$C$88,"&lt;="&amp;E476),MAXBED_MES,TOTAL_BEDS-B476-C476))</f>
        <v>30</v>
      </c>
      <c r="G476" s="21">
        <f>B476+C476+F476</f>
        <v>32</v>
      </c>
      <c r="H476" s="22">
        <f>IF(E476&lt;0,-999999999,B476*(PRICE_TOM-FERT_TOM)+C476*(PRICE_CAR-FERT_CAR)+F476*(PRICE_MES-FERT_MES)-(FARMER_SALARY+A476*TEMP_COST)-FIXED_COSTS)</f>
        <v>-30826</v>
      </c>
    </row>
    <row r="477">
      <c r="A477" s="5" t="n">
        <v>1</v>
      </c>
      <c r="B477" s="5" t="n">
        <v>1</v>
      </c>
      <c r="C477" s="5" t="n">
        <v>2</v>
      </c>
      <c r="D477" s="18">
        <f>SEASON_HRS_TOM*B477*(1+DIM_TOM)^B477+SEASON_HRS_CAR*C477*(1+DIM_CAR)^C477</f>
        <v>162.03750000000002</v>
      </c>
      <c r="E477" s="18">
        <f>(FARMER_FIELD_HRS+A477*TEMP_HRS)-D477</f>
        <v>1997.9625</v>
      </c>
      <c r="F477" s="21">
        <f>IF(E477&lt;0,0,MIN(COUNTIF(Labor!$C$59:$C$88,"&lt;="&amp;E477),MAXBED_MES,TOTAL_BEDS-B477-C477))</f>
        <v>30</v>
      </c>
      <c r="G477" s="21">
        <f>B477+C477+F477</f>
        <v>33</v>
      </c>
      <c r="H477" s="22">
        <f>IF(E477&lt;0,-999999999,B477*(PRICE_TOM-FERT_TOM)+C477*(PRICE_CAR-FERT_CAR)+F477*(PRICE_MES-FERT_MES)-(FARMER_SALARY+A477*TEMP_COST)-FIXED_COSTS)</f>
        <v>-29172</v>
      </c>
    </row>
    <row r="478">
      <c r="A478" s="5" t="n">
        <v>1</v>
      </c>
      <c r="B478" s="5" t="n">
        <v>1</v>
      </c>
      <c r="C478" s="5" t="n">
        <v>3</v>
      </c>
      <c r="D478" s="18">
        <f>SEASON_HRS_TOM*B478*(1+DIM_TOM)^B478+SEASON_HRS_CAR*C478*(1+DIM_CAR)^C478</f>
        <v>195.92015625</v>
      </c>
      <c r="E478" s="18">
        <f>(FARMER_FIELD_HRS+A478*TEMP_HRS)-D478</f>
        <v>1964.07984375</v>
      </c>
      <c r="F478" s="21">
        <f>IF(E478&lt;0,0,MIN(COUNTIF(Labor!$C$59:$C$88,"&lt;="&amp;E478),MAXBED_MES,TOTAL_BEDS-B478-C478))</f>
        <v>30</v>
      </c>
      <c r="G478" s="21">
        <f>B478+C478+F478</f>
        <v>34</v>
      </c>
      <c r="H478" s="22">
        <f>IF(E478&lt;0,-999999999,B478*(PRICE_TOM-FERT_TOM)+C478*(PRICE_CAR-FERT_CAR)+F478*(PRICE_MES-FERT_MES)-(FARMER_SALARY+A478*TEMP_COST)-FIXED_COSTS)</f>
        <v>-27518</v>
      </c>
    </row>
    <row r="479">
      <c r="A479" s="5" t="n">
        <v>1</v>
      </c>
      <c r="B479" s="5" t="n">
        <v>1</v>
      </c>
      <c r="C479" s="5" t="n">
        <v>4</v>
      </c>
      <c r="D479" s="18">
        <f>SEASON_HRS_TOM*B479*(1+DIM_TOM)^B479+SEASON_HRS_CAR*C479*(1+DIM_CAR)^C479</f>
        <v>231.45754687499993</v>
      </c>
      <c r="E479" s="18">
        <f>(FARMER_FIELD_HRS+A479*TEMP_HRS)-D479</f>
        <v>1928.542453125</v>
      </c>
      <c r="F479" s="21">
        <f>IF(E479&lt;0,0,MIN(COUNTIF(Labor!$C$59:$C$88,"&lt;="&amp;E479),MAXBED_MES,TOTAL_BEDS-B479-C479))</f>
        <v>29</v>
      </c>
      <c r="G479" s="21">
        <f>B479+C479+F479</f>
        <v>34</v>
      </c>
      <c r="H479" s="22">
        <f>IF(E479&lt;0,-999999999,B479*(PRICE_TOM-FERT_TOM)+C479*(PRICE_CAR-FERT_CAR)+F479*(PRICE_MES-FERT_MES)-(FARMER_SALARY+A479*TEMP_COST)-FIXED_COSTS)</f>
        <v>-27684</v>
      </c>
    </row>
    <row r="480">
      <c r="A480" s="5" t="n">
        <v>1</v>
      </c>
      <c r="B480" s="5" t="n">
        <v>1</v>
      </c>
      <c r="C480" s="5" t="n">
        <v>5</v>
      </c>
      <c r="D480" s="18">
        <f>SEASON_HRS_TOM*B480*(1+DIM_TOM)^B480+SEASON_HRS_CAR*C480*(1+DIM_CAR)^C480</f>
        <v>268.7112319335937</v>
      </c>
      <c r="E480" s="18">
        <f>(FARMER_FIELD_HRS+A480*TEMP_HRS)-D480</f>
        <v>1891.2887680664062</v>
      </c>
      <c r="F480" s="21">
        <f>IF(E480&lt;0,0,MIN(COUNTIF(Labor!$C$59:$C$88,"&lt;="&amp;E480),MAXBED_MES,TOTAL_BEDS-B480-C480))</f>
        <v>29</v>
      </c>
      <c r="G480" s="21">
        <f>B480+C480+F480</f>
        <v>35</v>
      </c>
      <c r="H480" s="22">
        <f>IF(E480&lt;0,-999999999,B480*(PRICE_TOM-FERT_TOM)+C480*(PRICE_CAR-FERT_CAR)+F480*(PRICE_MES-FERT_MES)-(FARMER_SALARY+A480*TEMP_COST)-FIXED_COSTS)</f>
        <v>-26030</v>
      </c>
    </row>
    <row r="481">
      <c r="A481" s="5" t="n">
        <v>1</v>
      </c>
      <c r="B481" s="5" t="n">
        <v>1</v>
      </c>
      <c r="C481" s="5" t="n">
        <v>6</v>
      </c>
      <c r="D481" s="18">
        <f>SEASON_HRS_TOM*B481*(1+DIM_TOM)^B481+SEASON_HRS_CAR*C481*(1+DIM_CAR)^C481</f>
        <v>307.74481527832023</v>
      </c>
      <c r="E481" s="18">
        <f>(FARMER_FIELD_HRS+A481*TEMP_HRS)-D481</f>
        <v>1852.2551847216798</v>
      </c>
      <c r="F481" s="21">
        <f>IF(E481&lt;0,0,MIN(COUNTIF(Labor!$C$59:$C$88,"&lt;="&amp;E481),MAXBED_MES,TOTAL_BEDS-B481-C481))</f>
        <v>28</v>
      </c>
      <c r="G481" s="21">
        <f>B481+C481+F481</f>
        <v>35</v>
      </c>
      <c r="H481" s="22">
        <f>IF(E481&lt;0,-999999999,B481*(PRICE_TOM-FERT_TOM)+C481*(PRICE_CAR-FERT_CAR)+F481*(PRICE_MES-FERT_MES)-(FARMER_SALARY+A481*TEMP_COST)-FIXED_COSTS)</f>
        <v>-26196</v>
      </c>
    </row>
    <row r="482">
      <c r="A482" s="5" t="n">
        <v>1</v>
      </c>
      <c r="B482" s="5" t="n">
        <v>1</v>
      </c>
      <c r="C482" s="5" t="n">
        <v>7</v>
      </c>
      <c r="D482" s="18">
        <f>SEASON_HRS_TOM*B482*(1+DIM_TOM)^B482+SEASON_HRS_CAR*C482*(1+DIM_CAR)^C482</f>
        <v>348.62400827032457</v>
      </c>
      <c r="E482" s="18">
        <f>(FARMER_FIELD_HRS+A482*TEMP_HRS)-D482</f>
        <v>1811.3759917296754</v>
      </c>
      <c r="F482" s="21">
        <f>IF(E482&lt;0,0,MIN(COUNTIF(Labor!$C$59:$C$88,"&lt;="&amp;E482),MAXBED_MES,TOTAL_BEDS-B482-C482))</f>
        <v>28</v>
      </c>
      <c r="G482" s="21">
        <f>B482+C482+F482</f>
        <v>36</v>
      </c>
      <c r="H482" s="22">
        <f>IF(E482&lt;0,-999999999,B482*(PRICE_TOM-FERT_TOM)+C482*(PRICE_CAR-FERT_CAR)+F482*(PRICE_MES-FERT_MES)-(FARMER_SALARY+A482*TEMP_COST)-FIXED_COSTS)</f>
        <v>-24542</v>
      </c>
    </row>
    <row r="483">
      <c r="A483" s="5" t="n">
        <v>1</v>
      </c>
      <c r="B483" s="5" t="n">
        <v>1</v>
      </c>
      <c r="C483" s="5" t="n">
        <v>8</v>
      </c>
      <c r="D483" s="18">
        <f>SEASON_HRS_TOM*B483*(1+DIM_TOM)^B483+SEASON_HRS_CAR*C483*(1+DIM_CAR)^C483</f>
        <v>391.4166954023801</v>
      </c>
      <c r="E483" s="18">
        <f>(FARMER_FIELD_HRS+A483*TEMP_HRS)-D483</f>
        <v>1768.5833045976199</v>
      </c>
      <c r="F483" s="21">
        <f>IF(E483&lt;0,0,MIN(COUNTIF(Labor!$C$59:$C$88,"&lt;="&amp;E483),MAXBED_MES,TOTAL_BEDS-B483-C483))</f>
        <v>27</v>
      </c>
      <c r="G483" s="21">
        <f>B483+C483+F483</f>
        <v>36</v>
      </c>
      <c r="H483" s="22">
        <f>IF(E483&lt;0,-999999999,B483*(PRICE_TOM-FERT_TOM)+C483*(PRICE_CAR-FERT_CAR)+F483*(PRICE_MES-FERT_MES)-(FARMER_SALARY+A483*TEMP_COST)-FIXED_COSTS)</f>
        <v>-24708</v>
      </c>
    </row>
    <row r="484">
      <c r="A484" s="5" t="n">
        <v>1</v>
      </c>
      <c r="B484" s="5" t="n">
        <v>1</v>
      </c>
      <c r="C484" s="5" t="n">
        <v>9</v>
      </c>
      <c r="D484" s="18">
        <f>SEASON_HRS_TOM*B484*(1+DIM_TOM)^B484+SEASON_HRS_CAR*C484*(1+DIM_CAR)^C484</f>
        <v>436.1930018858696</v>
      </c>
      <c r="E484" s="18">
        <f>(FARMER_FIELD_HRS+A484*TEMP_HRS)-D484</f>
        <v>1723.8069981141305</v>
      </c>
      <c r="F484" s="21">
        <f>IF(E484&lt;0,0,MIN(COUNTIF(Labor!$C$59:$C$88,"&lt;="&amp;E484),MAXBED_MES,TOTAL_BEDS-B484-C484))</f>
        <v>27</v>
      </c>
      <c r="G484" s="21">
        <f>B484+C484+F484</f>
        <v>37</v>
      </c>
      <c r="H484" s="22">
        <f>IF(E484&lt;0,-999999999,B484*(PRICE_TOM-FERT_TOM)+C484*(PRICE_CAR-FERT_CAR)+F484*(PRICE_MES-FERT_MES)-(FARMER_SALARY+A484*TEMP_COST)-FIXED_COSTS)</f>
        <v>-23054</v>
      </c>
    </row>
    <row r="485">
      <c r="A485" s="5" t="n">
        <v>1</v>
      </c>
      <c r="B485" s="5" t="n">
        <v>1</v>
      </c>
      <c r="C485" s="5" t="n">
        <v>10</v>
      </c>
      <c r="D485" s="18">
        <f>SEASON_HRS_TOM*B485*(1+DIM_TOM)^B485+SEASON_HRS_CAR*C485*(1+DIM_CAR)^C485</f>
        <v>483.025363258907</v>
      </c>
      <c r="E485" s="18">
        <f>(FARMER_FIELD_HRS+A485*TEMP_HRS)-D485</f>
        <v>1676.974636741093</v>
      </c>
      <c r="F485" s="21">
        <f>IF(E485&lt;0,0,MIN(COUNTIF(Labor!$C$59:$C$88,"&lt;="&amp;E485),MAXBED_MES,TOTAL_BEDS-B485-C485))</f>
        <v>26</v>
      </c>
      <c r="G485" s="21">
        <f>B485+C485+F485</f>
        <v>37</v>
      </c>
      <c r="H485" s="22">
        <f>IF(E485&lt;0,-999999999,B485*(PRICE_TOM-FERT_TOM)+C485*(PRICE_CAR-FERT_CAR)+F485*(PRICE_MES-FERT_MES)-(FARMER_SALARY+A485*TEMP_COST)-FIXED_COSTS)</f>
        <v>-23220</v>
      </c>
    </row>
    <row r="486">
      <c r="A486" s="5" t="n">
        <v>1</v>
      </c>
      <c r="B486" s="5" t="n">
        <v>1</v>
      </c>
      <c r="C486" s="5" t="n">
        <v>11</v>
      </c>
      <c r="D486" s="18">
        <f>SEASON_HRS_TOM*B486*(1+DIM_TOM)^B486+SEASON_HRS_CAR*C486*(1+DIM_CAR)^C486</f>
        <v>531.9885970744176</v>
      </c>
      <c r="E486" s="18">
        <f>(FARMER_FIELD_HRS+A486*TEMP_HRS)-D486</f>
        <v>1628.0114029255824</v>
      </c>
      <c r="F486" s="21">
        <f>IF(E486&lt;0,0,MIN(COUNTIF(Labor!$C$59:$C$88,"&lt;="&amp;E486),MAXBED_MES,TOTAL_BEDS-B486-C486))</f>
        <v>26</v>
      </c>
      <c r="G486" s="21">
        <f>B486+C486+F486</f>
        <v>38</v>
      </c>
      <c r="H486" s="22">
        <f>IF(E486&lt;0,-999999999,B486*(PRICE_TOM-FERT_TOM)+C486*(PRICE_CAR-FERT_CAR)+F486*(PRICE_MES-FERT_MES)-(FARMER_SALARY+A486*TEMP_COST)-FIXED_COSTS)</f>
        <v>-21566</v>
      </c>
    </row>
    <row r="487">
      <c r="A487" s="5" t="n">
        <v>1</v>
      </c>
      <c r="B487" s="5" t="n">
        <v>1</v>
      </c>
      <c r="C487" s="5" t="n">
        <v>12</v>
      </c>
      <c r="D487" s="18">
        <f>SEASON_HRS_TOM*B487*(1+DIM_TOM)^B487+SEASON_HRS_CAR*C487*(1+DIM_CAR)^C487</f>
        <v>583.159976728667</v>
      </c>
      <c r="E487" s="18">
        <f>(FARMER_FIELD_HRS+A487*TEMP_HRS)-D487</f>
        <v>1576.840023271333</v>
      </c>
      <c r="F487" s="21">
        <f>IF(E487&lt;0,0,MIN(COUNTIF(Labor!$C$59:$C$88,"&lt;="&amp;E487),MAXBED_MES,TOTAL_BEDS-B487-C487))</f>
        <v>25</v>
      </c>
      <c r="G487" s="21">
        <f>B487+C487+F487</f>
        <v>38</v>
      </c>
      <c r="H487" s="22">
        <f>IF(E487&lt;0,-999999999,B487*(PRICE_TOM-FERT_TOM)+C487*(PRICE_CAR-FERT_CAR)+F487*(PRICE_MES-FERT_MES)-(FARMER_SALARY+A487*TEMP_COST)-FIXED_COSTS)</f>
        <v>-21732</v>
      </c>
    </row>
    <row r="488">
      <c r="A488" s="5" t="n">
        <v>1</v>
      </c>
      <c r="B488" s="5" t="n">
        <v>1</v>
      </c>
      <c r="C488" s="5" t="n">
        <v>13</v>
      </c>
      <c r="D488" s="18">
        <f>SEASON_HRS_TOM*B488*(1+DIM_TOM)^B488+SEASON_HRS_CAR*C488*(1+DIM_CAR)^C488</f>
        <v>636.6193074924571</v>
      </c>
      <c r="E488" s="18">
        <f>(FARMER_FIELD_HRS+A488*TEMP_HRS)-D488</f>
        <v>1523.3806925075428</v>
      </c>
      <c r="F488" s="21">
        <f>IF(E488&lt;0,0,MIN(COUNTIF(Labor!$C$59:$C$88,"&lt;="&amp;E488),MAXBED_MES,TOTAL_BEDS-B488-C488))</f>
        <v>24</v>
      </c>
      <c r="G488" s="21">
        <f>B488+C488+F488</f>
        <v>38</v>
      </c>
      <c r="H488" s="22">
        <f>IF(E488&lt;0,-999999999,B488*(PRICE_TOM-FERT_TOM)+C488*(PRICE_CAR-FERT_CAR)+F488*(PRICE_MES-FERT_MES)-(FARMER_SALARY+A488*TEMP_COST)-FIXED_COSTS)</f>
        <v>-21898</v>
      </c>
    </row>
    <row r="489">
      <c r="A489" s="5" t="n">
        <v>1</v>
      </c>
      <c r="B489" s="5" t="n">
        <v>1</v>
      </c>
      <c r="C489" s="5" t="n">
        <v>14</v>
      </c>
      <c r="D489" s="18">
        <f>SEASON_HRS_TOM*B489*(1+DIM_TOM)^B489+SEASON_HRS_CAR*C489*(1+DIM_CAR)^C489</f>
        <v>692.4490048089816</v>
      </c>
      <c r="E489" s="18">
        <f>(FARMER_FIELD_HRS+A489*TEMP_HRS)-D489</f>
        <v>1467.5509951910185</v>
      </c>
      <c r="F489" s="21">
        <f>IF(E489&lt;0,0,MIN(COUNTIF(Labor!$C$59:$C$88,"&lt;="&amp;E489),MAXBED_MES,TOTAL_BEDS-B489-C489))</f>
        <v>24</v>
      </c>
      <c r="G489" s="21">
        <f>B489+C489+F489</f>
        <v>39</v>
      </c>
      <c r="H489" s="22">
        <f>IF(E489&lt;0,-999999999,B489*(PRICE_TOM-FERT_TOM)+C489*(PRICE_CAR-FERT_CAR)+F489*(PRICE_MES-FERT_MES)-(FARMER_SALARY+A489*TEMP_COST)-FIXED_COSTS)</f>
        <v>-20244</v>
      </c>
    </row>
    <row r="490">
      <c r="A490" s="5" t="n">
        <v>1</v>
      </c>
      <c r="B490" s="5" t="n">
        <v>1</v>
      </c>
      <c r="C490" s="5" t="n">
        <v>15</v>
      </c>
      <c r="D490" s="18">
        <f>SEASON_HRS_TOM*B490*(1+DIM_TOM)^B490+SEASON_HRS_CAR*C490*(1+DIM_CAR)^C490</f>
        <v>750.7341749241493</v>
      </c>
      <c r="E490" s="18">
        <f>(FARMER_FIELD_HRS+A490*TEMP_HRS)-D490</f>
        <v>1409.2658250758507</v>
      </c>
      <c r="F490" s="21">
        <f>IF(E490&lt;0,0,MIN(COUNTIF(Labor!$C$59:$C$88,"&lt;="&amp;E490),MAXBED_MES,TOTAL_BEDS-B490-C490))</f>
        <v>23</v>
      </c>
      <c r="G490" s="21">
        <f>B490+C490+F490</f>
        <v>39</v>
      </c>
      <c r="H490" s="22">
        <f>IF(E490&lt;0,-999999999,B490*(PRICE_TOM-FERT_TOM)+C490*(PRICE_CAR-FERT_CAR)+F490*(PRICE_MES-FERT_MES)-(FARMER_SALARY+A490*TEMP_COST)-FIXED_COSTS)</f>
        <v>-20410</v>
      </c>
    </row>
    <row r="491">
      <c r="A491" s="5" t="n">
        <v>1</v>
      </c>
      <c r="B491" s="5" t="n">
        <v>1</v>
      </c>
      <c r="C491" s="5" t="n">
        <v>16</v>
      </c>
      <c r="D491" s="18">
        <f>SEASON_HRS_TOM*B491*(1+DIM_TOM)^B491+SEASON_HRS_CAR*C491*(1+DIM_CAR)^C491</f>
        <v>811.5626979170698</v>
      </c>
      <c r="E491" s="18">
        <f>(FARMER_FIELD_HRS+A491*TEMP_HRS)-D491</f>
        <v>1348.4373020829303</v>
      </c>
      <c r="F491" s="21">
        <f>IF(E491&lt;0,0,MIN(COUNTIF(Labor!$C$59:$C$88,"&lt;="&amp;E491),MAXBED_MES,TOTAL_BEDS-B491-C491))</f>
        <v>22</v>
      </c>
      <c r="G491" s="21">
        <f>B491+C491+F491</f>
        <v>39</v>
      </c>
      <c r="H491" s="22">
        <f>IF(E491&lt;0,-999999999,B491*(PRICE_TOM-FERT_TOM)+C491*(PRICE_CAR-FERT_CAR)+F491*(PRICE_MES-FERT_MES)-(FARMER_SALARY+A491*TEMP_COST)-FIXED_COSTS)</f>
        <v>-20576</v>
      </c>
    </row>
    <row r="492">
      <c r="A492" s="5" t="n">
        <v>1</v>
      </c>
      <c r="B492" s="5" t="n">
        <v>1</v>
      </c>
      <c r="C492" s="5" t="n">
        <v>17</v>
      </c>
      <c r="D492" s="18">
        <f>SEASON_HRS_TOM*B492*(1+DIM_TOM)^B492+SEASON_HRS_CAR*C492*(1+DIM_CAR)^C492</f>
        <v>875.0253132003088</v>
      </c>
      <c r="E492" s="18">
        <f>(FARMER_FIELD_HRS+A492*TEMP_HRS)-D492</f>
        <v>1284.9746867996912</v>
      </c>
      <c r="F492" s="21">
        <f>IF(E492&lt;0,0,MIN(COUNTIF(Labor!$C$59:$C$88,"&lt;="&amp;E492),MAXBED_MES,TOTAL_BEDS-B492-C492))</f>
        <v>21</v>
      </c>
      <c r="G492" s="21">
        <f>B492+C492+F492</f>
        <v>39</v>
      </c>
      <c r="H492" s="22">
        <f>IF(E492&lt;0,-999999999,B492*(PRICE_TOM-FERT_TOM)+C492*(PRICE_CAR-FERT_CAR)+F492*(PRICE_MES-FERT_MES)-(FARMER_SALARY+A492*TEMP_COST)-FIXED_COSTS)</f>
        <v>-20742</v>
      </c>
    </row>
    <row r="493">
      <c r="A493" s="5" t="n">
        <v>1</v>
      </c>
      <c r="B493" s="5" t="n">
        <v>1</v>
      </c>
      <c r="C493" s="5" t="n">
        <v>18</v>
      </c>
      <c r="D493" s="18">
        <f>SEASON_HRS_TOM*B493*(1+DIM_TOM)^B493+SEASON_HRS_CAR*C493*(1+DIM_CAR)^C493</f>
        <v>941.2157075615115</v>
      </c>
      <c r="E493" s="18">
        <f>(FARMER_FIELD_HRS+A493*TEMP_HRS)-D493</f>
        <v>1218.7842924384886</v>
      </c>
      <c r="F493" s="21">
        <f>IF(E493&lt;0,0,MIN(COUNTIF(Labor!$C$59:$C$88,"&lt;="&amp;E493),MAXBED_MES,TOTAL_BEDS-B493-C493))</f>
        <v>20</v>
      </c>
      <c r="G493" s="21">
        <f>B493+C493+F493</f>
        <v>39</v>
      </c>
      <c r="H493" s="22">
        <f>IF(E493&lt;0,-999999999,B493*(PRICE_TOM-FERT_TOM)+C493*(PRICE_CAR-FERT_CAR)+F493*(PRICE_MES-FERT_MES)-(FARMER_SALARY+A493*TEMP_COST)-FIXED_COSTS)</f>
        <v>-20908</v>
      </c>
    </row>
    <row r="494">
      <c r="A494" s="5" t="n">
        <v>1</v>
      </c>
      <c r="B494" s="5" t="n">
        <v>1</v>
      </c>
      <c r="C494" s="5" t="n">
        <v>19</v>
      </c>
      <c r="D494" s="18">
        <f>SEASON_HRS_TOM*B494*(1+DIM_TOM)^B494+SEASON_HRS_CAR*C494*(1+DIM_CAR)^C494</f>
        <v>1010.2306058200242</v>
      </c>
      <c r="E494" s="18">
        <f>(FARMER_FIELD_HRS+A494*TEMP_HRS)-D494</f>
        <v>1149.7693941799757</v>
      </c>
      <c r="F494" s="21">
        <f>IF(E494&lt;0,0,MIN(COUNTIF(Labor!$C$59:$C$88,"&lt;="&amp;E494),MAXBED_MES,TOTAL_BEDS-B494-C494))</f>
        <v>19</v>
      </c>
      <c r="G494" s="21">
        <f>B494+C494+F494</f>
        <v>39</v>
      </c>
      <c r="H494" s="22">
        <f>IF(E494&lt;0,-999999999,B494*(PRICE_TOM-FERT_TOM)+C494*(PRICE_CAR-FERT_CAR)+F494*(PRICE_MES-FERT_MES)-(FARMER_SALARY+A494*TEMP_COST)-FIXED_COSTS)</f>
        <v>-21074</v>
      </c>
    </row>
    <row r="495">
      <c r="A495" s="5" t="n">
        <v>1</v>
      </c>
      <c r="B495" s="5" t="n">
        <v>1</v>
      </c>
      <c r="C495" s="5" t="n">
        <v>20</v>
      </c>
      <c r="D495" s="18">
        <f>SEASON_HRS_TOM*B495*(1+DIM_TOM)^B495+SEASON_HRS_CAR*C495*(1+DIM_CAR)^C495</f>
        <v>1082.1698641742366</v>
      </c>
      <c r="E495" s="18">
        <f>(FARMER_FIELD_HRS+A495*TEMP_HRS)-D495</f>
        <v>1077.8301358257634</v>
      </c>
      <c r="F495" s="21">
        <f>IF(E495&lt;0,0,MIN(COUNTIF(Labor!$C$59:$C$88,"&lt;="&amp;E495),MAXBED_MES,TOTAL_BEDS-B495-C495))</f>
        <v>18</v>
      </c>
      <c r="G495" s="21">
        <f>B495+C495+F495</f>
        <v>39</v>
      </c>
      <c r="H495" s="22">
        <f>IF(E495&lt;0,-999999999,B495*(PRICE_TOM-FERT_TOM)+C495*(PRICE_CAR-FERT_CAR)+F495*(PRICE_MES-FERT_MES)-(FARMER_SALARY+A495*TEMP_COST)-FIXED_COSTS)</f>
        <v>-21240</v>
      </c>
    </row>
    <row r="496">
      <c r="A496" s="5" t="n">
        <v>1</v>
      </c>
      <c r="B496" s="5" t="n">
        <v>2</v>
      </c>
      <c r="C496" s="5" t="n">
        <v>0</v>
      </c>
      <c r="D496" s="18">
        <f>SEASON_HRS_TOM*B496*(1+DIM_TOM)^B496+SEASON_HRS_CAR*C496*(1+DIM_CAR)^C496</f>
        <v>217.80000000000004</v>
      </c>
      <c r="E496" s="18">
        <f>(FARMER_FIELD_HRS+A496*TEMP_HRS)-D496</f>
        <v>1942.2</v>
      </c>
      <c r="F496" s="21">
        <f>IF(E496&lt;0,0,MIN(COUNTIF(Labor!$C$59:$C$88,"&lt;="&amp;E496),MAXBED_MES,TOTAL_BEDS-B496-C496))</f>
        <v>29</v>
      </c>
      <c r="G496" s="21">
        <f>B496+C496+F496</f>
        <v>31</v>
      </c>
      <c r="H496" s="22">
        <f>IF(E496&lt;0,-999999999,B496*(PRICE_TOM-FERT_TOM)+C496*(PRICE_CAR-FERT_CAR)+F496*(PRICE_MES-FERT_MES)-(FARMER_SALARY+A496*TEMP_COST)-FIXED_COSTS)</f>
        <v>-26380</v>
      </c>
    </row>
    <row r="497">
      <c r="A497" s="5" t="n">
        <v>1</v>
      </c>
      <c r="B497" s="5" t="n">
        <v>2</v>
      </c>
      <c r="C497" s="5" t="n">
        <v>1</v>
      </c>
      <c r="D497" s="18">
        <f>SEASON_HRS_TOM*B497*(1+DIM_TOM)^B497+SEASON_HRS_CAR*C497*(1+DIM_CAR)^C497</f>
        <v>248.55000000000004</v>
      </c>
      <c r="E497" s="18">
        <f>(FARMER_FIELD_HRS+A497*TEMP_HRS)-D497</f>
        <v>1911.45</v>
      </c>
      <c r="F497" s="21">
        <f>IF(E497&lt;0,0,MIN(COUNTIF(Labor!$C$59:$C$88,"&lt;="&amp;E497),MAXBED_MES,TOTAL_BEDS-B497-C497))</f>
        <v>29</v>
      </c>
      <c r="G497" s="21">
        <f>B497+C497+F497</f>
        <v>32</v>
      </c>
      <c r="H497" s="22">
        <f>IF(E497&lt;0,-999999999,B497*(PRICE_TOM-FERT_TOM)+C497*(PRICE_CAR-FERT_CAR)+F497*(PRICE_MES-FERT_MES)-(FARMER_SALARY+A497*TEMP_COST)-FIXED_COSTS)</f>
        <v>-24726</v>
      </c>
    </row>
    <row r="498">
      <c r="A498" s="5" t="n">
        <v>1</v>
      </c>
      <c r="B498" s="5" t="n">
        <v>2</v>
      </c>
      <c r="C498" s="5" t="n">
        <v>2</v>
      </c>
      <c r="D498" s="18">
        <f>SEASON_HRS_TOM*B498*(1+DIM_TOM)^B498+SEASON_HRS_CAR*C498*(1+DIM_CAR)^C498</f>
        <v>280.83750000000003</v>
      </c>
      <c r="E498" s="18">
        <f>(FARMER_FIELD_HRS+A498*TEMP_HRS)-D498</f>
        <v>1879.1625</v>
      </c>
      <c r="F498" s="21">
        <f>IF(E498&lt;0,0,MIN(COUNTIF(Labor!$C$59:$C$88,"&lt;="&amp;E498),MAXBED_MES,TOTAL_BEDS-B498-C498))</f>
        <v>29</v>
      </c>
      <c r="G498" s="21">
        <f>B498+C498+F498</f>
        <v>33</v>
      </c>
      <c r="H498" s="22">
        <f>IF(E498&lt;0,-999999999,B498*(PRICE_TOM-FERT_TOM)+C498*(PRICE_CAR-FERT_CAR)+F498*(PRICE_MES-FERT_MES)-(FARMER_SALARY+A498*TEMP_COST)-FIXED_COSTS)</f>
        <v>-23072</v>
      </c>
    </row>
    <row r="499">
      <c r="A499" s="5" t="n">
        <v>1</v>
      </c>
      <c r="B499" s="5" t="n">
        <v>2</v>
      </c>
      <c r="C499" s="5" t="n">
        <v>3</v>
      </c>
      <c r="D499" s="18">
        <f>SEASON_HRS_TOM*B499*(1+DIM_TOM)^B499+SEASON_HRS_CAR*C499*(1+DIM_CAR)^C499</f>
        <v>314.72015625</v>
      </c>
      <c r="E499" s="18">
        <f>(FARMER_FIELD_HRS+A499*TEMP_HRS)-D499</f>
        <v>1845.27984375</v>
      </c>
      <c r="F499" s="21">
        <f>IF(E499&lt;0,0,MIN(COUNTIF(Labor!$C$59:$C$88,"&lt;="&amp;E499),MAXBED_MES,TOTAL_BEDS-B499-C499))</f>
        <v>28</v>
      </c>
      <c r="G499" s="21">
        <f>B499+C499+F499</f>
        <v>33</v>
      </c>
      <c r="H499" s="22">
        <f>IF(E499&lt;0,-999999999,B499*(PRICE_TOM-FERT_TOM)+C499*(PRICE_CAR-FERT_CAR)+F499*(PRICE_MES-FERT_MES)-(FARMER_SALARY+A499*TEMP_COST)-FIXED_COSTS)</f>
        <v>-23238</v>
      </c>
    </row>
    <row r="500">
      <c r="A500" s="5" t="n">
        <v>1</v>
      </c>
      <c r="B500" s="5" t="n">
        <v>2</v>
      </c>
      <c r="C500" s="5" t="n">
        <v>4</v>
      </c>
      <c r="D500" s="18">
        <f>SEASON_HRS_TOM*B500*(1+DIM_TOM)^B500+SEASON_HRS_CAR*C500*(1+DIM_CAR)^C500</f>
        <v>350.257546875</v>
      </c>
      <c r="E500" s="18">
        <f>(FARMER_FIELD_HRS+A500*TEMP_HRS)-D500</f>
        <v>1809.7424531249999</v>
      </c>
      <c r="F500" s="21">
        <f>IF(E500&lt;0,0,MIN(COUNTIF(Labor!$C$59:$C$88,"&lt;="&amp;E500),MAXBED_MES,TOTAL_BEDS-B500-C500))</f>
        <v>28</v>
      </c>
      <c r="G500" s="21">
        <f>B500+C500+F500</f>
        <v>34</v>
      </c>
      <c r="H500" s="22">
        <f>IF(E500&lt;0,-999999999,B500*(PRICE_TOM-FERT_TOM)+C500*(PRICE_CAR-FERT_CAR)+F500*(PRICE_MES-FERT_MES)-(FARMER_SALARY+A500*TEMP_COST)-FIXED_COSTS)</f>
        <v>-21584</v>
      </c>
    </row>
    <row r="501">
      <c r="A501" s="5" t="n">
        <v>1</v>
      </c>
      <c r="B501" s="5" t="n">
        <v>2</v>
      </c>
      <c r="C501" s="5" t="n">
        <v>5</v>
      </c>
      <c r="D501" s="18">
        <f>SEASON_HRS_TOM*B501*(1+DIM_TOM)^B501+SEASON_HRS_CAR*C501*(1+DIM_CAR)^C501</f>
        <v>387.5112319335937</v>
      </c>
      <c r="E501" s="18">
        <f>(FARMER_FIELD_HRS+A501*TEMP_HRS)-D501</f>
        <v>1772.4887680664062</v>
      </c>
      <c r="F501" s="21">
        <f>IF(E501&lt;0,0,MIN(COUNTIF(Labor!$C$59:$C$88,"&lt;="&amp;E501),MAXBED_MES,TOTAL_BEDS-B501-C501))</f>
        <v>27</v>
      </c>
      <c r="G501" s="21">
        <f>B501+C501+F501</f>
        <v>34</v>
      </c>
      <c r="H501" s="22">
        <f>IF(E501&lt;0,-999999999,B501*(PRICE_TOM-FERT_TOM)+C501*(PRICE_CAR-FERT_CAR)+F501*(PRICE_MES-FERT_MES)-(FARMER_SALARY+A501*TEMP_COST)-FIXED_COSTS)</f>
        <v>-21750</v>
      </c>
    </row>
    <row r="502">
      <c r="A502" s="5" t="n">
        <v>1</v>
      </c>
      <c r="B502" s="5" t="n">
        <v>2</v>
      </c>
      <c r="C502" s="5" t="n">
        <v>6</v>
      </c>
      <c r="D502" s="18">
        <f>SEASON_HRS_TOM*B502*(1+DIM_TOM)^B502+SEASON_HRS_CAR*C502*(1+DIM_CAR)^C502</f>
        <v>426.54481527832024</v>
      </c>
      <c r="E502" s="18">
        <f>(FARMER_FIELD_HRS+A502*TEMP_HRS)-D502</f>
        <v>1733.4551847216799</v>
      </c>
      <c r="F502" s="21">
        <f>IF(E502&lt;0,0,MIN(COUNTIF(Labor!$C$59:$C$88,"&lt;="&amp;E502),MAXBED_MES,TOTAL_BEDS-B502-C502))</f>
        <v>27</v>
      </c>
      <c r="G502" s="21">
        <f>B502+C502+F502</f>
        <v>35</v>
      </c>
      <c r="H502" s="22">
        <f>IF(E502&lt;0,-999999999,B502*(PRICE_TOM-FERT_TOM)+C502*(PRICE_CAR-FERT_CAR)+F502*(PRICE_MES-FERT_MES)-(FARMER_SALARY+A502*TEMP_COST)-FIXED_COSTS)</f>
        <v>-20096</v>
      </c>
    </row>
    <row r="503">
      <c r="A503" s="5" t="n">
        <v>1</v>
      </c>
      <c r="B503" s="5" t="n">
        <v>2</v>
      </c>
      <c r="C503" s="5" t="n">
        <v>7</v>
      </c>
      <c r="D503" s="18">
        <f>SEASON_HRS_TOM*B503*(1+DIM_TOM)^B503+SEASON_HRS_CAR*C503*(1+DIM_CAR)^C503</f>
        <v>467.42400827032463</v>
      </c>
      <c r="E503" s="18">
        <f>(FARMER_FIELD_HRS+A503*TEMP_HRS)-D503</f>
        <v>1692.5759917296755</v>
      </c>
      <c r="F503" s="21">
        <f>IF(E503&lt;0,0,MIN(COUNTIF(Labor!$C$59:$C$88,"&lt;="&amp;E503),MAXBED_MES,TOTAL_BEDS-B503-C503))</f>
        <v>26</v>
      </c>
      <c r="G503" s="21">
        <f>B503+C503+F503</f>
        <v>35</v>
      </c>
      <c r="H503" s="22">
        <f>IF(E503&lt;0,-999999999,B503*(PRICE_TOM-FERT_TOM)+C503*(PRICE_CAR-FERT_CAR)+F503*(PRICE_MES-FERT_MES)-(FARMER_SALARY+A503*TEMP_COST)-FIXED_COSTS)</f>
        <v>-20262</v>
      </c>
    </row>
    <row r="504">
      <c r="A504" s="5" t="n">
        <v>1</v>
      </c>
      <c r="B504" s="5" t="n">
        <v>2</v>
      </c>
      <c r="C504" s="5" t="n">
        <v>8</v>
      </c>
      <c r="D504" s="18">
        <f>SEASON_HRS_TOM*B504*(1+DIM_TOM)^B504+SEASON_HRS_CAR*C504*(1+DIM_CAR)^C504</f>
        <v>510.2166954023802</v>
      </c>
      <c r="E504" s="18">
        <f>(FARMER_FIELD_HRS+A504*TEMP_HRS)-D504</f>
        <v>1649.78330459762</v>
      </c>
      <c r="F504" s="21">
        <f>IF(E504&lt;0,0,MIN(COUNTIF(Labor!$C$59:$C$88,"&lt;="&amp;E504),MAXBED_MES,TOTAL_BEDS-B504-C504))</f>
        <v>26</v>
      </c>
      <c r="G504" s="21">
        <f>B504+C504+F504</f>
        <v>36</v>
      </c>
      <c r="H504" s="22">
        <f>IF(E504&lt;0,-999999999,B504*(PRICE_TOM-FERT_TOM)+C504*(PRICE_CAR-FERT_CAR)+F504*(PRICE_MES-FERT_MES)-(FARMER_SALARY+A504*TEMP_COST)-FIXED_COSTS)</f>
        <v>-18608</v>
      </c>
    </row>
    <row r="505">
      <c r="A505" s="5" t="n">
        <v>1</v>
      </c>
      <c r="B505" s="5" t="n">
        <v>2</v>
      </c>
      <c r="C505" s="5" t="n">
        <v>9</v>
      </c>
      <c r="D505" s="18">
        <f>SEASON_HRS_TOM*B505*(1+DIM_TOM)^B505+SEASON_HRS_CAR*C505*(1+DIM_CAR)^C505</f>
        <v>554.9930018858696</v>
      </c>
      <c r="E505" s="18">
        <f>(FARMER_FIELD_HRS+A505*TEMP_HRS)-D505</f>
        <v>1605.0069981141305</v>
      </c>
      <c r="F505" s="21">
        <f>IF(E505&lt;0,0,MIN(COUNTIF(Labor!$C$59:$C$88,"&lt;="&amp;E505),MAXBED_MES,TOTAL_BEDS-B505-C505))</f>
        <v>25</v>
      </c>
      <c r="G505" s="21">
        <f>B505+C505+F505</f>
        <v>36</v>
      </c>
      <c r="H505" s="22">
        <f>IF(E505&lt;0,-999999999,B505*(PRICE_TOM-FERT_TOM)+C505*(PRICE_CAR-FERT_CAR)+F505*(PRICE_MES-FERT_MES)-(FARMER_SALARY+A505*TEMP_COST)-FIXED_COSTS)</f>
        <v>-18774</v>
      </c>
    </row>
    <row r="506">
      <c r="A506" s="5" t="n">
        <v>1</v>
      </c>
      <c r="B506" s="5" t="n">
        <v>2</v>
      </c>
      <c r="C506" s="5" t="n">
        <v>10</v>
      </c>
      <c r="D506" s="18">
        <f>SEASON_HRS_TOM*B506*(1+DIM_TOM)^B506+SEASON_HRS_CAR*C506*(1+DIM_CAR)^C506</f>
        <v>601.825363258907</v>
      </c>
      <c r="E506" s="18">
        <f>(FARMER_FIELD_HRS+A506*TEMP_HRS)-D506</f>
        <v>1558.1746367410929</v>
      </c>
      <c r="F506" s="21">
        <f>IF(E506&lt;0,0,MIN(COUNTIF(Labor!$C$59:$C$88,"&lt;="&amp;E506),MAXBED_MES,TOTAL_BEDS-B506-C506))</f>
        <v>25</v>
      </c>
      <c r="G506" s="21">
        <f>B506+C506+F506</f>
        <v>37</v>
      </c>
      <c r="H506" s="22">
        <f>IF(E506&lt;0,-999999999,B506*(PRICE_TOM-FERT_TOM)+C506*(PRICE_CAR-FERT_CAR)+F506*(PRICE_MES-FERT_MES)-(FARMER_SALARY+A506*TEMP_COST)-FIXED_COSTS)</f>
        <v>-17120</v>
      </c>
    </row>
    <row r="507">
      <c r="A507" s="5" t="n">
        <v>1</v>
      </c>
      <c r="B507" s="5" t="n">
        <v>2</v>
      </c>
      <c r="C507" s="5" t="n">
        <v>11</v>
      </c>
      <c r="D507" s="18">
        <f>SEASON_HRS_TOM*B507*(1+DIM_TOM)^B507+SEASON_HRS_CAR*C507*(1+DIM_CAR)^C507</f>
        <v>650.7885970744177</v>
      </c>
      <c r="E507" s="18">
        <f>(FARMER_FIELD_HRS+A507*TEMP_HRS)-D507</f>
        <v>1509.2114029255822</v>
      </c>
      <c r="F507" s="21">
        <f>IF(E507&lt;0,0,MIN(COUNTIF(Labor!$C$59:$C$88,"&lt;="&amp;E507),MAXBED_MES,TOTAL_BEDS-B507-C507))</f>
        <v>24</v>
      </c>
      <c r="G507" s="21">
        <f>B507+C507+F507</f>
        <v>37</v>
      </c>
      <c r="H507" s="22">
        <f>IF(E507&lt;0,-999999999,B507*(PRICE_TOM-FERT_TOM)+C507*(PRICE_CAR-FERT_CAR)+F507*(PRICE_MES-FERT_MES)-(FARMER_SALARY+A507*TEMP_COST)-FIXED_COSTS)</f>
        <v>-17286</v>
      </c>
    </row>
    <row r="508">
      <c r="A508" s="5" t="n">
        <v>1</v>
      </c>
      <c r="B508" s="5" t="n">
        <v>2</v>
      </c>
      <c r="C508" s="5" t="n">
        <v>12</v>
      </c>
      <c r="D508" s="18">
        <f>SEASON_HRS_TOM*B508*(1+DIM_TOM)^B508+SEASON_HRS_CAR*C508*(1+DIM_CAR)^C508</f>
        <v>701.959976728667</v>
      </c>
      <c r="E508" s="18">
        <f>(FARMER_FIELD_HRS+A508*TEMP_HRS)-D508</f>
        <v>1458.040023271333</v>
      </c>
      <c r="F508" s="21">
        <f>IF(E508&lt;0,0,MIN(COUNTIF(Labor!$C$59:$C$88,"&lt;="&amp;E508),MAXBED_MES,TOTAL_BEDS-B508-C508))</f>
        <v>24</v>
      </c>
      <c r="G508" s="21">
        <f>B508+C508+F508</f>
        <v>38</v>
      </c>
      <c r="H508" s="22">
        <f>IF(E508&lt;0,-999999999,B508*(PRICE_TOM-FERT_TOM)+C508*(PRICE_CAR-FERT_CAR)+F508*(PRICE_MES-FERT_MES)-(FARMER_SALARY+A508*TEMP_COST)-FIXED_COSTS)</f>
        <v>-15632</v>
      </c>
    </row>
    <row r="509">
      <c r="A509" s="5" t="n">
        <v>1</v>
      </c>
      <c r="B509" s="5" t="n">
        <v>2</v>
      </c>
      <c r="C509" s="5" t="n">
        <v>13</v>
      </c>
      <c r="D509" s="18">
        <f>SEASON_HRS_TOM*B509*(1+DIM_TOM)^B509+SEASON_HRS_CAR*C509*(1+DIM_CAR)^C509</f>
        <v>755.4193074924572</v>
      </c>
      <c r="E509" s="18">
        <f>(FARMER_FIELD_HRS+A509*TEMP_HRS)-D509</f>
        <v>1404.5806925075428</v>
      </c>
      <c r="F509" s="21">
        <f>IF(E509&lt;0,0,MIN(COUNTIF(Labor!$C$59:$C$88,"&lt;="&amp;E509),MAXBED_MES,TOTAL_BEDS-B509-C509))</f>
        <v>23</v>
      </c>
      <c r="G509" s="21">
        <f>B509+C509+F509</f>
        <v>38</v>
      </c>
      <c r="H509" s="22">
        <f>IF(E509&lt;0,-999999999,B509*(PRICE_TOM-FERT_TOM)+C509*(PRICE_CAR-FERT_CAR)+F509*(PRICE_MES-FERT_MES)-(FARMER_SALARY+A509*TEMP_COST)-FIXED_COSTS)</f>
        <v>-15798</v>
      </c>
    </row>
    <row r="510">
      <c r="A510" s="5" t="n">
        <v>1</v>
      </c>
      <c r="B510" s="5" t="n">
        <v>2</v>
      </c>
      <c r="C510" s="5" t="n">
        <v>14</v>
      </c>
      <c r="D510" s="18">
        <f>SEASON_HRS_TOM*B510*(1+DIM_TOM)^B510+SEASON_HRS_CAR*C510*(1+DIM_CAR)^C510</f>
        <v>811.2490048089817</v>
      </c>
      <c r="E510" s="18">
        <f>(FARMER_FIELD_HRS+A510*TEMP_HRS)-D510</f>
        <v>1348.7509951910183</v>
      </c>
      <c r="F510" s="21">
        <f>IF(E510&lt;0,0,MIN(COUNTIF(Labor!$C$59:$C$88,"&lt;="&amp;E510),MAXBED_MES,TOTAL_BEDS-B510-C510))</f>
        <v>22</v>
      </c>
      <c r="G510" s="21">
        <f>B510+C510+F510</f>
        <v>38</v>
      </c>
      <c r="H510" s="22">
        <f>IF(E510&lt;0,-999999999,B510*(PRICE_TOM-FERT_TOM)+C510*(PRICE_CAR-FERT_CAR)+F510*(PRICE_MES-FERT_MES)-(FARMER_SALARY+A510*TEMP_COST)-FIXED_COSTS)</f>
        <v>-15964</v>
      </c>
    </row>
    <row r="511">
      <c r="A511" s="5" t="n">
        <v>1</v>
      </c>
      <c r="B511" s="5" t="n">
        <v>2</v>
      </c>
      <c r="C511" s="5" t="n">
        <v>15</v>
      </c>
      <c r="D511" s="18">
        <f>SEASON_HRS_TOM*B511*(1+DIM_TOM)^B511+SEASON_HRS_CAR*C511*(1+DIM_CAR)^C511</f>
        <v>869.5341749241494</v>
      </c>
      <c r="E511" s="18">
        <f>(FARMER_FIELD_HRS+A511*TEMP_HRS)-D511</f>
        <v>1290.4658250758507</v>
      </c>
      <c r="F511" s="21">
        <f>IF(E511&lt;0,0,MIN(COUNTIF(Labor!$C$59:$C$88,"&lt;="&amp;E511),MAXBED_MES,TOTAL_BEDS-B511-C511))</f>
        <v>21</v>
      </c>
      <c r="G511" s="21">
        <f>B511+C511+F511</f>
        <v>38</v>
      </c>
      <c r="H511" s="22">
        <f>IF(E511&lt;0,-999999999,B511*(PRICE_TOM-FERT_TOM)+C511*(PRICE_CAR-FERT_CAR)+F511*(PRICE_MES-FERT_MES)-(FARMER_SALARY+A511*TEMP_COST)-FIXED_COSTS)</f>
        <v>-16130</v>
      </c>
    </row>
    <row r="512">
      <c r="A512" s="5" t="n">
        <v>1</v>
      </c>
      <c r="B512" s="5" t="n">
        <v>2</v>
      </c>
      <c r="C512" s="5" t="n">
        <v>16</v>
      </c>
      <c r="D512" s="18">
        <f>SEASON_HRS_TOM*B512*(1+DIM_TOM)^B512+SEASON_HRS_CAR*C512*(1+DIM_CAR)^C512</f>
        <v>930.3626979170699</v>
      </c>
      <c r="E512" s="18">
        <f>(FARMER_FIELD_HRS+A512*TEMP_HRS)-D512</f>
        <v>1229.63730208293</v>
      </c>
      <c r="F512" s="21">
        <f>IF(E512&lt;0,0,MIN(COUNTIF(Labor!$C$59:$C$88,"&lt;="&amp;E512),MAXBED_MES,TOTAL_BEDS-B512-C512))</f>
        <v>21</v>
      </c>
      <c r="G512" s="21">
        <f>B512+C512+F512</f>
        <v>39</v>
      </c>
      <c r="H512" s="22">
        <f>IF(E512&lt;0,-999999999,B512*(PRICE_TOM-FERT_TOM)+C512*(PRICE_CAR-FERT_CAR)+F512*(PRICE_MES-FERT_MES)-(FARMER_SALARY+A512*TEMP_COST)-FIXED_COSTS)</f>
        <v>-14476</v>
      </c>
    </row>
    <row r="513">
      <c r="A513" s="5" t="n">
        <v>1</v>
      </c>
      <c r="B513" s="5" t="n">
        <v>2</v>
      </c>
      <c r="C513" s="5" t="n">
        <v>17</v>
      </c>
      <c r="D513" s="18">
        <f>SEASON_HRS_TOM*B513*(1+DIM_TOM)^B513+SEASON_HRS_CAR*C513*(1+DIM_CAR)^C513</f>
        <v>993.8253132003089</v>
      </c>
      <c r="E513" s="18">
        <f>(FARMER_FIELD_HRS+A513*TEMP_HRS)-D513</f>
        <v>1166.1746867996912</v>
      </c>
      <c r="F513" s="21">
        <f>IF(E513&lt;0,0,MIN(COUNTIF(Labor!$C$59:$C$88,"&lt;="&amp;E513),MAXBED_MES,TOTAL_BEDS-B513-C513))</f>
        <v>20</v>
      </c>
      <c r="G513" s="21">
        <f>B513+C513+F513</f>
        <v>39</v>
      </c>
      <c r="H513" s="22">
        <f>IF(E513&lt;0,-999999999,B513*(PRICE_TOM-FERT_TOM)+C513*(PRICE_CAR-FERT_CAR)+F513*(PRICE_MES-FERT_MES)-(FARMER_SALARY+A513*TEMP_COST)-FIXED_COSTS)</f>
        <v>-14642</v>
      </c>
    </row>
    <row r="514">
      <c r="A514" s="5" t="n">
        <v>1</v>
      </c>
      <c r="B514" s="5" t="n">
        <v>2</v>
      </c>
      <c r="C514" s="5" t="n">
        <v>18</v>
      </c>
      <c r="D514" s="18">
        <f>SEASON_HRS_TOM*B514*(1+DIM_TOM)^B514+SEASON_HRS_CAR*C514*(1+DIM_CAR)^C514</f>
        <v>1060.0157075615116</v>
      </c>
      <c r="E514" s="18">
        <f>(FARMER_FIELD_HRS+A514*TEMP_HRS)-D514</f>
        <v>1099.9842924384884</v>
      </c>
      <c r="F514" s="21">
        <f>IF(E514&lt;0,0,MIN(COUNTIF(Labor!$C$59:$C$88,"&lt;="&amp;E514),MAXBED_MES,TOTAL_BEDS-B514-C514))</f>
        <v>19</v>
      </c>
      <c r="G514" s="21">
        <f>B514+C514+F514</f>
        <v>39</v>
      </c>
      <c r="H514" s="22">
        <f>IF(E514&lt;0,-999999999,B514*(PRICE_TOM-FERT_TOM)+C514*(PRICE_CAR-FERT_CAR)+F514*(PRICE_MES-FERT_MES)-(FARMER_SALARY+A514*TEMP_COST)-FIXED_COSTS)</f>
        <v>-14808</v>
      </c>
    </row>
    <row r="515">
      <c r="A515" s="5" t="n">
        <v>1</v>
      </c>
      <c r="B515" s="5" t="n">
        <v>2</v>
      </c>
      <c r="C515" s="5" t="n">
        <v>19</v>
      </c>
      <c r="D515" s="18">
        <f>SEASON_HRS_TOM*B515*(1+DIM_TOM)^B515+SEASON_HRS_CAR*C515*(1+DIM_CAR)^C515</f>
        <v>1129.0306058200242</v>
      </c>
      <c r="E515" s="18">
        <f>(FARMER_FIELD_HRS+A515*TEMP_HRS)-D515</f>
        <v>1030.9693941799758</v>
      </c>
      <c r="F515" s="21">
        <f>IF(E515&lt;0,0,MIN(COUNTIF(Labor!$C$59:$C$88,"&lt;="&amp;E515),MAXBED_MES,TOTAL_BEDS-B515-C515))</f>
        <v>18</v>
      </c>
      <c r="G515" s="21">
        <f>B515+C515+F515</f>
        <v>39</v>
      </c>
      <c r="H515" s="22">
        <f>IF(E515&lt;0,-999999999,B515*(PRICE_TOM-FERT_TOM)+C515*(PRICE_CAR-FERT_CAR)+F515*(PRICE_MES-FERT_MES)-(FARMER_SALARY+A515*TEMP_COST)-FIXED_COSTS)</f>
        <v>-14974</v>
      </c>
    </row>
    <row r="516">
      <c r="A516" s="5" t="n">
        <v>1</v>
      </c>
      <c r="B516" s="5" t="n">
        <v>2</v>
      </c>
      <c r="C516" s="5" t="n">
        <v>20</v>
      </c>
      <c r="D516" s="18">
        <f>SEASON_HRS_TOM*B516*(1+DIM_TOM)^B516+SEASON_HRS_CAR*C516*(1+DIM_CAR)^C516</f>
        <v>1200.9698641742366</v>
      </c>
      <c r="E516" s="18">
        <f>(FARMER_FIELD_HRS+A516*TEMP_HRS)-D516</f>
        <v>959.0301358257634</v>
      </c>
      <c r="F516" s="21">
        <f>IF(E516&lt;0,0,MIN(COUNTIF(Labor!$C$59:$C$88,"&lt;="&amp;E516),MAXBED_MES,TOTAL_BEDS-B516-C516))</f>
        <v>17</v>
      </c>
      <c r="G516" s="21">
        <f>B516+C516+F516</f>
        <v>39</v>
      </c>
      <c r="H516" s="22">
        <f>IF(E516&lt;0,-999999999,B516*(PRICE_TOM-FERT_TOM)+C516*(PRICE_CAR-FERT_CAR)+F516*(PRICE_MES-FERT_MES)-(FARMER_SALARY+A516*TEMP_COST)-FIXED_COSTS)</f>
        <v>-15140</v>
      </c>
    </row>
    <row r="517">
      <c r="A517" s="5" t="n">
        <v>1</v>
      </c>
      <c r="B517" s="5" t="n">
        <v>3</v>
      </c>
      <c r="C517" s="5" t="n">
        <v>0</v>
      </c>
      <c r="D517" s="18">
        <f>SEASON_HRS_TOM*B517*(1+DIM_TOM)^B517+SEASON_HRS_CAR*C517*(1+DIM_CAR)^C517</f>
        <v>359.3700000000001</v>
      </c>
      <c r="E517" s="18">
        <f>(FARMER_FIELD_HRS+A517*TEMP_HRS)-D517</f>
        <v>1800.6299999999999</v>
      </c>
      <c r="F517" s="21">
        <f>IF(E517&lt;0,0,MIN(COUNTIF(Labor!$C$59:$C$88,"&lt;="&amp;E517),MAXBED_MES,TOTAL_BEDS-B517-C517))</f>
        <v>28</v>
      </c>
      <c r="G517" s="21">
        <f>B517+C517+F517</f>
        <v>31</v>
      </c>
      <c r="H517" s="22">
        <f>IF(E517&lt;0,-999999999,B517*(PRICE_TOM-FERT_TOM)+C517*(PRICE_CAR-FERT_CAR)+F517*(PRICE_MES-FERT_MES)-(FARMER_SALARY+A517*TEMP_COST)-FIXED_COSTS)</f>
        <v>-20280</v>
      </c>
    </row>
    <row r="518">
      <c r="A518" s="5" t="n">
        <v>1</v>
      </c>
      <c r="B518" s="5" t="n">
        <v>3</v>
      </c>
      <c r="C518" s="5" t="n">
        <v>1</v>
      </c>
      <c r="D518" s="18">
        <f>SEASON_HRS_TOM*B518*(1+DIM_TOM)^B518+SEASON_HRS_CAR*C518*(1+DIM_CAR)^C518</f>
        <v>390.1200000000001</v>
      </c>
      <c r="E518" s="18">
        <f>(FARMER_FIELD_HRS+A518*TEMP_HRS)-D518</f>
        <v>1769.8799999999999</v>
      </c>
      <c r="F518" s="21">
        <f>IF(E518&lt;0,0,MIN(COUNTIF(Labor!$C$59:$C$88,"&lt;="&amp;E518),MAXBED_MES,TOTAL_BEDS-B518-C518))</f>
        <v>27</v>
      </c>
      <c r="G518" s="21">
        <f>B518+C518+F518</f>
        <v>31</v>
      </c>
      <c r="H518" s="22">
        <f>IF(E518&lt;0,-999999999,B518*(PRICE_TOM-FERT_TOM)+C518*(PRICE_CAR-FERT_CAR)+F518*(PRICE_MES-FERT_MES)-(FARMER_SALARY+A518*TEMP_COST)-FIXED_COSTS)</f>
        <v>-20446</v>
      </c>
    </row>
    <row r="519">
      <c r="A519" s="5" t="n">
        <v>1</v>
      </c>
      <c r="B519" s="5" t="n">
        <v>3</v>
      </c>
      <c r="C519" s="5" t="n">
        <v>2</v>
      </c>
      <c r="D519" s="18">
        <f>SEASON_HRS_TOM*B519*(1+DIM_TOM)^B519+SEASON_HRS_CAR*C519*(1+DIM_CAR)^C519</f>
        <v>422.40750000000014</v>
      </c>
      <c r="E519" s="18">
        <f>(FARMER_FIELD_HRS+A519*TEMP_HRS)-D519</f>
        <v>1737.5924999999997</v>
      </c>
      <c r="F519" s="21">
        <f>IF(E519&lt;0,0,MIN(COUNTIF(Labor!$C$59:$C$88,"&lt;="&amp;E519),MAXBED_MES,TOTAL_BEDS-B519-C519))</f>
        <v>27</v>
      </c>
      <c r="G519" s="21">
        <f>B519+C519+F519</f>
        <v>32</v>
      </c>
      <c r="H519" s="22">
        <f>IF(E519&lt;0,-999999999,B519*(PRICE_TOM-FERT_TOM)+C519*(PRICE_CAR-FERT_CAR)+F519*(PRICE_MES-FERT_MES)-(FARMER_SALARY+A519*TEMP_COST)-FIXED_COSTS)</f>
        <v>-18792</v>
      </c>
    </row>
    <row r="520">
      <c r="A520" s="5" t="n">
        <v>1</v>
      </c>
      <c r="B520" s="5" t="n">
        <v>3</v>
      </c>
      <c r="C520" s="5" t="n">
        <v>3</v>
      </c>
      <c r="D520" s="18">
        <f>SEASON_HRS_TOM*B520*(1+DIM_TOM)^B520+SEASON_HRS_CAR*C520*(1+DIM_CAR)^C520</f>
        <v>456.2901562500001</v>
      </c>
      <c r="E520" s="18">
        <f>(FARMER_FIELD_HRS+A520*TEMP_HRS)-D520</f>
        <v>1703.70984375</v>
      </c>
      <c r="F520" s="21">
        <f>IF(E520&lt;0,0,MIN(COUNTIF(Labor!$C$59:$C$88,"&lt;="&amp;E520),MAXBED_MES,TOTAL_BEDS-B520-C520))</f>
        <v>27</v>
      </c>
      <c r="G520" s="21">
        <f>B520+C520+F520</f>
        <v>33</v>
      </c>
      <c r="H520" s="22">
        <f>IF(E520&lt;0,-999999999,B520*(PRICE_TOM-FERT_TOM)+C520*(PRICE_CAR-FERT_CAR)+F520*(PRICE_MES-FERT_MES)-(FARMER_SALARY+A520*TEMP_COST)-FIXED_COSTS)</f>
        <v>-17138</v>
      </c>
    </row>
    <row r="521">
      <c r="A521" s="5" t="n">
        <v>1</v>
      </c>
      <c r="B521" s="5" t="n">
        <v>3</v>
      </c>
      <c r="C521" s="5" t="n">
        <v>4</v>
      </c>
      <c r="D521" s="18">
        <f>SEASON_HRS_TOM*B521*(1+DIM_TOM)^B521+SEASON_HRS_CAR*C521*(1+DIM_CAR)^C521</f>
        <v>491.82754687500005</v>
      </c>
      <c r="E521" s="18">
        <f>(FARMER_FIELD_HRS+A521*TEMP_HRS)-D521</f>
        <v>1668.172453125</v>
      </c>
      <c r="F521" s="21">
        <f>IF(E521&lt;0,0,MIN(COUNTIF(Labor!$C$59:$C$88,"&lt;="&amp;E521),MAXBED_MES,TOTAL_BEDS-B521-C521))</f>
        <v>26</v>
      </c>
      <c r="G521" s="21">
        <f>B521+C521+F521</f>
        <v>33</v>
      </c>
      <c r="H521" s="22">
        <f>IF(E521&lt;0,-999999999,B521*(PRICE_TOM-FERT_TOM)+C521*(PRICE_CAR-FERT_CAR)+F521*(PRICE_MES-FERT_MES)-(FARMER_SALARY+A521*TEMP_COST)-FIXED_COSTS)</f>
        <v>-17304</v>
      </c>
    </row>
    <row r="522">
      <c r="A522" s="5" t="n">
        <v>1</v>
      </c>
      <c r="B522" s="5" t="n">
        <v>3</v>
      </c>
      <c r="C522" s="5" t="n">
        <v>5</v>
      </c>
      <c r="D522" s="18">
        <f>SEASON_HRS_TOM*B522*(1+DIM_TOM)^B522+SEASON_HRS_CAR*C522*(1+DIM_CAR)^C522</f>
        <v>529.0812319335938</v>
      </c>
      <c r="E522" s="18">
        <f>(FARMER_FIELD_HRS+A522*TEMP_HRS)-D522</f>
        <v>1630.9187680664063</v>
      </c>
      <c r="F522" s="21">
        <f>IF(E522&lt;0,0,MIN(COUNTIF(Labor!$C$59:$C$88,"&lt;="&amp;E522),MAXBED_MES,TOTAL_BEDS-B522-C522))</f>
        <v>26</v>
      </c>
      <c r="G522" s="21">
        <f>B522+C522+F522</f>
        <v>34</v>
      </c>
      <c r="H522" s="22">
        <f>IF(E522&lt;0,-999999999,B522*(PRICE_TOM-FERT_TOM)+C522*(PRICE_CAR-FERT_CAR)+F522*(PRICE_MES-FERT_MES)-(FARMER_SALARY+A522*TEMP_COST)-FIXED_COSTS)</f>
        <v>-15650</v>
      </c>
    </row>
    <row r="523">
      <c r="A523" s="5" t="n">
        <v>1</v>
      </c>
      <c r="B523" s="5" t="n">
        <v>3</v>
      </c>
      <c r="C523" s="5" t="n">
        <v>6</v>
      </c>
      <c r="D523" s="18">
        <f>SEASON_HRS_TOM*B523*(1+DIM_TOM)^B523+SEASON_HRS_CAR*C523*(1+DIM_CAR)^C523</f>
        <v>568.1148152783203</v>
      </c>
      <c r="E523" s="18">
        <f>(FARMER_FIELD_HRS+A523*TEMP_HRS)-D523</f>
        <v>1591.8851847216797</v>
      </c>
      <c r="F523" s="21">
        <f>IF(E523&lt;0,0,MIN(COUNTIF(Labor!$C$59:$C$88,"&lt;="&amp;E523),MAXBED_MES,TOTAL_BEDS-B523-C523))</f>
        <v>25</v>
      </c>
      <c r="G523" s="21">
        <f>B523+C523+F523</f>
        <v>34</v>
      </c>
      <c r="H523" s="22">
        <f>IF(E523&lt;0,-999999999,B523*(PRICE_TOM-FERT_TOM)+C523*(PRICE_CAR-FERT_CAR)+F523*(PRICE_MES-FERT_MES)-(FARMER_SALARY+A523*TEMP_COST)-FIXED_COSTS)</f>
        <v>-15816</v>
      </c>
    </row>
    <row r="524">
      <c r="A524" s="5" t="n">
        <v>1</v>
      </c>
      <c r="B524" s="5" t="n">
        <v>3</v>
      </c>
      <c r="C524" s="5" t="n">
        <v>7</v>
      </c>
      <c r="D524" s="18">
        <f>SEASON_HRS_TOM*B524*(1+DIM_TOM)^B524+SEASON_HRS_CAR*C524*(1+DIM_CAR)^C524</f>
        <v>608.9940082703247</v>
      </c>
      <c r="E524" s="18">
        <f>(FARMER_FIELD_HRS+A524*TEMP_HRS)-D524</f>
        <v>1551.0059917296753</v>
      </c>
      <c r="F524" s="21">
        <f>IF(E524&lt;0,0,MIN(COUNTIF(Labor!$C$59:$C$88,"&lt;="&amp;E524),MAXBED_MES,TOTAL_BEDS-B524-C524))</f>
        <v>25</v>
      </c>
      <c r="G524" s="21">
        <f>B524+C524+F524</f>
        <v>35</v>
      </c>
      <c r="H524" s="22">
        <f>IF(E524&lt;0,-999999999,B524*(PRICE_TOM-FERT_TOM)+C524*(PRICE_CAR-FERT_CAR)+F524*(PRICE_MES-FERT_MES)-(FARMER_SALARY+A524*TEMP_COST)-FIXED_COSTS)</f>
        <v>-14162</v>
      </c>
    </row>
    <row r="525">
      <c r="A525" s="5" t="n">
        <v>1</v>
      </c>
      <c r="B525" s="5" t="n">
        <v>3</v>
      </c>
      <c r="C525" s="5" t="n">
        <v>8</v>
      </c>
      <c r="D525" s="18">
        <f>SEASON_HRS_TOM*B525*(1+DIM_TOM)^B525+SEASON_HRS_CAR*C525*(1+DIM_CAR)^C525</f>
        <v>651.7866954023802</v>
      </c>
      <c r="E525" s="18">
        <f>(FARMER_FIELD_HRS+A525*TEMP_HRS)-D525</f>
        <v>1508.2133045976198</v>
      </c>
      <c r="F525" s="21">
        <f>IF(E525&lt;0,0,MIN(COUNTIF(Labor!$C$59:$C$88,"&lt;="&amp;E525),MAXBED_MES,TOTAL_BEDS-B525-C525))</f>
        <v>24</v>
      </c>
      <c r="G525" s="21">
        <f>B525+C525+F525</f>
        <v>35</v>
      </c>
      <c r="H525" s="22">
        <f>IF(E525&lt;0,-999999999,B525*(PRICE_TOM-FERT_TOM)+C525*(PRICE_CAR-FERT_CAR)+F525*(PRICE_MES-FERT_MES)-(FARMER_SALARY+A525*TEMP_COST)-FIXED_COSTS)</f>
        <v>-14328</v>
      </c>
    </row>
    <row r="526">
      <c r="A526" s="5" t="n">
        <v>1</v>
      </c>
      <c r="B526" s="5" t="n">
        <v>3</v>
      </c>
      <c r="C526" s="5" t="n">
        <v>9</v>
      </c>
      <c r="D526" s="18">
        <f>SEASON_HRS_TOM*B526*(1+DIM_TOM)^B526+SEASON_HRS_CAR*C526*(1+DIM_CAR)^C526</f>
        <v>696.5630018858697</v>
      </c>
      <c r="E526" s="18">
        <f>(FARMER_FIELD_HRS+A526*TEMP_HRS)-D526</f>
        <v>1463.4369981141303</v>
      </c>
      <c r="F526" s="21">
        <f>IF(E526&lt;0,0,MIN(COUNTIF(Labor!$C$59:$C$88,"&lt;="&amp;E526),MAXBED_MES,TOTAL_BEDS-B526-C526))</f>
        <v>24</v>
      </c>
      <c r="G526" s="21">
        <f>B526+C526+F526</f>
        <v>36</v>
      </c>
      <c r="H526" s="22">
        <f>IF(E526&lt;0,-999999999,B526*(PRICE_TOM-FERT_TOM)+C526*(PRICE_CAR-FERT_CAR)+F526*(PRICE_MES-FERT_MES)-(FARMER_SALARY+A526*TEMP_COST)-FIXED_COSTS)</f>
        <v>-12674</v>
      </c>
    </row>
    <row r="527">
      <c r="A527" s="5" t="n">
        <v>1</v>
      </c>
      <c r="B527" s="5" t="n">
        <v>3</v>
      </c>
      <c r="C527" s="5" t="n">
        <v>10</v>
      </c>
      <c r="D527" s="18">
        <f>SEASON_HRS_TOM*B527*(1+DIM_TOM)^B527+SEASON_HRS_CAR*C527*(1+DIM_CAR)^C527</f>
        <v>743.3953632589071</v>
      </c>
      <c r="E527" s="18">
        <f>(FARMER_FIELD_HRS+A527*TEMP_HRS)-D527</f>
        <v>1416.604636741093</v>
      </c>
      <c r="F527" s="21">
        <f>IF(E527&lt;0,0,MIN(COUNTIF(Labor!$C$59:$C$88,"&lt;="&amp;E527),MAXBED_MES,TOTAL_BEDS-B527-C527))</f>
        <v>23</v>
      </c>
      <c r="G527" s="21">
        <f>B527+C527+F527</f>
        <v>36</v>
      </c>
      <c r="H527" s="22">
        <f>IF(E527&lt;0,-999999999,B527*(PRICE_TOM-FERT_TOM)+C527*(PRICE_CAR-FERT_CAR)+F527*(PRICE_MES-FERT_MES)-(FARMER_SALARY+A527*TEMP_COST)-FIXED_COSTS)</f>
        <v>-12840</v>
      </c>
    </row>
    <row r="528">
      <c r="A528" s="5" t="n">
        <v>1</v>
      </c>
      <c r="B528" s="5" t="n">
        <v>3</v>
      </c>
      <c r="C528" s="5" t="n">
        <v>11</v>
      </c>
      <c r="D528" s="18">
        <f>SEASON_HRS_TOM*B528*(1+DIM_TOM)^B528+SEASON_HRS_CAR*C528*(1+DIM_CAR)^C528</f>
        <v>792.3585970744177</v>
      </c>
      <c r="E528" s="18">
        <f>(FARMER_FIELD_HRS+A528*TEMP_HRS)-D528</f>
        <v>1367.6414029255823</v>
      </c>
      <c r="F528" s="21">
        <f>IF(E528&lt;0,0,MIN(COUNTIF(Labor!$C$59:$C$88,"&lt;="&amp;E528),MAXBED_MES,TOTAL_BEDS-B528-C528))</f>
        <v>22</v>
      </c>
      <c r="G528" s="21">
        <f>B528+C528+F528</f>
        <v>36</v>
      </c>
      <c r="H528" s="22">
        <f>IF(E528&lt;0,-999999999,B528*(PRICE_TOM-FERT_TOM)+C528*(PRICE_CAR-FERT_CAR)+F528*(PRICE_MES-FERT_MES)-(FARMER_SALARY+A528*TEMP_COST)-FIXED_COSTS)</f>
        <v>-13006</v>
      </c>
    </row>
    <row r="529">
      <c r="A529" s="5" t="n">
        <v>1</v>
      </c>
      <c r="B529" s="5" t="n">
        <v>3</v>
      </c>
      <c r="C529" s="5" t="n">
        <v>12</v>
      </c>
      <c r="D529" s="18">
        <f>SEASON_HRS_TOM*B529*(1+DIM_TOM)^B529+SEASON_HRS_CAR*C529*(1+DIM_CAR)^C529</f>
        <v>843.5299767286671</v>
      </c>
      <c r="E529" s="18">
        <f>(FARMER_FIELD_HRS+A529*TEMP_HRS)-D529</f>
        <v>1316.470023271333</v>
      </c>
      <c r="F529" s="21">
        <f>IF(E529&lt;0,0,MIN(COUNTIF(Labor!$C$59:$C$88,"&lt;="&amp;E529),MAXBED_MES,TOTAL_BEDS-B529-C529))</f>
        <v>22</v>
      </c>
      <c r="G529" s="21">
        <f>B529+C529+F529</f>
        <v>37</v>
      </c>
      <c r="H529" s="22">
        <f>IF(E529&lt;0,-999999999,B529*(PRICE_TOM-FERT_TOM)+C529*(PRICE_CAR-FERT_CAR)+F529*(PRICE_MES-FERT_MES)-(FARMER_SALARY+A529*TEMP_COST)-FIXED_COSTS)</f>
        <v>-11352</v>
      </c>
    </row>
    <row r="530">
      <c r="A530" s="5" t="n">
        <v>1</v>
      </c>
      <c r="B530" s="5" t="n">
        <v>3</v>
      </c>
      <c r="C530" s="5" t="n">
        <v>13</v>
      </c>
      <c r="D530" s="18">
        <f>SEASON_HRS_TOM*B530*(1+DIM_TOM)^B530+SEASON_HRS_CAR*C530*(1+DIM_CAR)^C530</f>
        <v>896.9893074924572</v>
      </c>
      <c r="E530" s="18">
        <f>(FARMER_FIELD_HRS+A530*TEMP_HRS)-D530</f>
        <v>1263.010692507543</v>
      </c>
      <c r="F530" s="21">
        <f>IF(E530&lt;0,0,MIN(COUNTIF(Labor!$C$59:$C$88,"&lt;="&amp;E530),MAXBED_MES,TOTAL_BEDS-B530-C530))</f>
        <v>21</v>
      </c>
      <c r="G530" s="21">
        <f>B530+C530+F530</f>
        <v>37</v>
      </c>
      <c r="H530" s="22">
        <f>IF(E530&lt;0,-999999999,B530*(PRICE_TOM-FERT_TOM)+C530*(PRICE_CAR-FERT_CAR)+F530*(PRICE_MES-FERT_MES)-(FARMER_SALARY+A530*TEMP_COST)-FIXED_COSTS)</f>
        <v>-11518</v>
      </c>
    </row>
    <row r="531">
      <c r="A531" s="5" t="n">
        <v>1</v>
      </c>
      <c r="B531" s="5" t="n">
        <v>3</v>
      </c>
      <c r="C531" s="5" t="n">
        <v>14</v>
      </c>
      <c r="D531" s="18">
        <f>SEASON_HRS_TOM*B531*(1+DIM_TOM)^B531+SEASON_HRS_CAR*C531*(1+DIM_CAR)^C531</f>
        <v>952.8190048089817</v>
      </c>
      <c r="E531" s="18">
        <f>(FARMER_FIELD_HRS+A531*TEMP_HRS)-D531</f>
        <v>1207.1809951910182</v>
      </c>
      <c r="F531" s="21">
        <f>IF(E531&lt;0,0,MIN(COUNTIF(Labor!$C$59:$C$88,"&lt;="&amp;E531),MAXBED_MES,TOTAL_BEDS-B531-C531))</f>
        <v>20</v>
      </c>
      <c r="G531" s="21">
        <f>B531+C531+F531</f>
        <v>37</v>
      </c>
      <c r="H531" s="22">
        <f>IF(E531&lt;0,-999999999,B531*(PRICE_TOM-FERT_TOM)+C531*(PRICE_CAR-FERT_CAR)+F531*(PRICE_MES-FERT_MES)-(FARMER_SALARY+A531*TEMP_COST)-FIXED_COSTS)</f>
        <v>-11684</v>
      </c>
    </row>
    <row r="532">
      <c r="A532" s="5" t="n">
        <v>1</v>
      </c>
      <c r="B532" s="5" t="n">
        <v>3</v>
      </c>
      <c r="C532" s="5" t="n">
        <v>15</v>
      </c>
      <c r="D532" s="18">
        <f>SEASON_HRS_TOM*B532*(1+DIM_TOM)^B532+SEASON_HRS_CAR*C532*(1+DIM_CAR)^C532</f>
        <v>1011.1041749241494</v>
      </c>
      <c r="E532" s="18">
        <f>(FARMER_FIELD_HRS+A532*TEMP_HRS)-D532</f>
        <v>1148.8958250758506</v>
      </c>
      <c r="F532" s="21">
        <f>IF(E532&lt;0,0,MIN(COUNTIF(Labor!$C$59:$C$88,"&lt;="&amp;E532),MAXBED_MES,TOTAL_BEDS-B532-C532))</f>
        <v>19</v>
      </c>
      <c r="G532" s="21">
        <f>B532+C532+F532</f>
        <v>37</v>
      </c>
      <c r="H532" s="22">
        <f>IF(E532&lt;0,-999999999,B532*(PRICE_TOM-FERT_TOM)+C532*(PRICE_CAR-FERT_CAR)+F532*(PRICE_MES-FERT_MES)-(FARMER_SALARY+A532*TEMP_COST)-FIXED_COSTS)</f>
        <v>-11850</v>
      </c>
    </row>
    <row r="533">
      <c r="A533" s="5" t="n">
        <v>1</v>
      </c>
      <c r="B533" s="5" t="n">
        <v>3</v>
      </c>
      <c r="C533" s="5" t="n">
        <v>16</v>
      </c>
      <c r="D533" s="18">
        <f>SEASON_HRS_TOM*B533*(1+DIM_TOM)^B533+SEASON_HRS_CAR*C533*(1+DIM_CAR)^C533</f>
        <v>1071.93269791707</v>
      </c>
      <c r="E533" s="18">
        <f>(FARMER_FIELD_HRS+A533*TEMP_HRS)-D533</f>
        <v>1088.06730208293</v>
      </c>
      <c r="F533" s="21">
        <f>IF(E533&lt;0,0,MIN(COUNTIF(Labor!$C$59:$C$88,"&lt;="&amp;E533),MAXBED_MES,TOTAL_BEDS-B533-C533))</f>
        <v>19</v>
      </c>
      <c r="G533" s="21">
        <f>B533+C533+F533</f>
        <v>38</v>
      </c>
      <c r="H533" s="22">
        <f>IF(E533&lt;0,-999999999,B533*(PRICE_TOM-FERT_TOM)+C533*(PRICE_CAR-FERT_CAR)+F533*(PRICE_MES-FERT_MES)-(FARMER_SALARY+A533*TEMP_COST)-FIXED_COSTS)</f>
        <v>-10196</v>
      </c>
    </row>
    <row r="534">
      <c r="A534" s="5" t="n">
        <v>1</v>
      </c>
      <c r="B534" s="5" t="n">
        <v>3</v>
      </c>
      <c r="C534" s="5" t="n">
        <v>17</v>
      </c>
      <c r="D534" s="18">
        <f>SEASON_HRS_TOM*B534*(1+DIM_TOM)^B534+SEASON_HRS_CAR*C534*(1+DIM_CAR)^C534</f>
        <v>1135.395313200309</v>
      </c>
      <c r="E534" s="18">
        <f>(FARMER_FIELD_HRS+A534*TEMP_HRS)-D534</f>
        <v>1024.604686799691</v>
      </c>
      <c r="F534" s="21">
        <f>IF(E534&lt;0,0,MIN(COUNTIF(Labor!$C$59:$C$88,"&lt;="&amp;E534),MAXBED_MES,TOTAL_BEDS-B534-C534))</f>
        <v>18</v>
      </c>
      <c r="G534" s="21">
        <f>B534+C534+F534</f>
        <v>38</v>
      </c>
      <c r="H534" s="22">
        <f>IF(E534&lt;0,-999999999,B534*(PRICE_TOM-FERT_TOM)+C534*(PRICE_CAR-FERT_CAR)+F534*(PRICE_MES-FERT_MES)-(FARMER_SALARY+A534*TEMP_COST)-FIXED_COSTS)</f>
        <v>-10362</v>
      </c>
    </row>
    <row r="535">
      <c r="A535" s="5" t="n">
        <v>1</v>
      </c>
      <c r="B535" s="5" t="n">
        <v>3</v>
      </c>
      <c r="C535" s="5" t="n">
        <v>18</v>
      </c>
      <c r="D535" s="18">
        <f>SEASON_HRS_TOM*B535*(1+DIM_TOM)^B535+SEASON_HRS_CAR*C535*(1+DIM_CAR)^C535</f>
        <v>1201.5857075615118</v>
      </c>
      <c r="E535" s="18">
        <f>(FARMER_FIELD_HRS+A535*TEMP_HRS)-D535</f>
        <v>958.4142924384882</v>
      </c>
      <c r="F535" s="21">
        <f>IF(E535&lt;0,0,MIN(COUNTIF(Labor!$C$59:$C$88,"&lt;="&amp;E535),MAXBED_MES,TOTAL_BEDS-B535-C535))</f>
        <v>17</v>
      </c>
      <c r="G535" s="21">
        <f>B535+C535+F535</f>
        <v>38</v>
      </c>
      <c r="H535" s="22">
        <f>IF(E535&lt;0,-999999999,B535*(PRICE_TOM-FERT_TOM)+C535*(PRICE_CAR-FERT_CAR)+F535*(PRICE_MES-FERT_MES)-(FARMER_SALARY+A535*TEMP_COST)-FIXED_COSTS)</f>
        <v>-10528</v>
      </c>
    </row>
    <row r="536">
      <c r="A536" s="5" t="n">
        <v>1</v>
      </c>
      <c r="B536" s="5" t="n">
        <v>3</v>
      </c>
      <c r="C536" s="5" t="n">
        <v>19</v>
      </c>
      <c r="D536" s="18">
        <f>SEASON_HRS_TOM*B536*(1+DIM_TOM)^B536+SEASON_HRS_CAR*C536*(1+DIM_CAR)^C536</f>
        <v>1270.6006058200242</v>
      </c>
      <c r="E536" s="18">
        <f>(FARMER_FIELD_HRS+A536*TEMP_HRS)-D536</f>
        <v>889.3993941799758</v>
      </c>
      <c r="F536" s="21">
        <f>IF(E536&lt;0,0,MIN(COUNTIF(Labor!$C$59:$C$88,"&lt;="&amp;E536),MAXBED_MES,TOTAL_BEDS-B536-C536))</f>
        <v>16</v>
      </c>
      <c r="G536" s="21">
        <f>B536+C536+F536</f>
        <v>38</v>
      </c>
      <c r="H536" s="22">
        <f>IF(E536&lt;0,-999999999,B536*(PRICE_TOM-FERT_TOM)+C536*(PRICE_CAR-FERT_CAR)+F536*(PRICE_MES-FERT_MES)-(FARMER_SALARY+A536*TEMP_COST)-FIXED_COSTS)</f>
        <v>-10694</v>
      </c>
    </row>
    <row r="537">
      <c r="A537" s="5" t="n">
        <v>1</v>
      </c>
      <c r="B537" s="5" t="n">
        <v>3</v>
      </c>
      <c r="C537" s="5" t="n">
        <v>20</v>
      </c>
      <c r="D537" s="18">
        <f>SEASON_HRS_TOM*B537*(1+DIM_TOM)^B537+SEASON_HRS_CAR*C537*(1+DIM_CAR)^C537</f>
        <v>1342.5398641742368</v>
      </c>
      <c r="E537" s="18">
        <f>(FARMER_FIELD_HRS+A537*TEMP_HRS)-D537</f>
        <v>817.4601358257632</v>
      </c>
      <c r="F537" s="21">
        <f>IF(E537&lt;0,0,MIN(COUNTIF(Labor!$C$59:$C$88,"&lt;="&amp;E537),MAXBED_MES,TOTAL_BEDS-B537-C537))</f>
        <v>15</v>
      </c>
      <c r="G537" s="21">
        <f>B537+C537+F537</f>
        <v>38</v>
      </c>
      <c r="H537" s="22">
        <f>IF(E537&lt;0,-999999999,B537*(PRICE_TOM-FERT_TOM)+C537*(PRICE_CAR-FERT_CAR)+F537*(PRICE_MES-FERT_MES)-(FARMER_SALARY+A537*TEMP_COST)-FIXED_COSTS)</f>
        <v>-10860</v>
      </c>
    </row>
    <row r="538">
      <c r="A538" s="5" t="n">
        <v>1</v>
      </c>
      <c r="B538" s="5" t="n">
        <v>4</v>
      </c>
      <c r="C538" s="5" t="n">
        <v>0</v>
      </c>
      <c r="D538" s="18">
        <f>SEASON_HRS_TOM*B538*(1+DIM_TOM)^B538+SEASON_HRS_CAR*C538*(1+DIM_CAR)^C538</f>
        <v>527.0760000000001</v>
      </c>
      <c r="E538" s="18">
        <f>(FARMER_FIELD_HRS+A538*TEMP_HRS)-D538</f>
        <v>1632.924</v>
      </c>
      <c r="F538" s="21">
        <f>IF(E538&lt;0,0,MIN(COUNTIF(Labor!$C$59:$C$88,"&lt;="&amp;E538),MAXBED_MES,TOTAL_BEDS-B538-C538))</f>
        <v>26</v>
      </c>
      <c r="G538" s="21">
        <f>B538+C538+F538</f>
        <v>30</v>
      </c>
      <c r="H538" s="22">
        <f>IF(E538&lt;0,-999999999,B538*(PRICE_TOM-FERT_TOM)+C538*(PRICE_CAR-FERT_CAR)+F538*(PRICE_MES-FERT_MES)-(FARMER_SALARY+A538*TEMP_COST)-FIXED_COSTS)</f>
        <v>-16000</v>
      </c>
    </row>
    <row r="539">
      <c r="A539" s="5" t="n">
        <v>1</v>
      </c>
      <c r="B539" s="5" t="n">
        <v>4</v>
      </c>
      <c r="C539" s="5" t="n">
        <v>1</v>
      </c>
      <c r="D539" s="18">
        <f>SEASON_HRS_TOM*B539*(1+DIM_TOM)^B539+SEASON_HRS_CAR*C539*(1+DIM_CAR)^C539</f>
        <v>557.8260000000001</v>
      </c>
      <c r="E539" s="18">
        <f>(FARMER_FIELD_HRS+A539*TEMP_HRS)-D539</f>
        <v>1602.174</v>
      </c>
      <c r="F539" s="21">
        <f>IF(E539&lt;0,0,MIN(COUNTIF(Labor!$C$59:$C$88,"&lt;="&amp;E539),MAXBED_MES,TOTAL_BEDS-B539-C539))</f>
        <v>25</v>
      </c>
      <c r="G539" s="21">
        <f>B539+C539+F539</f>
        <v>30</v>
      </c>
      <c r="H539" s="22">
        <f>IF(E539&lt;0,-999999999,B539*(PRICE_TOM-FERT_TOM)+C539*(PRICE_CAR-FERT_CAR)+F539*(PRICE_MES-FERT_MES)-(FARMER_SALARY+A539*TEMP_COST)-FIXED_COSTS)</f>
        <v>-16166</v>
      </c>
    </row>
    <row r="540">
      <c r="A540" s="5" t="n">
        <v>1</v>
      </c>
      <c r="B540" s="5" t="n">
        <v>4</v>
      </c>
      <c r="C540" s="5" t="n">
        <v>2</v>
      </c>
      <c r="D540" s="18">
        <f>SEASON_HRS_TOM*B540*(1+DIM_TOM)^B540+SEASON_HRS_CAR*C540*(1+DIM_CAR)^C540</f>
        <v>590.1135000000002</v>
      </c>
      <c r="E540" s="18">
        <f>(FARMER_FIELD_HRS+A540*TEMP_HRS)-D540</f>
        <v>1569.8864999999998</v>
      </c>
      <c r="F540" s="21">
        <f>IF(E540&lt;0,0,MIN(COUNTIF(Labor!$C$59:$C$88,"&lt;="&amp;E540),MAXBED_MES,TOTAL_BEDS-B540-C540))</f>
        <v>25</v>
      </c>
      <c r="G540" s="21">
        <f>B540+C540+F540</f>
        <v>31</v>
      </c>
      <c r="H540" s="22">
        <f>IF(E540&lt;0,-999999999,B540*(PRICE_TOM-FERT_TOM)+C540*(PRICE_CAR-FERT_CAR)+F540*(PRICE_MES-FERT_MES)-(FARMER_SALARY+A540*TEMP_COST)-FIXED_COSTS)</f>
        <v>-14512</v>
      </c>
    </row>
    <row r="541">
      <c r="A541" s="5" t="n">
        <v>1</v>
      </c>
      <c r="B541" s="5" t="n">
        <v>4</v>
      </c>
      <c r="C541" s="5" t="n">
        <v>3</v>
      </c>
      <c r="D541" s="18">
        <f>SEASON_HRS_TOM*B541*(1+DIM_TOM)^B541+SEASON_HRS_CAR*C541*(1+DIM_CAR)^C541</f>
        <v>623.9961562500001</v>
      </c>
      <c r="E541" s="18">
        <f>(FARMER_FIELD_HRS+A541*TEMP_HRS)-D541</f>
        <v>1536.0038437499998</v>
      </c>
      <c r="F541" s="21">
        <f>IF(E541&lt;0,0,MIN(COUNTIF(Labor!$C$59:$C$88,"&lt;="&amp;E541),MAXBED_MES,TOTAL_BEDS-B541-C541))</f>
        <v>25</v>
      </c>
      <c r="G541" s="21">
        <f>B541+C541+F541</f>
        <v>32</v>
      </c>
      <c r="H541" s="22">
        <f>IF(E541&lt;0,-999999999,B541*(PRICE_TOM-FERT_TOM)+C541*(PRICE_CAR-FERT_CAR)+F541*(PRICE_MES-FERT_MES)-(FARMER_SALARY+A541*TEMP_COST)-FIXED_COSTS)</f>
        <v>-12858</v>
      </c>
    </row>
    <row r="542">
      <c r="A542" s="5" t="n">
        <v>1</v>
      </c>
      <c r="B542" s="5" t="n">
        <v>4</v>
      </c>
      <c r="C542" s="5" t="n">
        <v>4</v>
      </c>
      <c r="D542" s="18">
        <f>SEASON_HRS_TOM*B542*(1+DIM_TOM)^B542+SEASON_HRS_CAR*C542*(1+DIM_CAR)^C542</f>
        <v>659.5335468750001</v>
      </c>
      <c r="E542" s="18">
        <f>(FARMER_FIELD_HRS+A542*TEMP_HRS)-D542</f>
        <v>1500.466453125</v>
      </c>
      <c r="F542" s="21">
        <f>IF(E542&lt;0,0,MIN(COUNTIF(Labor!$C$59:$C$88,"&lt;="&amp;E542),MAXBED_MES,TOTAL_BEDS-B542-C542))</f>
        <v>24</v>
      </c>
      <c r="G542" s="21">
        <f>B542+C542+F542</f>
        <v>32</v>
      </c>
      <c r="H542" s="22">
        <f>IF(E542&lt;0,-999999999,B542*(PRICE_TOM-FERT_TOM)+C542*(PRICE_CAR-FERT_CAR)+F542*(PRICE_MES-FERT_MES)-(FARMER_SALARY+A542*TEMP_COST)-FIXED_COSTS)</f>
        <v>-13024</v>
      </c>
    </row>
    <row r="543">
      <c r="A543" s="5" t="n">
        <v>1</v>
      </c>
      <c r="B543" s="5" t="n">
        <v>4</v>
      </c>
      <c r="C543" s="5" t="n">
        <v>5</v>
      </c>
      <c r="D543" s="18">
        <f>SEASON_HRS_TOM*B543*(1+DIM_TOM)^B543+SEASON_HRS_CAR*C543*(1+DIM_CAR)^C543</f>
        <v>696.7872319335938</v>
      </c>
      <c r="E543" s="18">
        <f>(FARMER_FIELD_HRS+A543*TEMP_HRS)-D543</f>
        <v>1463.2127680664062</v>
      </c>
      <c r="F543" s="21">
        <f>IF(E543&lt;0,0,MIN(COUNTIF(Labor!$C$59:$C$88,"&lt;="&amp;E543),MAXBED_MES,TOTAL_BEDS-B543-C543))</f>
        <v>24</v>
      </c>
      <c r="G543" s="21">
        <f>B543+C543+F543</f>
        <v>33</v>
      </c>
      <c r="H543" s="22">
        <f>IF(E543&lt;0,-999999999,B543*(PRICE_TOM-FERT_TOM)+C543*(PRICE_CAR-FERT_CAR)+F543*(PRICE_MES-FERT_MES)-(FARMER_SALARY+A543*TEMP_COST)-FIXED_COSTS)</f>
        <v>-11370</v>
      </c>
    </row>
    <row r="544">
      <c r="A544" s="5" t="n">
        <v>1</v>
      </c>
      <c r="B544" s="5" t="n">
        <v>4</v>
      </c>
      <c r="C544" s="5" t="n">
        <v>6</v>
      </c>
      <c r="D544" s="18">
        <f>SEASON_HRS_TOM*B544*(1+DIM_TOM)^B544+SEASON_HRS_CAR*C544*(1+DIM_CAR)^C544</f>
        <v>735.8208152783203</v>
      </c>
      <c r="E544" s="18">
        <f>(FARMER_FIELD_HRS+A544*TEMP_HRS)-D544</f>
        <v>1424.1791847216796</v>
      </c>
      <c r="F544" s="21">
        <f>IF(E544&lt;0,0,MIN(COUNTIF(Labor!$C$59:$C$88,"&lt;="&amp;E544),MAXBED_MES,TOTAL_BEDS-B544-C544))</f>
        <v>23</v>
      </c>
      <c r="G544" s="21">
        <f>B544+C544+F544</f>
        <v>33</v>
      </c>
      <c r="H544" s="22">
        <f>IF(E544&lt;0,-999999999,B544*(PRICE_TOM-FERT_TOM)+C544*(PRICE_CAR-FERT_CAR)+F544*(PRICE_MES-FERT_MES)-(FARMER_SALARY+A544*TEMP_COST)-FIXED_COSTS)</f>
        <v>-11536</v>
      </c>
    </row>
    <row r="545">
      <c r="A545" s="5" t="n">
        <v>1</v>
      </c>
      <c r="B545" s="5" t="n">
        <v>4</v>
      </c>
      <c r="C545" s="5" t="n">
        <v>7</v>
      </c>
      <c r="D545" s="18">
        <f>SEASON_HRS_TOM*B545*(1+DIM_TOM)^B545+SEASON_HRS_CAR*C545*(1+DIM_CAR)^C545</f>
        <v>776.7000082703247</v>
      </c>
      <c r="E545" s="18">
        <f>(FARMER_FIELD_HRS+A545*TEMP_HRS)-D545</f>
        <v>1383.2999917296752</v>
      </c>
      <c r="F545" s="21">
        <f>IF(E545&lt;0,0,MIN(COUNTIF(Labor!$C$59:$C$88,"&lt;="&amp;E545),MAXBED_MES,TOTAL_BEDS-B545-C545))</f>
        <v>23</v>
      </c>
      <c r="G545" s="21">
        <f>B545+C545+F545</f>
        <v>34</v>
      </c>
      <c r="H545" s="22">
        <f>IF(E545&lt;0,-999999999,B545*(PRICE_TOM-FERT_TOM)+C545*(PRICE_CAR-FERT_CAR)+F545*(PRICE_MES-FERT_MES)-(FARMER_SALARY+A545*TEMP_COST)-FIXED_COSTS)</f>
        <v>-9882</v>
      </c>
    </row>
    <row r="546">
      <c r="A546" s="5" t="n">
        <v>1</v>
      </c>
      <c r="B546" s="5" t="n">
        <v>4</v>
      </c>
      <c r="C546" s="5" t="n">
        <v>8</v>
      </c>
      <c r="D546" s="18">
        <f>SEASON_HRS_TOM*B546*(1+DIM_TOM)^B546+SEASON_HRS_CAR*C546*(1+DIM_CAR)^C546</f>
        <v>819.4926954023803</v>
      </c>
      <c r="E546" s="18">
        <f>(FARMER_FIELD_HRS+A546*TEMP_HRS)-D546</f>
        <v>1340.5073045976196</v>
      </c>
      <c r="F546" s="21">
        <f>IF(E546&lt;0,0,MIN(COUNTIF(Labor!$C$59:$C$88,"&lt;="&amp;E546),MAXBED_MES,TOTAL_BEDS-B546-C546))</f>
        <v>22</v>
      </c>
      <c r="G546" s="21">
        <f>B546+C546+F546</f>
        <v>34</v>
      </c>
      <c r="H546" s="22">
        <f>IF(E546&lt;0,-999999999,B546*(PRICE_TOM-FERT_TOM)+C546*(PRICE_CAR-FERT_CAR)+F546*(PRICE_MES-FERT_MES)-(FARMER_SALARY+A546*TEMP_COST)-FIXED_COSTS)</f>
        <v>-10048</v>
      </c>
    </row>
    <row r="547">
      <c r="A547" s="5" t="n">
        <v>1</v>
      </c>
      <c r="B547" s="5" t="n">
        <v>4</v>
      </c>
      <c r="C547" s="5" t="n">
        <v>9</v>
      </c>
      <c r="D547" s="18">
        <f>SEASON_HRS_TOM*B547*(1+DIM_TOM)^B547+SEASON_HRS_CAR*C547*(1+DIM_CAR)^C547</f>
        <v>864.2690018858698</v>
      </c>
      <c r="E547" s="18">
        <f>(FARMER_FIELD_HRS+A547*TEMP_HRS)-D547</f>
        <v>1295.7309981141302</v>
      </c>
      <c r="F547" s="21">
        <f>IF(E547&lt;0,0,MIN(COUNTIF(Labor!$C$59:$C$88,"&lt;="&amp;E547),MAXBED_MES,TOTAL_BEDS-B547-C547))</f>
        <v>21</v>
      </c>
      <c r="G547" s="21">
        <f>B547+C547+F547</f>
        <v>34</v>
      </c>
      <c r="H547" s="22">
        <f>IF(E547&lt;0,-999999999,B547*(PRICE_TOM-FERT_TOM)+C547*(PRICE_CAR-FERT_CAR)+F547*(PRICE_MES-FERT_MES)-(FARMER_SALARY+A547*TEMP_COST)-FIXED_COSTS)</f>
        <v>-10214</v>
      </c>
    </row>
    <row r="548">
      <c r="A548" s="5" t="n">
        <v>1</v>
      </c>
      <c r="B548" s="5" t="n">
        <v>4</v>
      </c>
      <c r="C548" s="5" t="n">
        <v>10</v>
      </c>
      <c r="D548" s="18">
        <f>SEASON_HRS_TOM*B548*(1+DIM_TOM)^B548+SEASON_HRS_CAR*C548*(1+DIM_CAR)^C548</f>
        <v>911.1013632589072</v>
      </c>
      <c r="E548" s="18">
        <f>(FARMER_FIELD_HRS+A548*TEMP_HRS)-D548</f>
        <v>1248.8986367410928</v>
      </c>
      <c r="F548" s="21">
        <f>IF(E548&lt;0,0,MIN(COUNTIF(Labor!$C$59:$C$88,"&lt;="&amp;E548),MAXBED_MES,TOTAL_BEDS-B548-C548))</f>
        <v>21</v>
      </c>
      <c r="G548" s="21">
        <f>B548+C548+F548</f>
        <v>35</v>
      </c>
      <c r="H548" s="22">
        <f>IF(E548&lt;0,-999999999,B548*(PRICE_TOM-FERT_TOM)+C548*(PRICE_CAR-FERT_CAR)+F548*(PRICE_MES-FERT_MES)-(FARMER_SALARY+A548*TEMP_COST)-FIXED_COSTS)</f>
        <v>-8560</v>
      </c>
    </row>
    <row r="549">
      <c r="A549" s="5" t="n">
        <v>1</v>
      </c>
      <c r="B549" s="5" t="n">
        <v>4</v>
      </c>
      <c r="C549" s="5" t="n">
        <v>11</v>
      </c>
      <c r="D549" s="18">
        <f>SEASON_HRS_TOM*B549*(1+DIM_TOM)^B549+SEASON_HRS_CAR*C549*(1+DIM_CAR)^C549</f>
        <v>960.0645970744177</v>
      </c>
      <c r="E549" s="18">
        <f>(FARMER_FIELD_HRS+A549*TEMP_HRS)-D549</f>
        <v>1199.9354029255824</v>
      </c>
      <c r="F549" s="21">
        <f>IF(E549&lt;0,0,MIN(COUNTIF(Labor!$C$59:$C$88,"&lt;="&amp;E549),MAXBED_MES,TOTAL_BEDS-B549-C549))</f>
        <v>20</v>
      </c>
      <c r="G549" s="21">
        <f>B549+C549+F549</f>
        <v>35</v>
      </c>
      <c r="H549" s="22">
        <f>IF(E549&lt;0,-999999999,B549*(PRICE_TOM-FERT_TOM)+C549*(PRICE_CAR-FERT_CAR)+F549*(PRICE_MES-FERT_MES)-(FARMER_SALARY+A549*TEMP_COST)-FIXED_COSTS)</f>
        <v>-8726</v>
      </c>
    </row>
    <row r="550">
      <c r="A550" s="5" t="n">
        <v>1</v>
      </c>
      <c r="B550" s="5" t="n">
        <v>4</v>
      </c>
      <c r="C550" s="5" t="n">
        <v>12</v>
      </c>
      <c r="D550" s="18">
        <f>SEASON_HRS_TOM*B550*(1+DIM_TOM)^B550+SEASON_HRS_CAR*C550*(1+DIM_CAR)^C550</f>
        <v>1011.2359767286671</v>
      </c>
      <c r="E550" s="18">
        <f>(FARMER_FIELD_HRS+A550*TEMP_HRS)-D550</f>
        <v>1148.764023271333</v>
      </c>
      <c r="F550" s="21">
        <f>IF(E550&lt;0,0,MIN(COUNTIF(Labor!$C$59:$C$88,"&lt;="&amp;E550),MAXBED_MES,TOTAL_BEDS-B550-C550))</f>
        <v>19</v>
      </c>
      <c r="G550" s="21">
        <f>B550+C550+F550</f>
        <v>35</v>
      </c>
      <c r="H550" s="22">
        <f>IF(E550&lt;0,-999999999,B550*(PRICE_TOM-FERT_TOM)+C550*(PRICE_CAR-FERT_CAR)+F550*(PRICE_MES-FERT_MES)-(FARMER_SALARY+A550*TEMP_COST)-FIXED_COSTS)</f>
        <v>-8892</v>
      </c>
    </row>
    <row r="551">
      <c r="A551" s="5" t="n">
        <v>1</v>
      </c>
      <c r="B551" s="5" t="n">
        <v>4</v>
      </c>
      <c r="C551" s="5" t="n">
        <v>13</v>
      </c>
      <c r="D551" s="18">
        <f>SEASON_HRS_TOM*B551*(1+DIM_TOM)^B551+SEASON_HRS_CAR*C551*(1+DIM_CAR)^C551</f>
        <v>1064.6953074924572</v>
      </c>
      <c r="E551" s="18">
        <f>(FARMER_FIELD_HRS+A551*TEMP_HRS)-D551</f>
        <v>1095.3046925075428</v>
      </c>
      <c r="F551" s="21">
        <f>IF(E551&lt;0,0,MIN(COUNTIF(Labor!$C$59:$C$88,"&lt;="&amp;E551),MAXBED_MES,TOTAL_BEDS-B551-C551))</f>
        <v>19</v>
      </c>
      <c r="G551" s="21">
        <f>B551+C551+F551</f>
        <v>36</v>
      </c>
      <c r="H551" s="22">
        <f>IF(E551&lt;0,-999999999,B551*(PRICE_TOM-FERT_TOM)+C551*(PRICE_CAR-FERT_CAR)+F551*(PRICE_MES-FERT_MES)-(FARMER_SALARY+A551*TEMP_COST)-FIXED_COSTS)</f>
        <v>-7238</v>
      </c>
    </row>
    <row r="552">
      <c r="A552" s="5" t="n">
        <v>1</v>
      </c>
      <c r="B552" s="5" t="n">
        <v>4</v>
      </c>
      <c r="C552" s="5" t="n">
        <v>14</v>
      </c>
      <c r="D552" s="18">
        <f>SEASON_HRS_TOM*B552*(1+DIM_TOM)^B552+SEASON_HRS_CAR*C552*(1+DIM_CAR)^C552</f>
        <v>1120.5250048089817</v>
      </c>
      <c r="E552" s="18">
        <f>(FARMER_FIELD_HRS+A552*TEMP_HRS)-D552</f>
        <v>1039.4749951910183</v>
      </c>
      <c r="F552" s="21">
        <f>IF(E552&lt;0,0,MIN(COUNTIF(Labor!$C$59:$C$88,"&lt;="&amp;E552),MAXBED_MES,TOTAL_BEDS-B552-C552))</f>
        <v>18</v>
      </c>
      <c r="G552" s="21">
        <f>B552+C552+F552</f>
        <v>36</v>
      </c>
      <c r="H552" s="22">
        <f>IF(E552&lt;0,-999999999,B552*(PRICE_TOM-FERT_TOM)+C552*(PRICE_CAR-FERT_CAR)+F552*(PRICE_MES-FERT_MES)-(FARMER_SALARY+A552*TEMP_COST)-FIXED_COSTS)</f>
        <v>-7404</v>
      </c>
    </row>
    <row r="553">
      <c r="A553" s="5" t="n">
        <v>1</v>
      </c>
      <c r="B553" s="5" t="n">
        <v>4</v>
      </c>
      <c r="C553" s="5" t="n">
        <v>15</v>
      </c>
      <c r="D553" s="18">
        <f>SEASON_HRS_TOM*B553*(1+DIM_TOM)^B553+SEASON_HRS_CAR*C553*(1+DIM_CAR)^C553</f>
        <v>1178.8101749241496</v>
      </c>
      <c r="E553" s="18">
        <f>(FARMER_FIELD_HRS+A553*TEMP_HRS)-D553</f>
        <v>981.1898250758504</v>
      </c>
      <c r="F553" s="21">
        <f>IF(E553&lt;0,0,MIN(COUNTIF(Labor!$C$59:$C$88,"&lt;="&amp;E553),MAXBED_MES,TOTAL_BEDS-B553-C553))</f>
        <v>17</v>
      </c>
      <c r="G553" s="21">
        <f>B553+C553+F553</f>
        <v>36</v>
      </c>
      <c r="H553" s="22">
        <f>IF(E553&lt;0,-999999999,B553*(PRICE_TOM-FERT_TOM)+C553*(PRICE_CAR-FERT_CAR)+F553*(PRICE_MES-FERT_MES)-(FARMER_SALARY+A553*TEMP_COST)-FIXED_COSTS)</f>
        <v>-7570</v>
      </c>
    </row>
    <row r="554">
      <c r="A554" s="5" t="n">
        <v>1</v>
      </c>
      <c r="B554" s="5" t="n">
        <v>4</v>
      </c>
      <c r="C554" s="5" t="n">
        <v>16</v>
      </c>
      <c r="D554" s="18">
        <f>SEASON_HRS_TOM*B554*(1+DIM_TOM)^B554+SEASON_HRS_CAR*C554*(1+DIM_CAR)^C554</f>
        <v>1239.63869791707</v>
      </c>
      <c r="E554" s="18">
        <f>(FARMER_FIELD_HRS+A554*TEMP_HRS)-D554</f>
        <v>920.36130208293</v>
      </c>
      <c r="F554" s="21">
        <f>IF(E554&lt;0,0,MIN(COUNTIF(Labor!$C$59:$C$88,"&lt;="&amp;E554),MAXBED_MES,TOTAL_BEDS-B554-C554))</f>
        <v>16</v>
      </c>
      <c r="G554" s="21">
        <f>B554+C554+F554</f>
        <v>36</v>
      </c>
      <c r="H554" s="22">
        <f>IF(E554&lt;0,-999999999,B554*(PRICE_TOM-FERT_TOM)+C554*(PRICE_CAR-FERT_CAR)+F554*(PRICE_MES-FERT_MES)-(FARMER_SALARY+A554*TEMP_COST)-FIXED_COSTS)</f>
        <v>-7736</v>
      </c>
    </row>
    <row r="555">
      <c r="A555" s="5" t="n">
        <v>1</v>
      </c>
      <c r="B555" s="5" t="n">
        <v>4</v>
      </c>
      <c r="C555" s="5" t="n">
        <v>17</v>
      </c>
      <c r="D555" s="18">
        <f>SEASON_HRS_TOM*B555*(1+DIM_TOM)^B555+SEASON_HRS_CAR*C555*(1+DIM_CAR)^C555</f>
        <v>1303.101313200309</v>
      </c>
      <c r="E555" s="18">
        <f>(FARMER_FIELD_HRS+A555*TEMP_HRS)-D555</f>
        <v>856.898686799691</v>
      </c>
      <c r="F555" s="21">
        <f>IF(E555&lt;0,0,MIN(COUNTIF(Labor!$C$59:$C$88,"&lt;="&amp;E555),MAXBED_MES,TOTAL_BEDS-B555-C555))</f>
        <v>15</v>
      </c>
      <c r="G555" s="21">
        <f>B555+C555+F555</f>
        <v>36</v>
      </c>
      <c r="H555" s="22">
        <f>IF(E555&lt;0,-999999999,B555*(PRICE_TOM-FERT_TOM)+C555*(PRICE_CAR-FERT_CAR)+F555*(PRICE_MES-FERT_MES)-(FARMER_SALARY+A555*TEMP_COST)-FIXED_COSTS)</f>
        <v>-7902</v>
      </c>
    </row>
    <row r="556">
      <c r="A556" s="5" t="n">
        <v>1</v>
      </c>
      <c r="B556" s="5" t="n">
        <v>4</v>
      </c>
      <c r="C556" s="5" t="n">
        <v>18</v>
      </c>
      <c r="D556" s="18">
        <f>SEASON_HRS_TOM*B556*(1+DIM_TOM)^B556+SEASON_HRS_CAR*C556*(1+DIM_CAR)^C556</f>
        <v>1369.2917075615117</v>
      </c>
      <c r="E556" s="18">
        <f>(FARMER_FIELD_HRS+A556*TEMP_HRS)-D556</f>
        <v>790.7082924384883</v>
      </c>
      <c r="F556" s="21">
        <f>IF(E556&lt;0,0,MIN(COUNTIF(Labor!$C$59:$C$88,"&lt;="&amp;E556),MAXBED_MES,TOTAL_BEDS-B556-C556))</f>
        <v>14</v>
      </c>
      <c r="G556" s="21">
        <f>B556+C556+F556</f>
        <v>36</v>
      </c>
      <c r="H556" s="22">
        <f>IF(E556&lt;0,-999999999,B556*(PRICE_TOM-FERT_TOM)+C556*(PRICE_CAR-FERT_CAR)+F556*(PRICE_MES-FERT_MES)-(FARMER_SALARY+A556*TEMP_COST)-FIXED_COSTS)</f>
        <v>-8068</v>
      </c>
    </row>
    <row r="557">
      <c r="A557" s="5" t="n">
        <v>1</v>
      </c>
      <c r="B557" s="5" t="n">
        <v>4</v>
      </c>
      <c r="C557" s="5" t="n">
        <v>19</v>
      </c>
      <c r="D557" s="18">
        <f>SEASON_HRS_TOM*B557*(1+DIM_TOM)^B557+SEASON_HRS_CAR*C557*(1+DIM_CAR)^C557</f>
        <v>1438.3066058200243</v>
      </c>
      <c r="E557" s="18">
        <f>(FARMER_FIELD_HRS+A557*TEMP_HRS)-D557</f>
        <v>721.6933941799757</v>
      </c>
      <c r="F557" s="21">
        <f>IF(E557&lt;0,0,MIN(COUNTIF(Labor!$C$59:$C$88,"&lt;="&amp;E557),MAXBED_MES,TOTAL_BEDS-B557-C557))</f>
        <v>13</v>
      </c>
      <c r="G557" s="21">
        <f>B557+C557+F557</f>
        <v>36</v>
      </c>
      <c r="H557" s="22">
        <f>IF(E557&lt;0,-999999999,B557*(PRICE_TOM-FERT_TOM)+C557*(PRICE_CAR-FERT_CAR)+F557*(PRICE_MES-FERT_MES)-(FARMER_SALARY+A557*TEMP_COST)-FIXED_COSTS)</f>
        <v>-8234</v>
      </c>
    </row>
    <row r="558">
      <c r="A558" s="5" t="n">
        <v>1</v>
      </c>
      <c r="B558" s="5" t="n">
        <v>4</v>
      </c>
      <c r="C558" s="5" t="n">
        <v>20</v>
      </c>
      <c r="D558" s="18">
        <f>SEASON_HRS_TOM*B558*(1+DIM_TOM)^B558+SEASON_HRS_CAR*C558*(1+DIM_CAR)^C558</f>
        <v>1510.2458641742367</v>
      </c>
      <c r="E558" s="18">
        <f>(FARMER_FIELD_HRS+A558*TEMP_HRS)-D558</f>
        <v>649.7541358257633</v>
      </c>
      <c r="F558" s="21">
        <f>IF(E558&lt;0,0,MIN(COUNTIF(Labor!$C$59:$C$88,"&lt;="&amp;E558),MAXBED_MES,TOTAL_BEDS-B558-C558))</f>
        <v>12</v>
      </c>
      <c r="G558" s="21">
        <f>B558+C558+F558</f>
        <v>36</v>
      </c>
      <c r="H558" s="22">
        <f>IF(E558&lt;0,-999999999,B558*(PRICE_TOM-FERT_TOM)+C558*(PRICE_CAR-FERT_CAR)+F558*(PRICE_MES-FERT_MES)-(FARMER_SALARY+A558*TEMP_COST)-FIXED_COSTS)</f>
        <v>-8400</v>
      </c>
    </row>
    <row r="559">
      <c r="A559" s="5" t="n">
        <v>1</v>
      </c>
      <c r="B559" s="5" t="n">
        <v>5</v>
      </c>
      <c r="C559" s="5" t="n">
        <v>0</v>
      </c>
      <c r="D559" s="18">
        <f>SEASON_HRS_TOM*B559*(1+DIM_TOM)^B559+SEASON_HRS_CAR*C559*(1+DIM_CAR)^C559</f>
        <v>724.7295000000003</v>
      </c>
      <c r="E559" s="18">
        <f>(FARMER_FIELD_HRS+A559*TEMP_HRS)-D559</f>
        <v>1435.2704999999996</v>
      </c>
      <c r="F559" s="21">
        <f>IF(E559&lt;0,0,MIN(COUNTIF(Labor!$C$59:$C$88,"&lt;="&amp;E559),MAXBED_MES,TOTAL_BEDS-B559-C559))</f>
        <v>23</v>
      </c>
      <c r="G559" s="21">
        <f>B559+C559+F559</f>
        <v>28</v>
      </c>
      <c r="H559" s="22">
        <f>IF(E559&lt;0,-999999999,B559*(PRICE_TOM-FERT_TOM)+C559*(PRICE_CAR-FERT_CAR)+F559*(PRICE_MES-FERT_MES)-(FARMER_SALARY+A559*TEMP_COST)-FIXED_COSTS)</f>
        <v>-13540</v>
      </c>
    </row>
    <row r="560">
      <c r="A560" s="5" t="n">
        <v>1</v>
      </c>
      <c r="B560" s="5" t="n">
        <v>5</v>
      </c>
      <c r="C560" s="5" t="n">
        <v>1</v>
      </c>
      <c r="D560" s="18">
        <f>SEASON_HRS_TOM*B560*(1+DIM_TOM)^B560+SEASON_HRS_CAR*C560*(1+DIM_CAR)^C560</f>
        <v>755.4795000000003</v>
      </c>
      <c r="E560" s="18">
        <f>(FARMER_FIELD_HRS+A560*TEMP_HRS)-D560</f>
        <v>1404.5204999999996</v>
      </c>
      <c r="F560" s="21">
        <f>IF(E560&lt;0,0,MIN(COUNTIF(Labor!$C$59:$C$88,"&lt;="&amp;E560),MAXBED_MES,TOTAL_BEDS-B560-C560))</f>
        <v>23</v>
      </c>
      <c r="G560" s="21">
        <f>B560+C560+F560</f>
        <v>29</v>
      </c>
      <c r="H560" s="22">
        <f>IF(E560&lt;0,-999999999,B560*(PRICE_TOM-FERT_TOM)+C560*(PRICE_CAR-FERT_CAR)+F560*(PRICE_MES-FERT_MES)-(FARMER_SALARY+A560*TEMP_COST)-FIXED_COSTS)</f>
        <v>-11886</v>
      </c>
    </row>
    <row r="561">
      <c r="A561" s="5" t="n">
        <v>1</v>
      </c>
      <c r="B561" s="5" t="n">
        <v>5</v>
      </c>
      <c r="C561" s="5" t="n">
        <v>2</v>
      </c>
      <c r="D561" s="18">
        <f>SEASON_HRS_TOM*B561*(1+DIM_TOM)^B561+SEASON_HRS_CAR*C561*(1+DIM_CAR)^C561</f>
        <v>787.7670000000003</v>
      </c>
      <c r="E561" s="18">
        <f>(FARMER_FIELD_HRS+A561*TEMP_HRS)-D561</f>
        <v>1372.2329999999997</v>
      </c>
      <c r="F561" s="21">
        <f>IF(E561&lt;0,0,MIN(COUNTIF(Labor!$C$59:$C$88,"&lt;="&amp;E561),MAXBED_MES,TOTAL_BEDS-B561-C561))</f>
        <v>22</v>
      </c>
      <c r="G561" s="21">
        <f>B561+C561+F561</f>
        <v>29</v>
      </c>
      <c r="H561" s="22">
        <f>IF(E561&lt;0,-999999999,B561*(PRICE_TOM-FERT_TOM)+C561*(PRICE_CAR-FERT_CAR)+F561*(PRICE_MES-FERT_MES)-(FARMER_SALARY+A561*TEMP_COST)-FIXED_COSTS)</f>
        <v>-12052</v>
      </c>
    </row>
    <row r="562">
      <c r="A562" s="5" t="n">
        <v>1</v>
      </c>
      <c r="B562" s="5" t="n">
        <v>5</v>
      </c>
      <c r="C562" s="5" t="n">
        <v>3</v>
      </c>
      <c r="D562" s="18">
        <f>SEASON_HRS_TOM*B562*(1+DIM_TOM)^B562+SEASON_HRS_CAR*C562*(1+DIM_CAR)^C562</f>
        <v>821.6496562500002</v>
      </c>
      <c r="E562" s="18">
        <f>(FARMER_FIELD_HRS+A562*TEMP_HRS)-D562</f>
        <v>1338.3503437499999</v>
      </c>
      <c r="F562" s="21">
        <f>IF(E562&lt;0,0,MIN(COUNTIF(Labor!$C$59:$C$88,"&lt;="&amp;E562),MAXBED_MES,TOTAL_BEDS-B562-C562))</f>
        <v>22</v>
      </c>
      <c r="G562" s="21">
        <f>B562+C562+F562</f>
        <v>30</v>
      </c>
      <c r="H562" s="22">
        <f>IF(E562&lt;0,-999999999,B562*(PRICE_TOM-FERT_TOM)+C562*(PRICE_CAR-FERT_CAR)+F562*(PRICE_MES-FERT_MES)-(FARMER_SALARY+A562*TEMP_COST)-FIXED_COSTS)</f>
        <v>-10398</v>
      </c>
    </row>
    <row r="563">
      <c r="A563" s="5" t="n">
        <v>1</v>
      </c>
      <c r="B563" s="5" t="n">
        <v>5</v>
      </c>
      <c r="C563" s="5" t="n">
        <v>4</v>
      </c>
      <c r="D563" s="18">
        <f>SEASON_HRS_TOM*B563*(1+DIM_TOM)^B563+SEASON_HRS_CAR*C563*(1+DIM_CAR)^C563</f>
        <v>857.1870468750002</v>
      </c>
      <c r="E563" s="18">
        <f>(FARMER_FIELD_HRS+A563*TEMP_HRS)-D563</f>
        <v>1302.8129531249997</v>
      </c>
      <c r="F563" s="21">
        <f>IF(E563&lt;0,0,MIN(COUNTIF(Labor!$C$59:$C$88,"&lt;="&amp;E563),MAXBED_MES,TOTAL_BEDS-B563-C563))</f>
        <v>22</v>
      </c>
      <c r="G563" s="21">
        <f>B563+C563+F563</f>
        <v>31</v>
      </c>
      <c r="H563" s="22">
        <f>IF(E563&lt;0,-999999999,B563*(PRICE_TOM-FERT_TOM)+C563*(PRICE_CAR-FERT_CAR)+F563*(PRICE_MES-FERT_MES)-(FARMER_SALARY+A563*TEMP_COST)-FIXED_COSTS)</f>
        <v>-8744</v>
      </c>
    </row>
    <row r="564">
      <c r="A564" s="5" t="n">
        <v>1</v>
      </c>
      <c r="B564" s="5" t="n">
        <v>5</v>
      </c>
      <c r="C564" s="5" t="n">
        <v>5</v>
      </c>
      <c r="D564" s="18">
        <f>SEASON_HRS_TOM*B564*(1+DIM_TOM)^B564+SEASON_HRS_CAR*C564*(1+DIM_CAR)^C564</f>
        <v>894.440731933594</v>
      </c>
      <c r="E564" s="18">
        <f>(FARMER_FIELD_HRS+A564*TEMP_HRS)-D564</f>
        <v>1265.559268066406</v>
      </c>
      <c r="F564" s="21">
        <f>IF(E564&lt;0,0,MIN(COUNTIF(Labor!$C$59:$C$88,"&lt;="&amp;E564),MAXBED_MES,TOTAL_BEDS-B564-C564))</f>
        <v>21</v>
      </c>
      <c r="G564" s="21">
        <f>B564+C564+F564</f>
        <v>31</v>
      </c>
      <c r="H564" s="22">
        <f>IF(E564&lt;0,-999999999,B564*(PRICE_TOM-FERT_TOM)+C564*(PRICE_CAR-FERT_CAR)+F564*(PRICE_MES-FERT_MES)-(FARMER_SALARY+A564*TEMP_COST)-FIXED_COSTS)</f>
        <v>-8910</v>
      </c>
    </row>
    <row r="565">
      <c r="A565" s="5" t="n">
        <v>1</v>
      </c>
      <c r="B565" s="5" t="n">
        <v>5</v>
      </c>
      <c r="C565" s="5" t="n">
        <v>6</v>
      </c>
      <c r="D565" s="18">
        <f>SEASON_HRS_TOM*B565*(1+DIM_TOM)^B565+SEASON_HRS_CAR*C565*(1+DIM_CAR)^C565</f>
        <v>933.4743152783204</v>
      </c>
      <c r="E565" s="18">
        <f>(FARMER_FIELD_HRS+A565*TEMP_HRS)-D565</f>
        <v>1226.5256847216797</v>
      </c>
      <c r="F565" s="21">
        <f>IF(E565&lt;0,0,MIN(COUNTIF(Labor!$C$59:$C$88,"&lt;="&amp;E565),MAXBED_MES,TOTAL_BEDS-B565-C565))</f>
        <v>20</v>
      </c>
      <c r="G565" s="21">
        <f>B565+C565+F565</f>
        <v>31</v>
      </c>
      <c r="H565" s="22">
        <f>IF(E565&lt;0,-999999999,B565*(PRICE_TOM-FERT_TOM)+C565*(PRICE_CAR-FERT_CAR)+F565*(PRICE_MES-FERT_MES)-(FARMER_SALARY+A565*TEMP_COST)-FIXED_COSTS)</f>
        <v>-9076</v>
      </c>
    </row>
    <row r="566">
      <c r="A566" s="5" t="n">
        <v>1</v>
      </c>
      <c r="B566" s="5" t="n">
        <v>5</v>
      </c>
      <c r="C566" s="5" t="n">
        <v>7</v>
      </c>
      <c r="D566" s="18">
        <f>SEASON_HRS_TOM*B566*(1+DIM_TOM)^B566+SEASON_HRS_CAR*C566*(1+DIM_CAR)^C566</f>
        <v>974.3535082703248</v>
      </c>
      <c r="E566" s="18">
        <f>(FARMER_FIELD_HRS+A566*TEMP_HRS)-D566</f>
        <v>1185.6464917296753</v>
      </c>
      <c r="F566" s="21">
        <f>IF(E566&lt;0,0,MIN(COUNTIF(Labor!$C$59:$C$88,"&lt;="&amp;E566),MAXBED_MES,TOTAL_BEDS-B566-C566))</f>
        <v>20</v>
      </c>
      <c r="G566" s="21">
        <f>B566+C566+F566</f>
        <v>32</v>
      </c>
      <c r="H566" s="22">
        <f>IF(E566&lt;0,-999999999,B566*(PRICE_TOM-FERT_TOM)+C566*(PRICE_CAR-FERT_CAR)+F566*(PRICE_MES-FERT_MES)-(FARMER_SALARY+A566*TEMP_COST)-FIXED_COSTS)</f>
        <v>-7422</v>
      </c>
    </row>
    <row r="567">
      <c r="A567" s="5" t="n">
        <v>1</v>
      </c>
      <c r="B567" s="5" t="n">
        <v>5</v>
      </c>
      <c r="C567" s="5" t="n">
        <v>8</v>
      </c>
      <c r="D567" s="18">
        <f>SEASON_HRS_TOM*B567*(1+DIM_TOM)^B567+SEASON_HRS_CAR*C567*(1+DIM_CAR)^C567</f>
        <v>1017.1461954023804</v>
      </c>
      <c r="E567" s="18">
        <f>(FARMER_FIELD_HRS+A567*TEMP_HRS)-D567</f>
        <v>1142.8538045976197</v>
      </c>
      <c r="F567" s="21">
        <f>IF(E567&lt;0,0,MIN(COUNTIF(Labor!$C$59:$C$88,"&lt;="&amp;E567),MAXBED_MES,TOTAL_BEDS-B567-C567))</f>
        <v>19</v>
      </c>
      <c r="G567" s="21">
        <f>B567+C567+F567</f>
        <v>32</v>
      </c>
      <c r="H567" s="22">
        <f>IF(E567&lt;0,-999999999,B567*(PRICE_TOM-FERT_TOM)+C567*(PRICE_CAR-FERT_CAR)+F567*(PRICE_MES-FERT_MES)-(FARMER_SALARY+A567*TEMP_COST)-FIXED_COSTS)</f>
        <v>-7588</v>
      </c>
    </row>
    <row r="568">
      <c r="A568" s="5" t="n">
        <v>1</v>
      </c>
      <c r="B568" s="5" t="n">
        <v>5</v>
      </c>
      <c r="C568" s="5" t="n">
        <v>9</v>
      </c>
      <c r="D568" s="18">
        <f>SEASON_HRS_TOM*B568*(1+DIM_TOM)^B568+SEASON_HRS_CAR*C568*(1+DIM_CAR)^C568</f>
        <v>1061.92250188587</v>
      </c>
      <c r="E568" s="18">
        <f>(FARMER_FIELD_HRS+A568*TEMP_HRS)-D568</f>
        <v>1098.07749811413</v>
      </c>
      <c r="F568" s="21">
        <f>IF(E568&lt;0,0,MIN(COUNTIF(Labor!$C$59:$C$88,"&lt;="&amp;E568),MAXBED_MES,TOTAL_BEDS-B568-C568))</f>
        <v>19</v>
      </c>
      <c r="G568" s="21">
        <f>B568+C568+F568</f>
        <v>33</v>
      </c>
      <c r="H568" s="22">
        <f>IF(E568&lt;0,-999999999,B568*(PRICE_TOM-FERT_TOM)+C568*(PRICE_CAR-FERT_CAR)+F568*(PRICE_MES-FERT_MES)-(FARMER_SALARY+A568*TEMP_COST)-FIXED_COSTS)</f>
        <v>-5934</v>
      </c>
    </row>
    <row r="569">
      <c r="A569" s="5" t="n">
        <v>1</v>
      </c>
      <c r="B569" s="5" t="n">
        <v>5</v>
      </c>
      <c r="C569" s="5" t="n">
        <v>10</v>
      </c>
      <c r="D569" s="18">
        <f>SEASON_HRS_TOM*B569*(1+DIM_TOM)^B569+SEASON_HRS_CAR*C569*(1+DIM_CAR)^C569</f>
        <v>1108.7548632589073</v>
      </c>
      <c r="E569" s="18">
        <f>(FARMER_FIELD_HRS+A569*TEMP_HRS)-D569</f>
        <v>1051.2451367410927</v>
      </c>
      <c r="F569" s="21">
        <f>IF(E569&lt;0,0,MIN(COUNTIF(Labor!$C$59:$C$88,"&lt;="&amp;E569),MAXBED_MES,TOTAL_BEDS-B569-C569))</f>
        <v>18</v>
      </c>
      <c r="G569" s="21">
        <f>B569+C569+F569</f>
        <v>33</v>
      </c>
      <c r="H569" s="22">
        <f>IF(E569&lt;0,-999999999,B569*(PRICE_TOM-FERT_TOM)+C569*(PRICE_CAR-FERT_CAR)+F569*(PRICE_MES-FERT_MES)-(FARMER_SALARY+A569*TEMP_COST)-FIXED_COSTS)</f>
        <v>-6100</v>
      </c>
    </row>
    <row r="570">
      <c r="A570" s="5" t="n">
        <v>1</v>
      </c>
      <c r="B570" s="5" t="n">
        <v>5</v>
      </c>
      <c r="C570" s="5" t="n">
        <v>11</v>
      </c>
      <c r="D570" s="18">
        <f>SEASON_HRS_TOM*B570*(1+DIM_TOM)^B570+SEASON_HRS_CAR*C570*(1+DIM_CAR)^C570</f>
        <v>1157.718097074418</v>
      </c>
      <c r="E570" s="18">
        <f>(FARMER_FIELD_HRS+A570*TEMP_HRS)-D570</f>
        <v>1002.281902925582</v>
      </c>
      <c r="F570" s="21">
        <f>IF(E570&lt;0,0,MIN(COUNTIF(Labor!$C$59:$C$88,"&lt;="&amp;E570),MAXBED_MES,TOTAL_BEDS-B570-C570))</f>
        <v>17</v>
      </c>
      <c r="G570" s="21">
        <f>B570+C570+F570</f>
        <v>33</v>
      </c>
      <c r="H570" s="22">
        <f>IF(E570&lt;0,-999999999,B570*(PRICE_TOM-FERT_TOM)+C570*(PRICE_CAR-FERT_CAR)+F570*(PRICE_MES-FERT_MES)-(FARMER_SALARY+A570*TEMP_COST)-FIXED_COSTS)</f>
        <v>-6266</v>
      </c>
    </row>
    <row r="571">
      <c r="A571" s="5" t="n">
        <v>1</v>
      </c>
      <c r="B571" s="5" t="n">
        <v>5</v>
      </c>
      <c r="C571" s="5" t="n">
        <v>12</v>
      </c>
      <c r="D571" s="18">
        <f>SEASON_HRS_TOM*B571*(1+DIM_TOM)^B571+SEASON_HRS_CAR*C571*(1+DIM_CAR)^C571</f>
        <v>1208.8894767286672</v>
      </c>
      <c r="E571" s="18">
        <f>(FARMER_FIELD_HRS+A571*TEMP_HRS)-D571</f>
        <v>951.1105232713328</v>
      </c>
      <c r="F571" s="21">
        <f>IF(E571&lt;0,0,MIN(COUNTIF(Labor!$C$59:$C$88,"&lt;="&amp;E571),MAXBED_MES,TOTAL_BEDS-B571-C571))</f>
        <v>17</v>
      </c>
      <c r="G571" s="21">
        <f>B571+C571+F571</f>
        <v>34</v>
      </c>
      <c r="H571" s="22">
        <f>IF(E571&lt;0,-999999999,B571*(PRICE_TOM-FERT_TOM)+C571*(PRICE_CAR-FERT_CAR)+F571*(PRICE_MES-FERT_MES)-(FARMER_SALARY+A571*TEMP_COST)-FIXED_COSTS)</f>
        <v>-4612</v>
      </c>
    </row>
    <row r="572">
      <c r="A572" s="5" t="n">
        <v>1</v>
      </c>
      <c r="B572" s="5" t="n">
        <v>5</v>
      </c>
      <c r="C572" s="5" t="n">
        <v>13</v>
      </c>
      <c r="D572" s="18">
        <f>SEASON_HRS_TOM*B572*(1+DIM_TOM)^B572+SEASON_HRS_CAR*C572*(1+DIM_CAR)^C572</f>
        <v>1262.3488074924574</v>
      </c>
      <c r="E572" s="18">
        <f>(FARMER_FIELD_HRS+A572*TEMP_HRS)-D572</f>
        <v>897.6511925075426</v>
      </c>
      <c r="F572" s="21">
        <f>IF(E572&lt;0,0,MIN(COUNTIF(Labor!$C$59:$C$88,"&lt;="&amp;E572),MAXBED_MES,TOTAL_BEDS-B572-C572))</f>
        <v>16</v>
      </c>
      <c r="G572" s="21">
        <f>B572+C572+F572</f>
        <v>34</v>
      </c>
      <c r="H572" s="22">
        <f>IF(E572&lt;0,-999999999,B572*(PRICE_TOM-FERT_TOM)+C572*(PRICE_CAR-FERT_CAR)+F572*(PRICE_MES-FERT_MES)-(FARMER_SALARY+A572*TEMP_COST)-FIXED_COSTS)</f>
        <v>-4778</v>
      </c>
    </row>
    <row r="573">
      <c r="A573" s="5" t="n">
        <v>1</v>
      </c>
      <c r="B573" s="5" t="n">
        <v>5</v>
      </c>
      <c r="C573" s="5" t="n">
        <v>14</v>
      </c>
      <c r="D573" s="18">
        <f>SEASON_HRS_TOM*B573*(1+DIM_TOM)^B573+SEASON_HRS_CAR*C573*(1+DIM_CAR)^C573</f>
        <v>1318.1785048089819</v>
      </c>
      <c r="E573" s="18">
        <f>(FARMER_FIELD_HRS+A573*TEMP_HRS)-D573</f>
        <v>841.8214951910181</v>
      </c>
      <c r="F573" s="21">
        <f>IF(E573&lt;0,0,MIN(COUNTIF(Labor!$C$59:$C$88,"&lt;="&amp;E573),MAXBED_MES,TOTAL_BEDS-B573-C573))</f>
        <v>15</v>
      </c>
      <c r="G573" s="21">
        <f>B573+C573+F573</f>
        <v>34</v>
      </c>
      <c r="H573" s="22">
        <f>IF(E573&lt;0,-999999999,B573*(PRICE_TOM-FERT_TOM)+C573*(PRICE_CAR-FERT_CAR)+F573*(PRICE_MES-FERT_MES)-(FARMER_SALARY+A573*TEMP_COST)-FIXED_COSTS)</f>
        <v>-4944</v>
      </c>
    </row>
    <row r="574">
      <c r="A574" s="5" t="n">
        <v>1</v>
      </c>
      <c r="B574" s="5" t="n">
        <v>5</v>
      </c>
      <c r="C574" s="5" t="n">
        <v>15</v>
      </c>
      <c r="D574" s="18">
        <f>SEASON_HRS_TOM*B574*(1+DIM_TOM)^B574+SEASON_HRS_CAR*C574*(1+DIM_CAR)^C574</f>
        <v>1376.4636749241495</v>
      </c>
      <c r="E574" s="18">
        <f>(FARMER_FIELD_HRS+A574*TEMP_HRS)-D574</f>
        <v>783.5363250758505</v>
      </c>
      <c r="F574" s="21">
        <f>IF(E574&lt;0,0,MIN(COUNTIF(Labor!$C$59:$C$88,"&lt;="&amp;E574),MAXBED_MES,TOTAL_BEDS-B574-C574))</f>
        <v>14</v>
      </c>
      <c r="G574" s="21">
        <f>B574+C574+F574</f>
        <v>34</v>
      </c>
      <c r="H574" s="22">
        <f>IF(E574&lt;0,-999999999,B574*(PRICE_TOM-FERT_TOM)+C574*(PRICE_CAR-FERT_CAR)+F574*(PRICE_MES-FERT_MES)-(FARMER_SALARY+A574*TEMP_COST)-FIXED_COSTS)</f>
        <v>-5110</v>
      </c>
    </row>
    <row r="575">
      <c r="A575" s="5" t="n">
        <v>1</v>
      </c>
      <c r="B575" s="5" t="n">
        <v>5</v>
      </c>
      <c r="C575" s="5" t="n">
        <v>16</v>
      </c>
      <c r="D575" s="18">
        <f>SEASON_HRS_TOM*B575*(1+DIM_TOM)^B575+SEASON_HRS_CAR*C575*(1+DIM_CAR)^C575</f>
        <v>1437.29219791707</v>
      </c>
      <c r="E575" s="18">
        <f>(FARMER_FIELD_HRS+A575*TEMP_HRS)-D575</f>
        <v>722.7078020829299</v>
      </c>
      <c r="F575" s="21">
        <f>IF(E575&lt;0,0,MIN(COUNTIF(Labor!$C$59:$C$88,"&lt;="&amp;E575),MAXBED_MES,TOTAL_BEDS-B575-C575))</f>
        <v>13</v>
      </c>
      <c r="G575" s="21">
        <f>B575+C575+F575</f>
        <v>34</v>
      </c>
      <c r="H575" s="22">
        <f>IF(E575&lt;0,-999999999,B575*(PRICE_TOM-FERT_TOM)+C575*(PRICE_CAR-FERT_CAR)+F575*(PRICE_MES-FERT_MES)-(FARMER_SALARY+A575*TEMP_COST)-FIXED_COSTS)</f>
        <v>-5276</v>
      </c>
    </row>
    <row r="576">
      <c r="A576" s="5" t="n">
        <v>1</v>
      </c>
      <c r="B576" s="5" t="n">
        <v>5</v>
      </c>
      <c r="C576" s="5" t="n">
        <v>17</v>
      </c>
      <c r="D576" s="18">
        <f>SEASON_HRS_TOM*B576*(1+DIM_TOM)^B576+SEASON_HRS_CAR*C576*(1+DIM_CAR)^C576</f>
        <v>1500.754813200309</v>
      </c>
      <c r="E576" s="18">
        <f>(FARMER_FIELD_HRS+A576*TEMP_HRS)-D576</f>
        <v>659.245186799691</v>
      </c>
      <c r="F576" s="21">
        <f>IF(E576&lt;0,0,MIN(COUNTIF(Labor!$C$59:$C$88,"&lt;="&amp;E576),MAXBED_MES,TOTAL_BEDS-B576-C576))</f>
        <v>12</v>
      </c>
      <c r="G576" s="21">
        <f>B576+C576+F576</f>
        <v>34</v>
      </c>
      <c r="H576" s="22">
        <f>IF(E576&lt;0,-999999999,B576*(PRICE_TOM-FERT_TOM)+C576*(PRICE_CAR-FERT_CAR)+F576*(PRICE_MES-FERT_MES)-(FARMER_SALARY+A576*TEMP_COST)-FIXED_COSTS)</f>
        <v>-5442</v>
      </c>
    </row>
    <row r="577">
      <c r="A577" s="5" t="n">
        <v>1</v>
      </c>
      <c r="B577" s="5" t="n">
        <v>5</v>
      </c>
      <c r="C577" s="5" t="n">
        <v>18</v>
      </c>
      <c r="D577" s="18">
        <f>SEASON_HRS_TOM*B577*(1+DIM_TOM)^B577+SEASON_HRS_CAR*C577*(1+DIM_CAR)^C577</f>
        <v>1566.9452075615118</v>
      </c>
      <c r="E577" s="18">
        <f>(FARMER_FIELD_HRS+A577*TEMP_HRS)-D577</f>
        <v>593.0547924384882</v>
      </c>
      <c r="F577" s="21">
        <f>IF(E577&lt;0,0,MIN(COUNTIF(Labor!$C$59:$C$88,"&lt;="&amp;E577),MAXBED_MES,TOTAL_BEDS-B577-C577))</f>
        <v>11</v>
      </c>
      <c r="G577" s="21">
        <f>B577+C577+F577</f>
        <v>34</v>
      </c>
      <c r="H577" s="22">
        <f>IF(E577&lt;0,-999999999,B577*(PRICE_TOM-FERT_TOM)+C577*(PRICE_CAR-FERT_CAR)+F577*(PRICE_MES-FERT_MES)-(FARMER_SALARY+A577*TEMP_COST)-FIXED_COSTS)</f>
        <v>-5608</v>
      </c>
    </row>
    <row r="578">
      <c r="A578" s="5" t="n">
        <v>1</v>
      </c>
      <c r="B578" s="5" t="n">
        <v>5</v>
      </c>
      <c r="C578" s="5" t="n">
        <v>19</v>
      </c>
      <c r="D578" s="18">
        <f>SEASON_HRS_TOM*B578*(1+DIM_TOM)^B578+SEASON_HRS_CAR*C578*(1+DIM_CAR)^C578</f>
        <v>1635.9601058200244</v>
      </c>
      <c r="E578" s="18">
        <f>(FARMER_FIELD_HRS+A578*TEMP_HRS)-D578</f>
        <v>524.0398941799756</v>
      </c>
      <c r="F578" s="21">
        <f>IF(E578&lt;0,0,MIN(COUNTIF(Labor!$C$59:$C$88,"&lt;="&amp;E578),MAXBED_MES,TOTAL_BEDS-B578-C578))</f>
        <v>10</v>
      </c>
      <c r="G578" s="21">
        <f>B578+C578+F578</f>
        <v>34</v>
      </c>
      <c r="H578" s="22">
        <f>IF(E578&lt;0,-999999999,B578*(PRICE_TOM-FERT_TOM)+C578*(PRICE_CAR-FERT_CAR)+F578*(PRICE_MES-FERT_MES)-(FARMER_SALARY+A578*TEMP_COST)-FIXED_COSTS)</f>
        <v>-5774</v>
      </c>
    </row>
    <row r="579">
      <c r="A579" s="5" t="n">
        <v>1</v>
      </c>
      <c r="B579" s="5" t="n">
        <v>5</v>
      </c>
      <c r="C579" s="5" t="n">
        <v>20</v>
      </c>
      <c r="D579" s="18">
        <f>SEASON_HRS_TOM*B579*(1+DIM_TOM)^B579+SEASON_HRS_CAR*C579*(1+DIM_CAR)^C579</f>
        <v>1707.8993641742368</v>
      </c>
      <c r="E579" s="18">
        <f>(FARMER_FIELD_HRS+A579*TEMP_HRS)-D579</f>
        <v>452.1006358257632</v>
      </c>
      <c r="F579" s="21">
        <f>IF(E579&lt;0,0,MIN(COUNTIF(Labor!$C$59:$C$88,"&lt;="&amp;E579),MAXBED_MES,TOTAL_BEDS-B579-C579))</f>
        <v>8</v>
      </c>
      <c r="G579" s="21">
        <f>B579+C579+F579</f>
        <v>33</v>
      </c>
      <c r="H579" s="22">
        <f>IF(E579&lt;0,-999999999,B579*(PRICE_TOM-FERT_TOM)+C579*(PRICE_CAR-FERT_CAR)+F579*(PRICE_MES-FERT_MES)-(FARMER_SALARY+A579*TEMP_COST)-FIXED_COSTS)</f>
        <v>-7760</v>
      </c>
    </row>
    <row r="580">
      <c r="A580" s="5" t="n">
        <v>1</v>
      </c>
      <c r="B580" s="5" t="n">
        <v>6</v>
      </c>
      <c r="C580" s="5" t="n">
        <v>0</v>
      </c>
      <c r="D580" s="18">
        <f>SEASON_HRS_TOM*B580*(1+DIM_TOM)^B580+SEASON_HRS_CAR*C580*(1+DIM_CAR)^C580</f>
        <v>956.6429400000004</v>
      </c>
      <c r="E580" s="18">
        <f>(FARMER_FIELD_HRS+A580*TEMP_HRS)-D580</f>
        <v>1203.3570599999996</v>
      </c>
      <c r="F580" s="21">
        <f>IF(E580&lt;0,0,MIN(COUNTIF(Labor!$C$59:$C$88,"&lt;="&amp;E580),MAXBED_MES,TOTAL_BEDS-B580-C580))</f>
        <v>20</v>
      </c>
      <c r="G580" s="21">
        <f>B580+C580+F580</f>
        <v>26</v>
      </c>
      <c r="H580" s="22">
        <f>IF(E580&lt;0,-999999999,B580*(PRICE_TOM-FERT_TOM)+C580*(PRICE_CAR-FERT_CAR)+F580*(PRICE_MES-FERT_MES)-(FARMER_SALARY+A580*TEMP_COST)-FIXED_COSTS)</f>
        <v>-11080</v>
      </c>
    </row>
    <row r="581">
      <c r="A581" s="5" t="n">
        <v>1</v>
      </c>
      <c r="B581" s="5" t="n">
        <v>6</v>
      </c>
      <c r="C581" s="5" t="n">
        <v>1</v>
      </c>
      <c r="D581" s="18">
        <f>SEASON_HRS_TOM*B581*(1+DIM_TOM)^B581+SEASON_HRS_CAR*C581*(1+DIM_CAR)^C581</f>
        <v>987.3929400000004</v>
      </c>
      <c r="E581" s="18">
        <f>(FARMER_FIELD_HRS+A581*TEMP_HRS)-D581</f>
        <v>1172.6070599999996</v>
      </c>
      <c r="F581" s="21">
        <f>IF(E581&lt;0,0,MIN(COUNTIF(Labor!$C$59:$C$88,"&lt;="&amp;E581),MAXBED_MES,TOTAL_BEDS-B581-C581))</f>
        <v>20</v>
      </c>
      <c r="G581" s="21">
        <f>B581+C581+F581</f>
        <v>27</v>
      </c>
      <c r="H581" s="22">
        <f>IF(E581&lt;0,-999999999,B581*(PRICE_TOM-FERT_TOM)+C581*(PRICE_CAR-FERT_CAR)+F581*(PRICE_MES-FERT_MES)-(FARMER_SALARY+A581*TEMP_COST)-FIXED_COSTS)</f>
        <v>-9426</v>
      </c>
    </row>
    <row r="582">
      <c r="A582" s="5" t="n">
        <v>1</v>
      </c>
      <c r="B582" s="5" t="n">
        <v>6</v>
      </c>
      <c r="C582" s="5" t="n">
        <v>2</v>
      </c>
      <c r="D582" s="18">
        <f>SEASON_HRS_TOM*B582*(1+DIM_TOM)^B582+SEASON_HRS_CAR*C582*(1+DIM_CAR)^C582</f>
        <v>1019.6804400000004</v>
      </c>
      <c r="E582" s="18">
        <f>(FARMER_FIELD_HRS+A582*TEMP_HRS)-D582</f>
        <v>1140.3195599999995</v>
      </c>
      <c r="F582" s="21">
        <f>IF(E582&lt;0,0,MIN(COUNTIF(Labor!$C$59:$C$88,"&lt;="&amp;E582),MAXBED_MES,TOTAL_BEDS-B582-C582))</f>
        <v>19</v>
      </c>
      <c r="G582" s="21">
        <f>B582+C582+F582</f>
        <v>27</v>
      </c>
      <c r="H582" s="22">
        <f>IF(E582&lt;0,-999999999,B582*(PRICE_TOM-FERT_TOM)+C582*(PRICE_CAR-FERT_CAR)+F582*(PRICE_MES-FERT_MES)-(FARMER_SALARY+A582*TEMP_COST)-FIXED_COSTS)</f>
        <v>-9592</v>
      </c>
    </row>
    <row r="583">
      <c r="A583" s="5" t="n">
        <v>1</v>
      </c>
      <c r="B583" s="5" t="n">
        <v>6</v>
      </c>
      <c r="C583" s="5" t="n">
        <v>3</v>
      </c>
      <c r="D583" s="18">
        <f>SEASON_HRS_TOM*B583*(1+DIM_TOM)^B583+SEASON_HRS_CAR*C583*(1+DIM_CAR)^C583</f>
        <v>1053.5630962500004</v>
      </c>
      <c r="E583" s="18">
        <f>(FARMER_FIELD_HRS+A583*TEMP_HRS)-D583</f>
        <v>1106.4369037499996</v>
      </c>
      <c r="F583" s="21">
        <f>IF(E583&lt;0,0,MIN(COUNTIF(Labor!$C$59:$C$88,"&lt;="&amp;E583),MAXBED_MES,TOTAL_BEDS-B583-C583))</f>
        <v>19</v>
      </c>
      <c r="G583" s="21">
        <f>B583+C583+F583</f>
        <v>28</v>
      </c>
      <c r="H583" s="22">
        <f>IF(E583&lt;0,-999999999,B583*(PRICE_TOM-FERT_TOM)+C583*(PRICE_CAR-FERT_CAR)+F583*(PRICE_MES-FERT_MES)-(FARMER_SALARY+A583*TEMP_COST)-FIXED_COSTS)</f>
        <v>-7938</v>
      </c>
    </row>
    <row r="584">
      <c r="A584" s="5" t="n">
        <v>1</v>
      </c>
      <c r="B584" s="5" t="n">
        <v>6</v>
      </c>
      <c r="C584" s="5" t="n">
        <v>4</v>
      </c>
      <c r="D584" s="18">
        <f>SEASON_HRS_TOM*B584*(1+DIM_TOM)^B584+SEASON_HRS_CAR*C584*(1+DIM_CAR)^C584</f>
        <v>1089.1004868750003</v>
      </c>
      <c r="E584" s="18">
        <f>(FARMER_FIELD_HRS+A584*TEMP_HRS)-D584</f>
        <v>1070.8995131249997</v>
      </c>
      <c r="F584" s="21">
        <f>IF(E584&lt;0,0,MIN(COUNTIF(Labor!$C$59:$C$88,"&lt;="&amp;E584),MAXBED_MES,TOTAL_BEDS-B584-C584))</f>
        <v>18</v>
      </c>
      <c r="G584" s="21">
        <f>B584+C584+F584</f>
        <v>28</v>
      </c>
      <c r="H584" s="22">
        <f>IF(E584&lt;0,-999999999,B584*(PRICE_TOM-FERT_TOM)+C584*(PRICE_CAR-FERT_CAR)+F584*(PRICE_MES-FERT_MES)-(FARMER_SALARY+A584*TEMP_COST)-FIXED_COSTS)</f>
        <v>-8104</v>
      </c>
    </row>
    <row r="585">
      <c r="A585" s="5" t="n">
        <v>1</v>
      </c>
      <c r="B585" s="5" t="n">
        <v>6</v>
      </c>
      <c r="C585" s="5" t="n">
        <v>5</v>
      </c>
      <c r="D585" s="18">
        <f>SEASON_HRS_TOM*B585*(1+DIM_TOM)^B585+SEASON_HRS_CAR*C585*(1+DIM_CAR)^C585</f>
        <v>1126.354171933594</v>
      </c>
      <c r="E585" s="18">
        <f>(FARMER_FIELD_HRS+A585*TEMP_HRS)-D585</f>
        <v>1033.645828066406</v>
      </c>
      <c r="F585" s="21">
        <f>IF(E585&lt;0,0,MIN(COUNTIF(Labor!$C$59:$C$88,"&lt;="&amp;E585),MAXBED_MES,TOTAL_BEDS-B585-C585))</f>
        <v>18</v>
      </c>
      <c r="G585" s="21">
        <f>B585+C585+F585</f>
        <v>29</v>
      </c>
      <c r="H585" s="22">
        <f>IF(E585&lt;0,-999999999,B585*(PRICE_TOM-FERT_TOM)+C585*(PRICE_CAR-FERT_CAR)+F585*(PRICE_MES-FERT_MES)-(FARMER_SALARY+A585*TEMP_COST)-FIXED_COSTS)</f>
        <v>-6450</v>
      </c>
    </row>
    <row r="586">
      <c r="A586" s="5" t="n">
        <v>1</v>
      </c>
      <c r="B586" s="5" t="n">
        <v>6</v>
      </c>
      <c r="C586" s="5" t="n">
        <v>6</v>
      </c>
      <c r="D586" s="18">
        <f>SEASON_HRS_TOM*B586*(1+DIM_TOM)^B586+SEASON_HRS_CAR*C586*(1+DIM_CAR)^C586</f>
        <v>1165.3877552783206</v>
      </c>
      <c r="E586" s="18">
        <f>(FARMER_FIELD_HRS+A586*TEMP_HRS)-D586</f>
        <v>994.6122447216794</v>
      </c>
      <c r="F586" s="21">
        <f>IF(E586&lt;0,0,MIN(COUNTIF(Labor!$C$59:$C$88,"&lt;="&amp;E586),MAXBED_MES,TOTAL_BEDS-B586-C586))</f>
        <v>17</v>
      </c>
      <c r="G586" s="21">
        <f>B586+C586+F586</f>
        <v>29</v>
      </c>
      <c r="H586" s="22">
        <f>IF(E586&lt;0,-999999999,B586*(PRICE_TOM-FERT_TOM)+C586*(PRICE_CAR-FERT_CAR)+F586*(PRICE_MES-FERT_MES)-(FARMER_SALARY+A586*TEMP_COST)-FIXED_COSTS)</f>
        <v>-6616</v>
      </c>
    </row>
    <row r="587">
      <c r="A587" s="5" t="n">
        <v>1</v>
      </c>
      <c r="B587" s="5" t="n">
        <v>6</v>
      </c>
      <c r="C587" s="5" t="n">
        <v>7</v>
      </c>
      <c r="D587" s="18">
        <f>SEASON_HRS_TOM*B587*(1+DIM_TOM)^B587+SEASON_HRS_CAR*C587*(1+DIM_CAR)^C587</f>
        <v>1206.266948270325</v>
      </c>
      <c r="E587" s="18">
        <f>(FARMER_FIELD_HRS+A587*TEMP_HRS)-D587</f>
        <v>953.733051729675</v>
      </c>
      <c r="F587" s="21">
        <f>IF(E587&lt;0,0,MIN(COUNTIF(Labor!$C$59:$C$88,"&lt;="&amp;E587),MAXBED_MES,TOTAL_BEDS-B587-C587))</f>
        <v>17</v>
      </c>
      <c r="G587" s="21">
        <f>B587+C587+F587</f>
        <v>30</v>
      </c>
      <c r="H587" s="22">
        <f>IF(E587&lt;0,-999999999,B587*(PRICE_TOM-FERT_TOM)+C587*(PRICE_CAR-FERT_CAR)+F587*(PRICE_MES-FERT_MES)-(FARMER_SALARY+A587*TEMP_COST)-FIXED_COSTS)</f>
        <v>-4962</v>
      </c>
    </row>
    <row r="588">
      <c r="A588" s="5" t="n">
        <v>1</v>
      </c>
      <c r="B588" s="5" t="n">
        <v>6</v>
      </c>
      <c r="C588" s="5" t="n">
        <v>8</v>
      </c>
      <c r="D588" s="18">
        <f>SEASON_HRS_TOM*B588*(1+DIM_TOM)^B588+SEASON_HRS_CAR*C588*(1+DIM_CAR)^C588</f>
        <v>1249.0596354023805</v>
      </c>
      <c r="E588" s="18">
        <f>(FARMER_FIELD_HRS+A588*TEMP_HRS)-D588</f>
        <v>910.9403645976195</v>
      </c>
      <c r="F588" s="21">
        <f>IF(E588&lt;0,0,MIN(COUNTIF(Labor!$C$59:$C$88,"&lt;="&amp;E588),MAXBED_MES,TOTAL_BEDS-B588-C588))</f>
        <v>16</v>
      </c>
      <c r="G588" s="21">
        <f>B588+C588+F588</f>
        <v>30</v>
      </c>
      <c r="H588" s="22">
        <f>IF(E588&lt;0,-999999999,B588*(PRICE_TOM-FERT_TOM)+C588*(PRICE_CAR-FERT_CAR)+F588*(PRICE_MES-FERT_MES)-(FARMER_SALARY+A588*TEMP_COST)-FIXED_COSTS)</f>
        <v>-5128</v>
      </c>
    </row>
    <row r="589">
      <c r="A589" s="5" t="n">
        <v>1</v>
      </c>
      <c r="B589" s="5" t="n">
        <v>6</v>
      </c>
      <c r="C589" s="5" t="n">
        <v>9</v>
      </c>
      <c r="D589" s="18">
        <f>SEASON_HRS_TOM*B589*(1+DIM_TOM)^B589+SEASON_HRS_CAR*C589*(1+DIM_CAR)^C589</f>
        <v>1293.83594188587</v>
      </c>
      <c r="E589" s="18">
        <f>(FARMER_FIELD_HRS+A589*TEMP_HRS)-D589</f>
        <v>866.1640581141301</v>
      </c>
      <c r="F589" s="21">
        <f>IF(E589&lt;0,0,MIN(COUNTIF(Labor!$C$59:$C$88,"&lt;="&amp;E589),MAXBED_MES,TOTAL_BEDS-B589-C589))</f>
        <v>15</v>
      </c>
      <c r="G589" s="21">
        <f>B589+C589+F589</f>
        <v>30</v>
      </c>
      <c r="H589" s="22">
        <f>IF(E589&lt;0,-999999999,B589*(PRICE_TOM-FERT_TOM)+C589*(PRICE_CAR-FERT_CAR)+F589*(PRICE_MES-FERT_MES)-(FARMER_SALARY+A589*TEMP_COST)-FIXED_COSTS)</f>
        <v>-5294</v>
      </c>
    </row>
    <row r="590">
      <c r="A590" s="5" t="n">
        <v>1</v>
      </c>
      <c r="B590" s="5" t="n">
        <v>6</v>
      </c>
      <c r="C590" s="5" t="n">
        <v>10</v>
      </c>
      <c r="D590" s="18">
        <f>SEASON_HRS_TOM*B590*(1+DIM_TOM)^B590+SEASON_HRS_CAR*C590*(1+DIM_CAR)^C590</f>
        <v>1340.6683032589074</v>
      </c>
      <c r="E590" s="18">
        <f>(FARMER_FIELD_HRS+A590*TEMP_HRS)-D590</f>
        <v>819.3316967410926</v>
      </c>
      <c r="F590" s="21">
        <f>IF(E590&lt;0,0,MIN(COUNTIF(Labor!$C$59:$C$88,"&lt;="&amp;E590),MAXBED_MES,TOTAL_BEDS-B590-C590))</f>
        <v>15</v>
      </c>
      <c r="G590" s="21">
        <f>B590+C590+F590</f>
        <v>31</v>
      </c>
      <c r="H590" s="22">
        <f>IF(E590&lt;0,-999999999,B590*(PRICE_TOM-FERT_TOM)+C590*(PRICE_CAR-FERT_CAR)+F590*(PRICE_MES-FERT_MES)-(FARMER_SALARY+A590*TEMP_COST)-FIXED_COSTS)</f>
        <v>-3640</v>
      </c>
    </row>
    <row r="591">
      <c r="A591" s="5" t="n">
        <v>1</v>
      </c>
      <c r="B591" s="5" t="n">
        <v>6</v>
      </c>
      <c r="C591" s="5" t="n">
        <v>11</v>
      </c>
      <c r="D591" s="18">
        <f>SEASON_HRS_TOM*B591*(1+DIM_TOM)^B591+SEASON_HRS_CAR*C591*(1+DIM_CAR)^C591</f>
        <v>1389.631537074418</v>
      </c>
      <c r="E591" s="18">
        <f>(FARMER_FIELD_HRS+A591*TEMP_HRS)-D591</f>
        <v>770.368462925582</v>
      </c>
      <c r="F591" s="21">
        <f>IF(E591&lt;0,0,MIN(COUNTIF(Labor!$C$59:$C$88,"&lt;="&amp;E591),MAXBED_MES,TOTAL_BEDS-B591-C591))</f>
        <v>14</v>
      </c>
      <c r="G591" s="21">
        <f>B591+C591+F591</f>
        <v>31</v>
      </c>
      <c r="H591" s="22">
        <f>IF(E591&lt;0,-999999999,B591*(PRICE_TOM-FERT_TOM)+C591*(PRICE_CAR-FERT_CAR)+F591*(PRICE_MES-FERT_MES)-(FARMER_SALARY+A591*TEMP_COST)-FIXED_COSTS)</f>
        <v>-3806</v>
      </c>
    </row>
    <row r="592">
      <c r="A592" s="5" t="n">
        <v>1</v>
      </c>
      <c r="B592" s="5" t="n">
        <v>6</v>
      </c>
      <c r="C592" s="5" t="n">
        <v>12</v>
      </c>
      <c r="D592" s="18">
        <f>SEASON_HRS_TOM*B592*(1+DIM_TOM)^B592+SEASON_HRS_CAR*C592*(1+DIM_CAR)^C592</f>
        <v>1440.8029167286672</v>
      </c>
      <c r="E592" s="18">
        <f>(FARMER_FIELD_HRS+A592*TEMP_HRS)-D592</f>
        <v>719.1970832713328</v>
      </c>
      <c r="F592" s="21">
        <f>IF(E592&lt;0,0,MIN(COUNTIF(Labor!$C$59:$C$88,"&lt;="&amp;E592),MAXBED_MES,TOTAL_BEDS-B592-C592))</f>
        <v>13</v>
      </c>
      <c r="G592" s="21">
        <f>B592+C592+F592</f>
        <v>31</v>
      </c>
      <c r="H592" s="22">
        <f>IF(E592&lt;0,-999999999,B592*(PRICE_TOM-FERT_TOM)+C592*(PRICE_CAR-FERT_CAR)+F592*(PRICE_MES-FERT_MES)-(FARMER_SALARY+A592*TEMP_COST)-FIXED_COSTS)</f>
        <v>-3972</v>
      </c>
    </row>
    <row r="593">
      <c r="A593" s="5" t="n">
        <v>1</v>
      </c>
      <c r="B593" s="5" t="n">
        <v>6</v>
      </c>
      <c r="C593" s="5" t="n">
        <v>13</v>
      </c>
      <c r="D593" s="18">
        <f>SEASON_HRS_TOM*B593*(1+DIM_TOM)^B593+SEASON_HRS_CAR*C593*(1+DIM_CAR)^C593</f>
        <v>1494.2622474924574</v>
      </c>
      <c r="E593" s="18">
        <f>(FARMER_FIELD_HRS+A593*TEMP_HRS)-D593</f>
        <v>665.7377525075426</v>
      </c>
      <c r="F593" s="21">
        <f>IF(E593&lt;0,0,MIN(COUNTIF(Labor!$C$59:$C$88,"&lt;="&amp;E593),MAXBED_MES,TOTAL_BEDS-B593-C593))</f>
        <v>12</v>
      </c>
      <c r="G593" s="21">
        <f>B593+C593+F593</f>
        <v>31</v>
      </c>
      <c r="H593" s="22">
        <f>IF(E593&lt;0,-999999999,B593*(PRICE_TOM-FERT_TOM)+C593*(PRICE_CAR-FERT_CAR)+F593*(PRICE_MES-FERT_MES)-(FARMER_SALARY+A593*TEMP_COST)-FIXED_COSTS)</f>
        <v>-4138</v>
      </c>
    </row>
    <row r="594">
      <c r="A594" s="5" t="n">
        <v>1</v>
      </c>
      <c r="B594" s="5" t="n">
        <v>6</v>
      </c>
      <c r="C594" s="5" t="n">
        <v>14</v>
      </c>
      <c r="D594" s="18">
        <f>SEASON_HRS_TOM*B594*(1+DIM_TOM)^B594+SEASON_HRS_CAR*C594*(1+DIM_CAR)^C594</f>
        <v>1550.0919448089821</v>
      </c>
      <c r="E594" s="18">
        <f>(FARMER_FIELD_HRS+A594*TEMP_HRS)-D594</f>
        <v>609.9080551910179</v>
      </c>
      <c r="F594" s="21">
        <f>IF(E594&lt;0,0,MIN(COUNTIF(Labor!$C$59:$C$88,"&lt;="&amp;E594),MAXBED_MES,TOTAL_BEDS-B594-C594))</f>
        <v>11</v>
      </c>
      <c r="G594" s="21">
        <f>B594+C594+F594</f>
        <v>31</v>
      </c>
      <c r="H594" s="22">
        <f>IF(E594&lt;0,-999999999,B594*(PRICE_TOM-FERT_TOM)+C594*(PRICE_CAR-FERT_CAR)+F594*(PRICE_MES-FERT_MES)-(FARMER_SALARY+A594*TEMP_COST)-FIXED_COSTS)</f>
        <v>-4304</v>
      </c>
    </row>
    <row r="595">
      <c r="A595" s="5" t="n">
        <v>1</v>
      </c>
      <c r="B595" s="5" t="n">
        <v>6</v>
      </c>
      <c r="C595" s="5" t="n">
        <v>15</v>
      </c>
      <c r="D595" s="18">
        <f>SEASON_HRS_TOM*B595*(1+DIM_TOM)^B595+SEASON_HRS_CAR*C595*(1+DIM_CAR)^C595</f>
        <v>1608.3771149241497</v>
      </c>
      <c r="E595" s="18">
        <f>(FARMER_FIELD_HRS+A595*TEMP_HRS)-D595</f>
        <v>551.6228850758503</v>
      </c>
      <c r="F595" s="21">
        <f>IF(E595&lt;0,0,MIN(COUNTIF(Labor!$C$59:$C$88,"&lt;="&amp;E595),MAXBED_MES,TOTAL_BEDS-B595-C595))</f>
        <v>10</v>
      </c>
      <c r="G595" s="21">
        <f>B595+C595+F595</f>
        <v>31</v>
      </c>
      <c r="H595" s="22">
        <f>IF(E595&lt;0,-999999999,B595*(PRICE_TOM-FERT_TOM)+C595*(PRICE_CAR-FERT_CAR)+F595*(PRICE_MES-FERT_MES)-(FARMER_SALARY+A595*TEMP_COST)-FIXED_COSTS)</f>
        <v>-4470</v>
      </c>
    </row>
    <row r="596">
      <c r="A596" s="5" t="n">
        <v>1</v>
      </c>
      <c r="B596" s="5" t="n">
        <v>6</v>
      </c>
      <c r="C596" s="5" t="n">
        <v>16</v>
      </c>
      <c r="D596" s="18">
        <f>SEASON_HRS_TOM*B596*(1+DIM_TOM)^B596+SEASON_HRS_CAR*C596*(1+DIM_CAR)^C596</f>
        <v>1669.2056379170704</v>
      </c>
      <c r="E596" s="18">
        <f>(FARMER_FIELD_HRS+A596*TEMP_HRS)-D596</f>
        <v>490.79436208292964</v>
      </c>
      <c r="F596" s="21">
        <f>IF(E596&lt;0,0,MIN(COUNTIF(Labor!$C$59:$C$88,"&lt;="&amp;E596),MAXBED_MES,TOTAL_BEDS-B596-C596))</f>
        <v>9</v>
      </c>
      <c r="G596" s="21">
        <f>B596+C596+F596</f>
        <v>31</v>
      </c>
      <c r="H596" s="22">
        <f>IF(E596&lt;0,-999999999,B596*(PRICE_TOM-FERT_TOM)+C596*(PRICE_CAR-FERT_CAR)+F596*(PRICE_MES-FERT_MES)-(FARMER_SALARY+A596*TEMP_COST)-FIXED_COSTS)</f>
        <v>-4636</v>
      </c>
    </row>
    <row r="597">
      <c r="A597" s="5" t="n">
        <v>1</v>
      </c>
      <c r="B597" s="5" t="n">
        <v>6</v>
      </c>
      <c r="C597" s="5" t="n">
        <v>17</v>
      </c>
      <c r="D597" s="18">
        <f>SEASON_HRS_TOM*B597*(1+DIM_TOM)^B597+SEASON_HRS_CAR*C597*(1+DIM_CAR)^C597</f>
        <v>1732.6682532003092</v>
      </c>
      <c r="E597" s="18">
        <f>(FARMER_FIELD_HRS+A597*TEMP_HRS)-D597</f>
        <v>427.3317467996908</v>
      </c>
      <c r="F597" s="21">
        <f>IF(E597&lt;0,0,MIN(COUNTIF(Labor!$C$59:$C$88,"&lt;="&amp;E597),MAXBED_MES,TOTAL_BEDS-B597-C597))</f>
        <v>8</v>
      </c>
      <c r="G597" s="21">
        <f>B597+C597+F597</f>
        <v>31</v>
      </c>
      <c r="H597" s="22">
        <f>IF(E597&lt;0,-999999999,B597*(PRICE_TOM-FERT_TOM)+C597*(PRICE_CAR-FERT_CAR)+F597*(PRICE_MES-FERT_MES)-(FARMER_SALARY+A597*TEMP_COST)-FIXED_COSTS)</f>
        <v>-4802</v>
      </c>
    </row>
    <row r="598">
      <c r="A598" s="5" t="n">
        <v>1</v>
      </c>
      <c r="B598" s="5" t="n">
        <v>6</v>
      </c>
      <c r="C598" s="5" t="n">
        <v>18</v>
      </c>
      <c r="D598" s="18">
        <f>SEASON_HRS_TOM*B598*(1+DIM_TOM)^B598+SEASON_HRS_CAR*C598*(1+DIM_CAR)^C598</f>
        <v>1798.858647561512</v>
      </c>
      <c r="E598" s="18">
        <f>(FARMER_FIELD_HRS+A598*TEMP_HRS)-D598</f>
        <v>361.14135243848796</v>
      </c>
      <c r="F598" s="21">
        <f>IF(E598&lt;0,0,MIN(COUNTIF(Labor!$C$59:$C$88,"&lt;="&amp;E598),MAXBED_MES,TOTAL_BEDS-B598-C598))</f>
        <v>7</v>
      </c>
      <c r="G598" s="21">
        <f>B598+C598+F598</f>
        <v>31</v>
      </c>
      <c r="H598" s="22">
        <f>IF(E598&lt;0,-999999999,B598*(PRICE_TOM-FERT_TOM)+C598*(PRICE_CAR-FERT_CAR)+F598*(PRICE_MES-FERT_MES)-(FARMER_SALARY+A598*TEMP_COST)-FIXED_COSTS)</f>
        <v>-4968</v>
      </c>
    </row>
    <row r="599">
      <c r="A599" s="5" t="n">
        <v>1</v>
      </c>
      <c r="B599" s="5" t="n">
        <v>6</v>
      </c>
      <c r="C599" s="5" t="n">
        <v>19</v>
      </c>
      <c r="D599" s="18">
        <f>SEASON_HRS_TOM*B599*(1+DIM_TOM)^B599+SEASON_HRS_CAR*C599*(1+DIM_CAR)^C599</f>
        <v>1867.8735458200244</v>
      </c>
      <c r="E599" s="18">
        <f>(FARMER_FIELD_HRS+A599*TEMP_HRS)-D599</f>
        <v>292.12645417997555</v>
      </c>
      <c r="F599" s="21">
        <f>IF(E599&lt;0,0,MIN(COUNTIF(Labor!$C$59:$C$88,"&lt;="&amp;E599),MAXBED_MES,TOTAL_BEDS-B599-C599))</f>
        <v>6</v>
      </c>
      <c r="G599" s="21">
        <f>B599+C599+F599</f>
        <v>31</v>
      </c>
      <c r="H599" s="22">
        <f>IF(E599&lt;0,-999999999,B599*(PRICE_TOM-FERT_TOM)+C599*(PRICE_CAR-FERT_CAR)+F599*(PRICE_MES-FERT_MES)-(FARMER_SALARY+A599*TEMP_COST)-FIXED_COSTS)</f>
        <v>-5134</v>
      </c>
    </row>
    <row r="600">
      <c r="A600" s="5" t="n">
        <v>1</v>
      </c>
      <c r="B600" s="5" t="n">
        <v>6</v>
      </c>
      <c r="C600" s="5" t="n">
        <v>20</v>
      </c>
      <c r="D600" s="18">
        <f>SEASON_HRS_TOM*B600*(1+DIM_TOM)^B600+SEASON_HRS_CAR*C600*(1+DIM_CAR)^C600</f>
        <v>1939.812804174237</v>
      </c>
      <c r="E600" s="18">
        <f>(FARMER_FIELD_HRS+A600*TEMP_HRS)-D600</f>
        <v>220.18719582576296</v>
      </c>
      <c r="F600" s="21">
        <f>IF(E600&lt;0,0,MIN(COUNTIF(Labor!$C$59:$C$88,"&lt;="&amp;E600),MAXBED_MES,TOTAL_BEDS-B600-C600))</f>
        <v>4</v>
      </c>
      <c r="G600" s="21">
        <f>B600+C600+F600</f>
        <v>30</v>
      </c>
      <c r="H600" s="22">
        <f>IF(E600&lt;0,-999999999,B600*(PRICE_TOM-FERT_TOM)+C600*(PRICE_CAR-FERT_CAR)+F600*(PRICE_MES-FERT_MES)-(FARMER_SALARY+A600*TEMP_COST)-FIXED_COSTS)</f>
        <v>-7120</v>
      </c>
    </row>
    <row r="601">
      <c r="A601" s="5" t="n">
        <v>1</v>
      </c>
      <c r="B601" s="5" t="n">
        <v>7</v>
      </c>
      <c r="C601" s="5" t="n">
        <v>0</v>
      </c>
      <c r="D601" s="18">
        <f>SEASON_HRS_TOM*B601*(1+DIM_TOM)^B601+SEASON_HRS_CAR*C601*(1+DIM_CAR)^C601</f>
        <v>1227.6917730000007</v>
      </c>
      <c r="E601" s="18">
        <f>(FARMER_FIELD_HRS+A601*TEMP_HRS)-D601</f>
        <v>932.3082269999993</v>
      </c>
      <c r="F601" s="21">
        <f>IF(E601&lt;0,0,MIN(COUNTIF(Labor!$C$59:$C$88,"&lt;="&amp;E601),MAXBED_MES,TOTAL_BEDS-B601-C601))</f>
        <v>16</v>
      </c>
      <c r="G601" s="21">
        <f>B601+C601+F601</f>
        <v>23</v>
      </c>
      <c r="H601" s="22">
        <f>IF(E601&lt;0,-999999999,B601*(PRICE_TOM-FERT_TOM)+C601*(PRICE_CAR-FERT_CAR)+F601*(PRICE_MES-FERT_MES)-(FARMER_SALARY+A601*TEMP_COST)-FIXED_COSTS)</f>
        <v>-10440</v>
      </c>
    </row>
    <row r="602">
      <c r="A602" s="5" t="n">
        <v>1</v>
      </c>
      <c r="B602" s="5" t="n">
        <v>7</v>
      </c>
      <c r="C602" s="5" t="n">
        <v>1</v>
      </c>
      <c r="D602" s="18">
        <f>SEASON_HRS_TOM*B602*(1+DIM_TOM)^B602+SEASON_HRS_CAR*C602*(1+DIM_CAR)^C602</f>
        <v>1258.4417730000007</v>
      </c>
      <c r="E602" s="18">
        <f>(FARMER_FIELD_HRS+A602*TEMP_HRS)-D602</f>
        <v>901.5582269999993</v>
      </c>
      <c r="F602" s="21">
        <f>IF(E602&lt;0,0,MIN(COUNTIF(Labor!$C$59:$C$88,"&lt;="&amp;E602),MAXBED_MES,TOTAL_BEDS-B602-C602))</f>
        <v>16</v>
      </c>
      <c r="G602" s="21">
        <f>B602+C602+F602</f>
        <v>24</v>
      </c>
      <c r="H602" s="22">
        <f>IF(E602&lt;0,-999999999,B602*(PRICE_TOM-FERT_TOM)+C602*(PRICE_CAR-FERT_CAR)+F602*(PRICE_MES-FERT_MES)-(FARMER_SALARY+A602*TEMP_COST)-FIXED_COSTS)</f>
        <v>-8786</v>
      </c>
    </row>
    <row r="603">
      <c r="A603" s="5" t="n">
        <v>1</v>
      </c>
      <c r="B603" s="5" t="n">
        <v>7</v>
      </c>
      <c r="C603" s="5" t="n">
        <v>2</v>
      </c>
      <c r="D603" s="18">
        <f>SEASON_HRS_TOM*B603*(1+DIM_TOM)^B603+SEASON_HRS_CAR*C603*(1+DIM_CAR)^C603</f>
        <v>1290.7292730000006</v>
      </c>
      <c r="E603" s="18">
        <f>(FARMER_FIELD_HRS+A603*TEMP_HRS)-D603</f>
        <v>869.2707269999994</v>
      </c>
      <c r="F603" s="21">
        <f>IF(E603&lt;0,0,MIN(COUNTIF(Labor!$C$59:$C$88,"&lt;="&amp;E603),MAXBED_MES,TOTAL_BEDS-B603-C603))</f>
        <v>15</v>
      </c>
      <c r="G603" s="21">
        <f>B603+C603+F603</f>
        <v>24</v>
      </c>
      <c r="H603" s="22">
        <f>IF(E603&lt;0,-999999999,B603*(PRICE_TOM-FERT_TOM)+C603*(PRICE_CAR-FERT_CAR)+F603*(PRICE_MES-FERT_MES)-(FARMER_SALARY+A603*TEMP_COST)-FIXED_COSTS)</f>
        <v>-8952</v>
      </c>
    </row>
    <row r="604">
      <c r="A604" s="5" t="n">
        <v>1</v>
      </c>
      <c r="B604" s="5" t="n">
        <v>7</v>
      </c>
      <c r="C604" s="5" t="n">
        <v>3</v>
      </c>
      <c r="D604" s="18">
        <f>SEASON_HRS_TOM*B604*(1+DIM_TOM)^B604+SEASON_HRS_CAR*C604*(1+DIM_CAR)^C604</f>
        <v>1324.6119292500007</v>
      </c>
      <c r="E604" s="18">
        <f>(FARMER_FIELD_HRS+A604*TEMP_HRS)-D604</f>
        <v>835.3880707499993</v>
      </c>
      <c r="F604" s="21">
        <f>IF(E604&lt;0,0,MIN(COUNTIF(Labor!$C$59:$C$88,"&lt;="&amp;E604),MAXBED_MES,TOTAL_BEDS-B604-C604))</f>
        <v>15</v>
      </c>
      <c r="G604" s="21">
        <f>B604+C604+F604</f>
        <v>25</v>
      </c>
      <c r="H604" s="22">
        <f>IF(E604&lt;0,-999999999,B604*(PRICE_TOM-FERT_TOM)+C604*(PRICE_CAR-FERT_CAR)+F604*(PRICE_MES-FERT_MES)-(FARMER_SALARY+A604*TEMP_COST)-FIXED_COSTS)</f>
        <v>-7298</v>
      </c>
    </row>
    <row r="605">
      <c r="A605" s="5" t="n">
        <v>1</v>
      </c>
      <c r="B605" s="5" t="n">
        <v>7</v>
      </c>
      <c r="C605" s="5" t="n">
        <v>4</v>
      </c>
      <c r="D605" s="18">
        <f>SEASON_HRS_TOM*B605*(1+DIM_TOM)^B605+SEASON_HRS_CAR*C605*(1+DIM_CAR)^C605</f>
        <v>1360.1493198750006</v>
      </c>
      <c r="E605" s="18">
        <f>(FARMER_FIELD_HRS+A605*TEMP_HRS)-D605</f>
        <v>799.8506801249994</v>
      </c>
      <c r="F605" s="21">
        <f>IF(E605&lt;0,0,MIN(COUNTIF(Labor!$C$59:$C$88,"&lt;="&amp;E605),MAXBED_MES,TOTAL_BEDS-B605-C605))</f>
        <v>14</v>
      </c>
      <c r="G605" s="21">
        <f>B605+C605+F605</f>
        <v>25</v>
      </c>
      <c r="H605" s="22">
        <f>IF(E605&lt;0,-999999999,B605*(PRICE_TOM-FERT_TOM)+C605*(PRICE_CAR-FERT_CAR)+F605*(PRICE_MES-FERT_MES)-(FARMER_SALARY+A605*TEMP_COST)-FIXED_COSTS)</f>
        <v>-7464</v>
      </c>
    </row>
    <row r="606">
      <c r="A606" s="5" t="n">
        <v>1</v>
      </c>
      <c r="B606" s="5" t="n">
        <v>7</v>
      </c>
      <c r="C606" s="5" t="n">
        <v>5</v>
      </c>
      <c r="D606" s="18">
        <f>SEASON_HRS_TOM*B606*(1+DIM_TOM)^B606+SEASON_HRS_CAR*C606*(1+DIM_CAR)^C606</f>
        <v>1397.4030049335943</v>
      </c>
      <c r="E606" s="18">
        <f>(FARMER_FIELD_HRS+A606*TEMP_HRS)-D606</f>
        <v>762.5969950664057</v>
      </c>
      <c r="F606" s="21">
        <f>IF(E606&lt;0,0,MIN(COUNTIF(Labor!$C$59:$C$88,"&lt;="&amp;E606),MAXBED_MES,TOTAL_BEDS-B606-C606))</f>
        <v>14</v>
      </c>
      <c r="G606" s="21">
        <f>B606+C606+F606</f>
        <v>26</v>
      </c>
      <c r="H606" s="22">
        <f>IF(E606&lt;0,-999999999,B606*(PRICE_TOM-FERT_TOM)+C606*(PRICE_CAR-FERT_CAR)+F606*(PRICE_MES-FERT_MES)-(FARMER_SALARY+A606*TEMP_COST)-FIXED_COSTS)</f>
        <v>-5810</v>
      </c>
    </row>
    <row r="607">
      <c r="A607" s="5" t="n">
        <v>1</v>
      </c>
      <c r="B607" s="5" t="n">
        <v>7</v>
      </c>
      <c r="C607" s="5" t="n">
        <v>6</v>
      </c>
      <c r="D607" s="18">
        <f>SEASON_HRS_TOM*B607*(1+DIM_TOM)^B607+SEASON_HRS_CAR*C607*(1+DIM_CAR)^C607</f>
        <v>1436.4365882783209</v>
      </c>
      <c r="E607" s="18">
        <f>(FARMER_FIELD_HRS+A607*TEMP_HRS)-D607</f>
        <v>723.5634117216791</v>
      </c>
      <c r="F607" s="21">
        <f>IF(E607&lt;0,0,MIN(COUNTIF(Labor!$C$59:$C$88,"&lt;="&amp;E607),MAXBED_MES,TOTAL_BEDS-B607-C607))</f>
        <v>13</v>
      </c>
      <c r="G607" s="21">
        <f>B607+C607+F607</f>
        <v>26</v>
      </c>
      <c r="H607" s="22">
        <f>IF(E607&lt;0,-999999999,B607*(PRICE_TOM-FERT_TOM)+C607*(PRICE_CAR-FERT_CAR)+F607*(PRICE_MES-FERT_MES)-(FARMER_SALARY+A607*TEMP_COST)-FIXED_COSTS)</f>
        <v>-5976</v>
      </c>
    </row>
    <row r="608">
      <c r="A608" s="5" t="n">
        <v>1</v>
      </c>
      <c r="B608" s="5" t="n">
        <v>7</v>
      </c>
      <c r="C608" s="5" t="n">
        <v>7</v>
      </c>
      <c r="D608" s="18">
        <f>SEASON_HRS_TOM*B608*(1+DIM_TOM)^B608+SEASON_HRS_CAR*C608*(1+DIM_CAR)^C608</f>
        <v>1477.3157812703253</v>
      </c>
      <c r="E608" s="18">
        <f>(FARMER_FIELD_HRS+A608*TEMP_HRS)-D608</f>
        <v>682.6842187296747</v>
      </c>
      <c r="F608" s="21">
        <f>IF(E608&lt;0,0,MIN(COUNTIF(Labor!$C$59:$C$88,"&lt;="&amp;E608),MAXBED_MES,TOTAL_BEDS-B608-C608))</f>
        <v>12</v>
      </c>
      <c r="G608" s="21">
        <f>B608+C608+F608</f>
        <v>26</v>
      </c>
      <c r="H608" s="22">
        <f>IF(E608&lt;0,-999999999,B608*(PRICE_TOM-FERT_TOM)+C608*(PRICE_CAR-FERT_CAR)+F608*(PRICE_MES-FERT_MES)-(FARMER_SALARY+A608*TEMP_COST)-FIXED_COSTS)</f>
        <v>-6142</v>
      </c>
    </row>
    <row r="609">
      <c r="A609" s="5" t="n">
        <v>1</v>
      </c>
      <c r="B609" s="5" t="n">
        <v>7</v>
      </c>
      <c r="C609" s="5" t="n">
        <v>8</v>
      </c>
      <c r="D609" s="18">
        <f>SEASON_HRS_TOM*B609*(1+DIM_TOM)^B609+SEASON_HRS_CAR*C609*(1+DIM_CAR)^C609</f>
        <v>1520.1084684023808</v>
      </c>
      <c r="E609" s="18">
        <f>(FARMER_FIELD_HRS+A609*TEMP_HRS)-D609</f>
        <v>639.8915315976192</v>
      </c>
      <c r="F609" s="21">
        <f>IF(E609&lt;0,0,MIN(COUNTIF(Labor!$C$59:$C$88,"&lt;="&amp;E609),MAXBED_MES,TOTAL_BEDS-B609-C609))</f>
        <v>12</v>
      </c>
      <c r="G609" s="21">
        <f>B609+C609+F609</f>
        <v>27</v>
      </c>
      <c r="H609" s="22">
        <f>IF(E609&lt;0,-999999999,B609*(PRICE_TOM-FERT_TOM)+C609*(PRICE_CAR-FERT_CAR)+F609*(PRICE_MES-FERT_MES)-(FARMER_SALARY+A609*TEMP_COST)-FIXED_COSTS)</f>
        <v>-4488</v>
      </c>
    </row>
    <row r="610">
      <c r="A610" s="5" t="n">
        <v>1</v>
      </c>
      <c r="B610" s="5" t="n">
        <v>7</v>
      </c>
      <c r="C610" s="5" t="n">
        <v>9</v>
      </c>
      <c r="D610" s="18">
        <f>SEASON_HRS_TOM*B610*(1+DIM_TOM)^B610+SEASON_HRS_CAR*C610*(1+DIM_CAR)^C610</f>
        <v>1564.8847748858702</v>
      </c>
      <c r="E610" s="18">
        <f>(FARMER_FIELD_HRS+A610*TEMP_HRS)-D610</f>
        <v>595.1152251141298</v>
      </c>
      <c r="F610" s="21">
        <f>IF(E610&lt;0,0,MIN(COUNTIF(Labor!$C$59:$C$88,"&lt;="&amp;E610),MAXBED_MES,TOTAL_BEDS-B610-C610))</f>
        <v>11</v>
      </c>
      <c r="G610" s="21">
        <f>B610+C610+F610</f>
        <v>27</v>
      </c>
      <c r="H610" s="22">
        <f>IF(E610&lt;0,-999999999,B610*(PRICE_TOM-FERT_TOM)+C610*(PRICE_CAR-FERT_CAR)+F610*(PRICE_MES-FERT_MES)-(FARMER_SALARY+A610*TEMP_COST)-FIXED_COSTS)</f>
        <v>-4654</v>
      </c>
    </row>
    <row r="611">
      <c r="A611" s="5" t="n">
        <v>1</v>
      </c>
      <c r="B611" s="5" t="n">
        <v>7</v>
      </c>
      <c r="C611" s="5" t="n">
        <v>10</v>
      </c>
      <c r="D611" s="18">
        <f>SEASON_HRS_TOM*B611*(1+DIM_TOM)^B611+SEASON_HRS_CAR*C611*(1+DIM_CAR)^C611</f>
        <v>1611.7171362589077</v>
      </c>
      <c r="E611" s="18">
        <f>(FARMER_FIELD_HRS+A611*TEMP_HRS)-D611</f>
        <v>548.2828637410923</v>
      </c>
      <c r="F611" s="21">
        <f>IF(E611&lt;0,0,MIN(COUNTIF(Labor!$C$59:$C$88,"&lt;="&amp;E611),MAXBED_MES,TOTAL_BEDS-B611-C611))</f>
        <v>10</v>
      </c>
      <c r="G611" s="21">
        <f>B611+C611+F611</f>
        <v>27</v>
      </c>
      <c r="H611" s="22">
        <f>IF(E611&lt;0,-999999999,B611*(PRICE_TOM-FERT_TOM)+C611*(PRICE_CAR-FERT_CAR)+F611*(PRICE_MES-FERT_MES)-(FARMER_SALARY+A611*TEMP_COST)-FIXED_COSTS)</f>
        <v>-4820</v>
      </c>
    </row>
    <row r="612">
      <c r="A612" s="5" t="n">
        <v>1</v>
      </c>
      <c r="B612" s="5" t="n">
        <v>7</v>
      </c>
      <c r="C612" s="5" t="n">
        <v>11</v>
      </c>
      <c r="D612" s="18">
        <f>SEASON_HRS_TOM*B612*(1+DIM_TOM)^B612+SEASON_HRS_CAR*C612*(1+DIM_CAR)^C612</f>
        <v>1660.6803700744183</v>
      </c>
      <c r="E612" s="18">
        <f>(FARMER_FIELD_HRS+A612*TEMP_HRS)-D612</f>
        <v>499.3196299255817</v>
      </c>
      <c r="F612" s="21">
        <f>IF(E612&lt;0,0,MIN(COUNTIF(Labor!$C$59:$C$88,"&lt;="&amp;E612),MAXBED_MES,TOTAL_BEDS-B612-C612))</f>
        <v>9</v>
      </c>
      <c r="G612" s="21">
        <f>B612+C612+F612</f>
        <v>27</v>
      </c>
      <c r="H612" s="22">
        <f>IF(E612&lt;0,-999999999,B612*(PRICE_TOM-FERT_TOM)+C612*(PRICE_CAR-FERT_CAR)+F612*(PRICE_MES-FERT_MES)-(FARMER_SALARY+A612*TEMP_COST)-FIXED_COSTS)</f>
        <v>-4986</v>
      </c>
    </row>
    <row r="613">
      <c r="A613" s="5" t="n">
        <v>1</v>
      </c>
      <c r="B613" s="5" t="n">
        <v>7</v>
      </c>
      <c r="C613" s="5" t="n">
        <v>12</v>
      </c>
      <c r="D613" s="18">
        <f>SEASON_HRS_TOM*B613*(1+DIM_TOM)^B613+SEASON_HRS_CAR*C613*(1+DIM_CAR)^C613</f>
        <v>1711.8517497286675</v>
      </c>
      <c r="E613" s="18">
        <f>(FARMER_FIELD_HRS+A613*TEMP_HRS)-D613</f>
        <v>448.1482502713325</v>
      </c>
      <c r="F613" s="21">
        <f>IF(E613&lt;0,0,MIN(COUNTIF(Labor!$C$59:$C$88,"&lt;="&amp;E613),MAXBED_MES,TOTAL_BEDS-B613-C613))</f>
        <v>8</v>
      </c>
      <c r="G613" s="21">
        <f>B613+C613+F613</f>
        <v>27</v>
      </c>
      <c r="H613" s="22">
        <f>IF(E613&lt;0,-999999999,B613*(PRICE_TOM-FERT_TOM)+C613*(PRICE_CAR-FERT_CAR)+F613*(PRICE_MES-FERT_MES)-(FARMER_SALARY+A613*TEMP_COST)-FIXED_COSTS)</f>
        <v>-5152</v>
      </c>
    </row>
    <row r="614">
      <c r="A614" s="5" t="n">
        <v>1</v>
      </c>
      <c r="B614" s="5" t="n">
        <v>7</v>
      </c>
      <c r="C614" s="5" t="n">
        <v>13</v>
      </c>
      <c r="D614" s="18">
        <f>SEASON_HRS_TOM*B614*(1+DIM_TOM)^B614+SEASON_HRS_CAR*C614*(1+DIM_CAR)^C614</f>
        <v>1765.3110804924577</v>
      </c>
      <c r="E614" s="18">
        <f>(FARMER_FIELD_HRS+A614*TEMP_HRS)-D614</f>
        <v>394.6889195075423</v>
      </c>
      <c r="F614" s="21">
        <f>IF(E614&lt;0,0,MIN(COUNTIF(Labor!$C$59:$C$88,"&lt;="&amp;E614),MAXBED_MES,TOTAL_BEDS-B614-C614))</f>
        <v>7</v>
      </c>
      <c r="G614" s="21">
        <f>B614+C614+F614</f>
        <v>27</v>
      </c>
      <c r="H614" s="22">
        <f>IF(E614&lt;0,-999999999,B614*(PRICE_TOM-FERT_TOM)+C614*(PRICE_CAR-FERT_CAR)+F614*(PRICE_MES-FERT_MES)-(FARMER_SALARY+A614*TEMP_COST)-FIXED_COSTS)</f>
        <v>-5318</v>
      </c>
    </row>
    <row r="615">
      <c r="A615" s="5" t="n">
        <v>1</v>
      </c>
      <c r="B615" s="5" t="n">
        <v>7</v>
      </c>
      <c r="C615" s="5" t="n">
        <v>14</v>
      </c>
      <c r="D615" s="18">
        <f>SEASON_HRS_TOM*B615*(1+DIM_TOM)^B615+SEASON_HRS_CAR*C615*(1+DIM_CAR)^C615</f>
        <v>1821.1407778089824</v>
      </c>
      <c r="E615" s="18">
        <f>(FARMER_FIELD_HRS+A615*TEMP_HRS)-D615</f>
        <v>338.8592221910176</v>
      </c>
      <c r="F615" s="21">
        <f>IF(E615&lt;0,0,MIN(COUNTIF(Labor!$C$59:$C$88,"&lt;="&amp;E615),MAXBED_MES,TOTAL_BEDS-B615-C615))</f>
        <v>6</v>
      </c>
      <c r="G615" s="21">
        <f>B615+C615+F615</f>
        <v>27</v>
      </c>
      <c r="H615" s="22">
        <f>IF(E615&lt;0,-999999999,B615*(PRICE_TOM-FERT_TOM)+C615*(PRICE_CAR-FERT_CAR)+F615*(PRICE_MES-FERT_MES)-(FARMER_SALARY+A615*TEMP_COST)-FIXED_COSTS)</f>
        <v>-5484</v>
      </c>
    </row>
    <row r="616">
      <c r="A616" s="5" t="n">
        <v>1</v>
      </c>
      <c r="B616" s="5" t="n">
        <v>7</v>
      </c>
      <c r="C616" s="5" t="n">
        <v>15</v>
      </c>
      <c r="D616" s="18">
        <f>SEASON_HRS_TOM*B616*(1+DIM_TOM)^B616+SEASON_HRS_CAR*C616*(1+DIM_CAR)^C616</f>
        <v>1879.42594792415</v>
      </c>
      <c r="E616" s="18">
        <f>(FARMER_FIELD_HRS+A616*TEMP_HRS)-D616</f>
        <v>280.57405207585</v>
      </c>
      <c r="F616" s="21">
        <f>IF(E616&lt;0,0,MIN(COUNTIF(Labor!$C$59:$C$88,"&lt;="&amp;E616),MAXBED_MES,TOTAL_BEDS-B616-C616))</f>
        <v>5</v>
      </c>
      <c r="G616" s="21">
        <f>B616+C616+F616</f>
        <v>27</v>
      </c>
      <c r="H616" s="22">
        <f>IF(E616&lt;0,-999999999,B616*(PRICE_TOM-FERT_TOM)+C616*(PRICE_CAR-FERT_CAR)+F616*(PRICE_MES-FERT_MES)-(FARMER_SALARY+A616*TEMP_COST)-FIXED_COSTS)</f>
        <v>-5650</v>
      </c>
    </row>
    <row r="617">
      <c r="A617" s="5" t="n">
        <v>1</v>
      </c>
      <c r="B617" s="5" t="n">
        <v>7</v>
      </c>
      <c r="C617" s="5" t="n">
        <v>16</v>
      </c>
      <c r="D617" s="18">
        <f>SEASON_HRS_TOM*B617*(1+DIM_TOM)^B617+SEASON_HRS_CAR*C617*(1+DIM_CAR)^C617</f>
        <v>1940.2544709170706</v>
      </c>
      <c r="E617" s="18">
        <f>(FARMER_FIELD_HRS+A617*TEMP_HRS)-D617</f>
        <v>219.74552908292935</v>
      </c>
      <c r="F617" s="21">
        <f>IF(E617&lt;0,0,MIN(COUNTIF(Labor!$C$59:$C$88,"&lt;="&amp;E617),MAXBED_MES,TOTAL_BEDS-B617-C617))</f>
        <v>4</v>
      </c>
      <c r="G617" s="21">
        <f>B617+C617+F617</f>
        <v>27</v>
      </c>
      <c r="H617" s="22">
        <f>IF(E617&lt;0,-999999999,B617*(PRICE_TOM-FERT_TOM)+C617*(PRICE_CAR-FERT_CAR)+F617*(PRICE_MES-FERT_MES)-(FARMER_SALARY+A617*TEMP_COST)-FIXED_COSTS)</f>
        <v>-5816</v>
      </c>
    </row>
    <row r="618">
      <c r="A618" s="5" t="n">
        <v>1</v>
      </c>
      <c r="B618" s="5" t="n">
        <v>7</v>
      </c>
      <c r="C618" s="5" t="n">
        <v>17</v>
      </c>
      <c r="D618" s="18">
        <f>SEASON_HRS_TOM*B618*(1+DIM_TOM)^B618+SEASON_HRS_CAR*C618*(1+DIM_CAR)^C618</f>
        <v>2003.7170862003095</v>
      </c>
      <c r="E618" s="18">
        <f>(FARMER_FIELD_HRS+A618*TEMP_HRS)-D618</f>
        <v>156.2829137996905</v>
      </c>
      <c r="F618" s="21">
        <f>IF(E618&lt;0,0,MIN(COUNTIF(Labor!$C$59:$C$88,"&lt;="&amp;E618),MAXBED_MES,TOTAL_BEDS-B618-C618))</f>
        <v>3</v>
      </c>
      <c r="G618" s="21">
        <f>B618+C618+F618</f>
        <v>27</v>
      </c>
      <c r="H618" s="22">
        <f>IF(E618&lt;0,-999999999,B618*(PRICE_TOM-FERT_TOM)+C618*(PRICE_CAR-FERT_CAR)+F618*(PRICE_MES-FERT_MES)-(FARMER_SALARY+A618*TEMP_COST)-FIXED_COSTS)</f>
        <v>-5982</v>
      </c>
    </row>
    <row r="619">
      <c r="A619" s="5" t="n">
        <v>1</v>
      </c>
      <c r="B619" s="5" t="n">
        <v>7</v>
      </c>
      <c r="C619" s="5" t="n">
        <v>18</v>
      </c>
      <c r="D619" s="18">
        <f>SEASON_HRS_TOM*B619*(1+DIM_TOM)^B619+SEASON_HRS_CAR*C619*(1+DIM_CAR)^C619</f>
        <v>2069.9074805615123</v>
      </c>
      <c r="E619" s="18">
        <f>(FARMER_FIELD_HRS+A619*TEMP_HRS)-D619</f>
        <v>90.09251943848767</v>
      </c>
      <c r="F619" s="21">
        <f>IF(E619&lt;0,0,MIN(COUNTIF(Labor!$C$59:$C$88,"&lt;="&amp;E619),MAXBED_MES,TOTAL_BEDS-B619-C619))</f>
        <v>1</v>
      </c>
      <c r="G619" s="21">
        <f>B619+C619+F619</f>
        <v>26</v>
      </c>
      <c r="H619" s="22">
        <f>IF(E619&lt;0,-999999999,B619*(PRICE_TOM-FERT_TOM)+C619*(PRICE_CAR-FERT_CAR)+F619*(PRICE_MES-FERT_MES)-(FARMER_SALARY+A619*TEMP_COST)-FIXED_COSTS)</f>
        <v>-7968</v>
      </c>
    </row>
    <row r="620">
      <c r="A620" s="5" t="n">
        <v>1</v>
      </c>
      <c r="B620" s="5" t="n">
        <v>7</v>
      </c>
      <c r="C620" s="5" t="n">
        <v>19</v>
      </c>
      <c r="D620" s="18">
        <f>SEASON_HRS_TOM*B620*(1+DIM_TOM)^B620+SEASON_HRS_CAR*C620*(1+DIM_CAR)^C620</f>
        <v>2138.9223788200247</v>
      </c>
      <c r="E620" s="18">
        <f>(FARMER_FIELD_HRS+A620*TEMP_HRS)-D620</f>
        <v>21.077621179975267</v>
      </c>
      <c r="F620" s="21">
        <f>IF(E620&lt;0,0,MIN(COUNTIF(Labor!$C$59:$C$88,"&lt;="&amp;E620),MAXBED_MES,TOTAL_BEDS-B620-C620))</f>
        <v>0</v>
      </c>
      <c r="G620" s="21">
        <f>B620+C620+F620</f>
        <v>26</v>
      </c>
      <c r="H620" s="22">
        <f>IF(E620&lt;0,-999999999,B620*(PRICE_TOM-FERT_TOM)+C620*(PRICE_CAR-FERT_CAR)+F620*(PRICE_MES-FERT_MES)-(FARMER_SALARY+A620*TEMP_COST)-FIXED_COSTS)</f>
        <v>-8134</v>
      </c>
    </row>
    <row r="621">
      <c r="A621" s="5" t="n">
        <v>1</v>
      </c>
      <c r="B621" s="5" t="n">
        <v>7</v>
      </c>
      <c r="C621" s="5" t="n">
        <v>20</v>
      </c>
      <c r="D621" s="18">
        <f>SEASON_HRS_TOM*B621*(1+DIM_TOM)^B621+SEASON_HRS_CAR*C621*(1+DIM_CAR)^C621</f>
        <v>2210.8616371742373</v>
      </c>
      <c r="E621" s="18">
        <f>(FARMER_FIELD_HRS+A621*TEMP_HRS)-D621</f>
        <v>-50.86163717423733</v>
      </c>
      <c r="F621" s="21">
        <f>IF(E621&lt;0,0,MIN(COUNTIF(Labor!$C$59:$C$88,"&lt;="&amp;E621),MAXBED_MES,TOTAL_BEDS-B621-C621))</f>
        <v>0</v>
      </c>
      <c r="G621" s="21">
        <f>B621+C621+F621</f>
        <v>27</v>
      </c>
      <c r="H621" s="22">
        <f>IF(E621&lt;0,-999999999,B621*(PRICE_TOM-FERT_TOM)+C621*(PRICE_CAR-FERT_CAR)+F621*(PRICE_MES-FERT_MES)-(FARMER_SALARY+A621*TEMP_COST)-FIXED_COSTS)</f>
        <v>-999999999</v>
      </c>
    </row>
    <row r="622">
      <c r="A622" s="5" t="n">
        <v>1</v>
      </c>
      <c r="B622" s="5" t="n">
        <v>8</v>
      </c>
      <c r="C622" s="5" t="n">
        <v>0</v>
      </c>
      <c r="D622" s="18">
        <f>SEASON_HRS_TOM*B622*(1+DIM_TOM)^B622+SEASON_HRS_CAR*C622*(1+DIM_CAR)^C622</f>
        <v>1543.383943200001</v>
      </c>
      <c r="E622" s="18">
        <f>(FARMER_FIELD_HRS+A622*TEMP_HRS)-D622</f>
        <v>616.6160567999989</v>
      </c>
      <c r="F622" s="21">
        <f>IF(E622&lt;0,0,MIN(COUNTIF(Labor!$C$59:$C$88,"&lt;="&amp;E622),MAXBED_MES,TOTAL_BEDS-B622-C622))</f>
        <v>11</v>
      </c>
      <c r="G622" s="21">
        <f>B622+C622+F622</f>
        <v>19</v>
      </c>
      <c r="H622" s="22">
        <f>IF(E622&lt;0,-999999999,B622*(PRICE_TOM-FERT_TOM)+C622*(PRICE_CAR-FERT_CAR)+F622*(PRICE_MES-FERT_MES)-(FARMER_SALARY+A622*TEMP_COST)-FIXED_COSTS)</f>
        <v>-11620</v>
      </c>
    </row>
    <row r="623">
      <c r="A623" s="5" t="n">
        <v>1</v>
      </c>
      <c r="B623" s="5" t="n">
        <v>8</v>
      </c>
      <c r="C623" s="5" t="n">
        <v>1</v>
      </c>
      <c r="D623" s="18">
        <f>SEASON_HRS_TOM*B623*(1+DIM_TOM)^B623+SEASON_HRS_CAR*C623*(1+DIM_CAR)^C623</f>
        <v>1574.133943200001</v>
      </c>
      <c r="E623" s="18">
        <f>(FARMER_FIELD_HRS+A623*TEMP_HRS)-D623</f>
        <v>585.8660567999989</v>
      </c>
      <c r="F623" s="21">
        <f>IF(E623&lt;0,0,MIN(COUNTIF(Labor!$C$59:$C$88,"&lt;="&amp;E623),MAXBED_MES,TOTAL_BEDS-B623-C623))</f>
        <v>11</v>
      </c>
      <c r="G623" s="21">
        <f>B623+C623+F623</f>
        <v>20</v>
      </c>
      <c r="H623" s="22">
        <f>IF(E623&lt;0,-999999999,B623*(PRICE_TOM-FERT_TOM)+C623*(PRICE_CAR-FERT_CAR)+F623*(PRICE_MES-FERT_MES)-(FARMER_SALARY+A623*TEMP_COST)-FIXED_COSTS)</f>
        <v>-9966</v>
      </c>
    </row>
    <row r="624">
      <c r="A624" s="5" t="n">
        <v>1</v>
      </c>
      <c r="B624" s="5" t="n">
        <v>8</v>
      </c>
      <c r="C624" s="5" t="n">
        <v>2</v>
      </c>
      <c r="D624" s="18">
        <f>SEASON_HRS_TOM*B624*(1+DIM_TOM)^B624+SEASON_HRS_CAR*C624*(1+DIM_CAR)^C624</f>
        <v>1606.421443200001</v>
      </c>
      <c r="E624" s="18">
        <f>(FARMER_FIELD_HRS+A624*TEMP_HRS)-D624</f>
        <v>553.578556799999</v>
      </c>
      <c r="F624" s="21">
        <f>IF(E624&lt;0,0,MIN(COUNTIF(Labor!$C$59:$C$88,"&lt;="&amp;E624),MAXBED_MES,TOTAL_BEDS-B624-C624))</f>
        <v>10</v>
      </c>
      <c r="G624" s="21">
        <f>B624+C624+F624</f>
        <v>20</v>
      </c>
      <c r="H624" s="22">
        <f>IF(E624&lt;0,-999999999,B624*(PRICE_TOM-FERT_TOM)+C624*(PRICE_CAR-FERT_CAR)+F624*(PRICE_MES-FERT_MES)-(FARMER_SALARY+A624*TEMP_COST)-FIXED_COSTS)</f>
        <v>-10132</v>
      </c>
    </row>
    <row r="625">
      <c r="A625" s="5" t="n">
        <v>1</v>
      </c>
      <c r="B625" s="5" t="n">
        <v>8</v>
      </c>
      <c r="C625" s="5" t="n">
        <v>3</v>
      </c>
      <c r="D625" s="18">
        <f>SEASON_HRS_TOM*B625*(1+DIM_TOM)^B625+SEASON_HRS_CAR*C625*(1+DIM_CAR)^C625</f>
        <v>1640.304099450001</v>
      </c>
      <c r="E625" s="18">
        <f>(FARMER_FIELD_HRS+A625*TEMP_HRS)-D625</f>
        <v>519.6959005499989</v>
      </c>
      <c r="F625" s="21">
        <f>IF(E625&lt;0,0,MIN(COUNTIF(Labor!$C$59:$C$88,"&lt;="&amp;E625),MAXBED_MES,TOTAL_BEDS-B625-C625))</f>
        <v>10</v>
      </c>
      <c r="G625" s="21">
        <f>B625+C625+F625</f>
        <v>21</v>
      </c>
      <c r="H625" s="22">
        <f>IF(E625&lt;0,-999999999,B625*(PRICE_TOM-FERT_TOM)+C625*(PRICE_CAR-FERT_CAR)+F625*(PRICE_MES-FERT_MES)-(FARMER_SALARY+A625*TEMP_COST)-FIXED_COSTS)</f>
        <v>-8478</v>
      </c>
    </row>
    <row r="626">
      <c r="A626" s="5" t="n">
        <v>1</v>
      </c>
      <c r="B626" s="5" t="n">
        <v>8</v>
      </c>
      <c r="C626" s="5" t="n">
        <v>4</v>
      </c>
      <c r="D626" s="18">
        <f>SEASON_HRS_TOM*B626*(1+DIM_TOM)^B626+SEASON_HRS_CAR*C626*(1+DIM_CAR)^C626</f>
        <v>1675.841490075001</v>
      </c>
      <c r="E626" s="18">
        <f>(FARMER_FIELD_HRS+A626*TEMP_HRS)-D626</f>
        <v>484.15850992499895</v>
      </c>
      <c r="F626" s="21">
        <f>IF(E626&lt;0,0,MIN(COUNTIF(Labor!$C$59:$C$88,"&lt;="&amp;E626),MAXBED_MES,TOTAL_BEDS-B626-C626))</f>
        <v>9</v>
      </c>
      <c r="G626" s="21">
        <f>B626+C626+F626</f>
        <v>21</v>
      </c>
      <c r="H626" s="22">
        <f>IF(E626&lt;0,-999999999,B626*(PRICE_TOM-FERT_TOM)+C626*(PRICE_CAR-FERT_CAR)+F626*(PRICE_MES-FERT_MES)-(FARMER_SALARY+A626*TEMP_COST)-FIXED_COSTS)</f>
        <v>-8644</v>
      </c>
    </row>
    <row r="627">
      <c r="A627" s="5" t="n">
        <v>1</v>
      </c>
      <c r="B627" s="5" t="n">
        <v>8</v>
      </c>
      <c r="C627" s="5" t="n">
        <v>5</v>
      </c>
      <c r="D627" s="18">
        <f>SEASON_HRS_TOM*B627*(1+DIM_TOM)^B627+SEASON_HRS_CAR*C627*(1+DIM_CAR)^C627</f>
        <v>1713.0951751335947</v>
      </c>
      <c r="E627" s="18">
        <f>(FARMER_FIELD_HRS+A627*TEMP_HRS)-D627</f>
        <v>446.9048248664053</v>
      </c>
      <c r="F627" s="21">
        <f>IF(E627&lt;0,0,MIN(COUNTIF(Labor!$C$59:$C$88,"&lt;="&amp;E627),MAXBED_MES,TOTAL_BEDS-B627-C627))</f>
        <v>8</v>
      </c>
      <c r="G627" s="21">
        <f>B627+C627+F627</f>
        <v>21</v>
      </c>
      <c r="H627" s="22">
        <f>IF(E627&lt;0,-999999999,B627*(PRICE_TOM-FERT_TOM)+C627*(PRICE_CAR-FERT_CAR)+F627*(PRICE_MES-FERT_MES)-(FARMER_SALARY+A627*TEMP_COST)-FIXED_COSTS)</f>
        <v>-8810</v>
      </c>
    </row>
    <row r="628">
      <c r="A628" s="5" t="n">
        <v>1</v>
      </c>
      <c r="B628" s="5" t="n">
        <v>8</v>
      </c>
      <c r="C628" s="5" t="n">
        <v>6</v>
      </c>
      <c r="D628" s="18">
        <f>SEASON_HRS_TOM*B628*(1+DIM_TOM)^B628+SEASON_HRS_CAR*C628*(1+DIM_CAR)^C628</f>
        <v>1752.1287584783213</v>
      </c>
      <c r="E628" s="18">
        <f>(FARMER_FIELD_HRS+A628*TEMP_HRS)-D628</f>
        <v>407.8712415216787</v>
      </c>
      <c r="F628" s="21">
        <f>IF(E628&lt;0,0,MIN(COUNTIF(Labor!$C$59:$C$88,"&lt;="&amp;E628),MAXBED_MES,TOTAL_BEDS-B628-C628))</f>
        <v>8</v>
      </c>
      <c r="G628" s="21">
        <f>B628+C628+F628</f>
        <v>22</v>
      </c>
      <c r="H628" s="22">
        <f>IF(E628&lt;0,-999999999,B628*(PRICE_TOM-FERT_TOM)+C628*(PRICE_CAR-FERT_CAR)+F628*(PRICE_MES-FERT_MES)-(FARMER_SALARY+A628*TEMP_COST)-FIXED_COSTS)</f>
        <v>-7156</v>
      </c>
    </row>
    <row r="629">
      <c r="A629" s="5" t="n">
        <v>1</v>
      </c>
      <c r="B629" s="5" t="n">
        <v>8</v>
      </c>
      <c r="C629" s="5" t="n">
        <v>7</v>
      </c>
      <c r="D629" s="18">
        <f>SEASON_HRS_TOM*B629*(1+DIM_TOM)^B629+SEASON_HRS_CAR*C629*(1+DIM_CAR)^C629</f>
        <v>1793.0079514703257</v>
      </c>
      <c r="E629" s="18">
        <f>(FARMER_FIELD_HRS+A629*TEMP_HRS)-D629</f>
        <v>366.9920485296743</v>
      </c>
      <c r="F629" s="21">
        <f>IF(E629&lt;0,0,MIN(COUNTIF(Labor!$C$59:$C$88,"&lt;="&amp;E629),MAXBED_MES,TOTAL_BEDS-B629-C629))</f>
        <v>7</v>
      </c>
      <c r="G629" s="21">
        <f>B629+C629+F629</f>
        <v>22</v>
      </c>
      <c r="H629" s="22">
        <f>IF(E629&lt;0,-999999999,B629*(PRICE_TOM-FERT_TOM)+C629*(PRICE_CAR-FERT_CAR)+F629*(PRICE_MES-FERT_MES)-(FARMER_SALARY+A629*TEMP_COST)-FIXED_COSTS)</f>
        <v>-7322</v>
      </c>
    </row>
    <row r="630">
      <c r="A630" s="5" t="n">
        <v>1</v>
      </c>
      <c r="B630" s="5" t="n">
        <v>8</v>
      </c>
      <c r="C630" s="5" t="n">
        <v>8</v>
      </c>
      <c r="D630" s="18">
        <f>SEASON_HRS_TOM*B630*(1+DIM_TOM)^B630+SEASON_HRS_CAR*C630*(1+DIM_CAR)^C630</f>
        <v>1835.8006386023812</v>
      </c>
      <c r="E630" s="18">
        <f>(FARMER_FIELD_HRS+A630*TEMP_HRS)-D630</f>
        <v>324.19936139761876</v>
      </c>
      <c r="F630" s="21">
        <f>IF(E630&lt;0,0,MIN(COUNTIF(Labor!$C$59:$C$88,"&lt;="&amp;E630),MAXBED_MES,TOTAL_BEDS-B630-C630))</f>
        <v>6</v>
      </c>
      <c r="G630" s="21">
        <f>B630+C630+F630</f>
        <v>22</v>
      </c>
      <c r="H630" s="22">
        <f>IF(E630&lt;0,-999999999,B630*(PRICE_TOM-FERT_TOM)+C630*(PRICE_CAR-FERT_CAR)+F630*(PRICE_MES-FERT_MES)-(FARMER_SALARY+A630*TEMP_COST)-FIXED_COSTS)</f>
        <v>-7488</v>
      </c>
    </row>
    <row r="631">
      <c r="A631" s="5" t="n">
        <v>1</v>
      </c>
      <c r="B631" s="5" t="n">
        <v>8</v>
      </c>
      <c r="C631" s="5" t="n">
        <v>9</v>
      </c>
      <c r="D631" s="18">
        <f>SEASON_HRS_TOM*B631*(1+DIM_TOM)^B631+SEASON_HRS_CAR*C631*(1+DIM_CAR)^C631</f>
        <v>1880.5769450858706</v>
      </c>
      <c r="E631" s="18">
        <f>(FARMER_FIELD_HRS+A631*TEMP_HRS)-D631</f>
        <v>279.42305491412935</v>
      </c>
      <c r="F631" s="21">
        <f>IF(E631&lt;0,0,MIN(COUNTIF(Labor!$C$59:$C$88,"&lt;="&amp;E631),MAXBED_MES,TOTAL_BEDS-B631-C631))</f>
        <v>5</v>
      </c>
      <c r="G631" s="21">
        <f>B631+C631+F631</f>
        <v>22</v>
      </c>
      <c r="H631" s="22">
        <f>IF(E631&lt;0,-999999999,B631*(PRICE_TOM-FERT_TOM)+C631*(PRICE_CAR-FERT_CAR)+F631*(PRICE_MES-FERT_MES)-(FARMER_SALARY+A631*TEMP_COST)-FIXED_COSTS)</f>
        <v>-7654</v>
      </c>
    </row>
    <row r="632">
      <c r="A632" s="5" t="n">
        <v>1</v>
      </c>
      <c r="B632" s="5" t="n">
        <v>8</v>
      </c>
      <c r="C632" s="5" t="n">
        <v>10</v>
      </c>
      <c r="D632" s="18">
        <f>SEASON_HRS_TOM*B632*(1+DIM_TOM)^B632+SEASON_HRS_CAR*C632*(1+DIM_CAR)^C632</f>
        <v>1927.409306458908</v>
      </c>
      <c r="E632" s="18">
        <f>(FARMER_FIELD_HRS+A632*TEMP_HRS)-D632</f>
        <v>232.59069354109192</v>
      </c>
      <c r="F632" s="21">
        <f>IF(E632&lt;0,0,MIN(COUNTIF(Labor!$C$59:$C$88,"&lt;="&amp;E632),MAXBED_MES,TOTAL_BEDS-B632-C632))</f>
        <v>4</v>
      </c>
      <c r="G632" s="21">
        <f>B632+C632+F632</f>
        <v>22</v>
      </c>
      <c r="H632" s="22">
        <f>IF(E632&lt;0,-999999999,B632*(PRICE_TOM-FERT_TOM)+C632*(PRICE_CAR-FERT_CAR)+F632*(PRICE_MES-FERT_MES)-(FARMER_SALARY+A632*TEMP_COST)-FIXED_COSTS)</f>
        <v>-7820</v>
      </c>
    </row>
    <row r="633">
      <c r="A633" s="5" t="n">
        <v>1</v>
      </c>
      <c r="B633" s="5" t="n">
        <v>8</v>
      </c>
      <c r="C633" s="5" t="n">
        <v>11</v>
      </c>
      <c r="D633" s="18">
        <f>SEASON_HRS_TOM*B633*(1+DIM_TOM)^B633+SEASON_HRS_CAR*C633*(1+DIM_CAR)^C633</f>
        <v>1976.3725402744187</v>
      </c>
      <c r="E633" s="18">
        <f>(FARMER_FIELD_HRS+A633*TEMP_HRS)-D633</f>
        <v>183.62745972558128</v>
      </c>
      <c r="F633" s="21">
        <f>IF(E633&lt;0,0,MIN(COUNTIF(Labor!$C$59:$C$88,"&lt;="&amp;E633),MAXBED_MES,TOTAL_BEDS-B633-C633))</f>
        <v>3</v>
      </c>
      <c r="G633" s="21">
        <f>B633+C633+F633</f>
        <v>22</v>
      </c>
      <c r="H633" s="22">
        <f>IF(E633&lt;0,-999999999,B633*(PRICE_TOM-FERT_TOM)+C633*(PRICE_CAR-FERT_CAR)+F633*(PRICE_MES-FERT_MES)-(FARMER_SALARY+A633*TEMP_COST)-FIXED_COSTS)</f>
        <v>-7986</v>
      </c>
    </row>
    <row r="634">
      <c r="A634" s="5" t="n">
        <v>1</v>
      </c>
      <c r="B634" s="5" t="n">
        <v>8</v>
      </c>
      <c r="C634" s="5" t="n">
        <v>12</v>
      </c>
      <c r="D634" s="18">
        <f>SEASON_HRS_TOM*B634*(1+DIM_TOM)^B634+SEASON_HRS_CAR*C634*(1+DIM_CAR)^C634</f>
        <v>2027.543919928668</v>
      </c>
      <c r="E634" s="18">
        <f>(FARMER_FIELD_HRS+A634*TEMP_HRS)-D634</f>
        <v>132.45608007133205</v>
      </c>
      <c r="F634" s="21">
        <f>IF(E634&lt;0,0,MIN(COUNTIF(Labor!$C$59:$C$88,"&lt;="&amp;E634),MAXBED_MES,TOTAL_BEDS-B634-C634))</f>
        <v>2</v>
      </c>
      <c r="G634" s="21">
        <f>B634+C634+F634</f>
        <v>22</v>
      </c>
      <c r="H634" s="22">
        <f>IF(E634&lt;0,-999999999,B634*(PRICE_TOM-FERT_TOM)+C634*(PRICE_CAR-FERT_CAR)+F634*(PRICE_MES-FERT_MES)-(FARMER_SALARY+A634*TEMP_COST)-FIXED_COSTS)</f>
        <v>-8152</v>
      </c>
    </row>
    <row r="635">
      <c r="A635" s="5" t="n">
        <v>1</v>
      </c>
      <c r="B635" s="5" t="n">
        <v>8</v>
      </c>
      <c r="C635" s="5" t="n">
        <v>13</v>
      </c>
      <c r="D635" s="18">
        <f>SEASON_HRS_TOM*B635*(1+DIM_TOM)^B635+SEASON_HRS_CAR*C635*(1+DIM_CAR)^C635</f>
        <v>2081.003250692458</v>
      </c>
      <c r="E635" s="18">
        <f>(FARMER_FIELD_HRS+A635*TEMP_HRS)-D635</f>
        <v>78.9967493075419</v>
      </c>
      <c r="F635" s="21">
        <f>IF(E635&lt;0,0,MIN(COUNTIF(Labor!$C$59:$C$88,"&lt;="&amp;E635),MAXBED_MES,TOTAL_BEDS-B635-C635))</f>
        <v>1</v>
      </c>
      <c r="G635" s="21">
        <f>B635+C635+F635</f>
        <v>22</v>
      </c>
      <c r="H635" s="22">
        <f>IF(E635&lt;0,-999999999,B635*(PRICE_TOM-FERT_TOM)+C635*(PRICE_CAR-FERT_CAR)+F635*(PRICE_MES-FERT_MES)-(FARMER_SALARY+A635*TEMP_COST)-FIXED_COSTS)</f>
        <v>-8318</v>
      </c>
    </row>
    <row r="636">
      <c r="A636" s="5" t="n">
        <v>1</v>
      </c>
      <c r="B636" s="5" t="n">
        <v>8</v>
      </c>
      <c r="C636" s="5" t="n">
        <v>14</v>
      </c>
      <c r="D636" s="18">
        <f>SEASON_HRS_TOM*B636*(1+DIM_TOM)^B636+SEASON_HRS_CAR*C636*(1+DIM_CAR)^C636</f>
        <v>2136.832948008983</v>
      </c>
      <c r="E636" s="18">
        <f>(FARMER_FIELD_HRS+A636*TEMP_HRS)-D636</f>
        <v>23.16705199101716</v>
      </c>
      <c r="F636" s="21">
        <f>IF(E636&lt;0,0,MIN(COUNTIF(Labor!$C$59:$C$88,"&lt;="&amp;E636),MAXBED_MES,TOTAL_BEDS-B636-C636))</f>
        <v>0</v>
      </c>
      <c r="G636" s="21">
        <f>B636+C636+F636</f>
        <v>22</v>
      </c>
      <c r="H636" s="22">
        <f>IF(E636&lt;0,-999999999,B636*(PRICE_TOM-FERT_TOM)+C636*(PRICE_CAR-FERT_CAR)+F636*(PRICE_MES-FERT_MES)-(FARMER_SALARY+A636*TEMP_COST)-FIXED_COSTS)</f>
        <v>-8484</v>
      </c>
    </row>
    <row r="637">
      <c r="A637" s="5" t="n">
        <v>1</v>
      </c>
      <c r="B637" s="5" t="n">
        <v>8</v>
      </c>
      <c r="C637" s="5" t="n">
        <v>15</v>
      </c>
      <c r="D637" s="18">
        <f>SEASON_HRS_TOM*B637*(1+DIM_TOM)^B637+SEASON_HRS_CAR*C637*(1+DIM_CAR)^C637</f>
        <v>2195.1181181241504</v>
      </c>
      <c r="E637" s="18">
        <f>(FARMER_FIELD_HRS+A637*TEMP_HRS)-D637</f>
        <v>-35.11811812415044</v>
      </c>
      <c r="F637" s="21">
        <f>IF(E637&lt;0,0,MIN(COUNTIF(Labor!$C$59:$C$88,"&lt;="&amp;E637),MAXBED_MES,TOTAL_BEDS-B637-C637))</f>
        <v>0</v>
      </c>
      <c r="G637" s="21">
        <f>B637+C637+F637</f>
        <v>23</v>
      </c>
      <c r="H637" s="22">
        <f>IF(E637&lt;0,-999999999,B637*(PRICE_TOM-FERT_TOM)+C637*(PRICE_CAR-FERT_CAR)+F637*(PRICE_MES-FERT_MES)-(FARMER_SALARY+A637*TEMP_COST)-FIXED_COSTS)</f>
        <v>-999999999</v>
      </c>
    </row>
    <row r="638">
      <c r="A638" s="5" t="n">
        <v>1</v>
      </c>
      <c r="B638" s="5" t="n">
        <v>8</v>
      </c>
      <c r="C638" s="5" t="n">
        <v>16</v>
      </c>
      <c r="D638" s="18">
        <f>SEASON_HRS_TOM*B638*(1+DIM_TOM)^B638+SEASON_HRS_CAR*C638*(1+DIM_CAR)^C638</f>
        <v>2255.946641117071</v>
      </c>
      <c r="E638" s="18">
        <f>(FARMER_FIELD_HRS+A638*TEMP_HRS)-D638</f>
        <v>-95.94664111707107</v>
      </c>
      <c r="F638" s="21">
        <f>IF(E638&lt;0,0,MIN(COUNTIF(Labor!$C$59:$C$88,"&lt;="&amp;E638),MAXBED_MES,TOTAL_BEDS-B638-C638))</f>
        <v>0</v>
      </c>
      <c r="G638" s="21">
        <f>B638+C638+F638</f>
        <v>24</v>
      </c>
      <c r="H638" s="22">
        <f>IF(E638&lt;0,-999999999,B638*(PRICE_TOM-FERT_TOM)+C638*(PRICE_CAR-FERT_CAR)+F638*(PRICE_MES-FERT_MES)-(FARMER_SALARY+A638*TEMP_COST)-FIXED_COSTS)</f>
        <v>-999999999</v>
      </c>
    </row>
    <row r="639">
      <c r="A639" s="5" t="n">
        <v>1</v>
      </c>
      <c r="B639" s="5" t="n">
        <v>8</v>
      </c>
      <c r="C639" s="5" t="n">
        <v>17</v>
      </c>
      <c r="D639" s="18">
        <f>SEASON_HRS_TOM*B639*(1+DIM_TOM)^B639+SEASON_HRS_CAR*C639*(1+DIM_CAR)^C639</f>
        <v>2319.40925640031</v>
      </c>
      <c r="E639" s="18">
        <f>(FARMER_FIELD_HRS+A639*TEMP_HRS)-D639</f>
        <v>-159.4092564003099</v>
      </c>
      <c r="F639" s="21">
        <f>IF(E639&lt;0,0,MIN(COUNTIF(Labor!$C$59:$C$88,"&lt;="&amp;E639),MAXBED_MES,TOTAL_BEDS-B639-C639))</f>
        <v>0</v>
      </c>
      <c r="G639" s="21">
        <f>B639+C639+F639</f>
        <v>25</v>
      </c>
      <c r="H639" s="22">
        <f>IF(E639&lt;0,-999999999,B639*(PRICE_TOM-FERT_TOM)+C639*(PRICE_CAR-FERT_CAR)+F639*(PRICE_MES-FERT_MES)-(FARMER_SALARY+A639*TEMP_COST)-FIXED_COSTS)</f>
        <v>-999999999</v>
      </c>
    </row>
    <row r="640">
      <c r="A640" s="5" t="n">
        <v>1</v>
      </c>
      <c r="B640" s="5" t="n">
        <v>8</v>
      </c>
      <c r="C640" s="5" t="n">
        <v>18</v>
      </c>
      <c r="D640" s="18">
        <f>SEASON_HRS_TOM*B640*(1+DIM_TOM)^B640+SEASON_HRS_CAR*C640*(1+DIM_CAR)^C640</f>
        <v>2385.5996507615127</v>
      </c>
      <c r="E640" s="18">
        <f>(FARMER_FIELD_HRS+A640*TEMP_HRS)-D640</f>
        <v>-225.59965076151275</v>
      </c>
      <c r="F640" s="21">
        <f>IF(E640&lt;0,0,MIN(COUNTIF(Labor!$C$59:$C$88,"&lt;="&amp;E640),MAXBED_MES,TOTAL_BEDS-B640-C640))</f>
        <v>0</v>
      </c>
      <c r="G640" s="21">
        <f>B640+C640+F640</f>
        <v>26</v>
      </c>
      <c r="H640" s="22">
        <f>IF(E640&lt;0,-999999999,B640*(PRICE_TOM-FERT_TOM)+C640*(PRICE_CAR-FERT_CAR)+F640*(PRICE_MES-FERT_MES)-(FARMER_SALARY+A640*TEMP_COST)-FIXED_COSTS)</f>
        <v>-999999999</v>
      </c>
    </row>
    <row r="641">
      <c r="A641" s="5" t="n">
        <v>1</v>
      </c>
      <c r="B641" s="5" t="n">
        <v>8</v>
      </c>
      <c r="C641" s="5" t="n">
        <v>19</v>
      </c>
      <c r="D641" s="18">
        <f>SEASON_HRS_TOM*B641*(1+DIM_TOM)^B641+SEASON_HRS_CAR*C641*(1+DIM_CAR)^C641</f>
        <v>2454.614549020025</v>
      </c>
      <c r="E641" s="18">
        <f>(FARMER_FIELD_HRS+A641*TEMP_HRS)-D641</f>
        <v>-294.61454902002515</v>
      </c>
      <c r="F641" s="21">
        <f>IF(E641&lt;0,0,MIN(COUNTIF(Labor!$C$59:$C$88,"&lt;="&amp;E641),MAXBED_MES,TOTAL_BEDS-B641-C641))</f>
        <v>0</v>
      </c>
      <c r="G641" s="21">
        <f>B641+C641+F641</f>
        <v>27</v>
      </c>
      <c r="H641" s="22">
        <f>IF(E641&lt;0,-999999999,B641*(PRICE_TOM-FERT_TOM)+C641*(PRICE_CAR-FERT_CAR)+F641*(PRICE_MES-FERT_MES)-(FARMER_SALARY+A641*TEMP_COST)-FIXED_COSTS)</f>
        <v>-999999999</v>
      </c>
    </row>
    <row r="642">
      <c r="A642" s="5" t="n">
        <v>1</v>
      </c>
      <c r="B642" s="5" t="n">
        <v>8</v>
      </c>
      <c r="C642" s="5" t="n">
        <v>20</v>
      </c>
      <c r="D642" s="18">
        <f>SEASON_HRS_TOM*B642*(1+DIM_TOM)^B642+SEASON_HRS_CAR*C642*(1+DIM_CAR)^C642</f>
        <v>2526.5538073742377</v>
      </c>
      <c r="E642" s="18">
        <f>(FARMER_FIELD_HRS+A642*TEMP_HRS)-D642</f>
        <v>-366.55380737423775</v>
      </c>
      <c r="F642" s="21">
        <f>IF(E642&lt;0,0,MIN(COUNTIF(Labor!$C$59:$C$88,"&lt;="&amp;E642),MAXBED_MES,TOTAL_BEDS-B642-C642))</f>
        <v>0</v>
      </c>
      <c r="G642" s="21">
        <f>B642+C642+F642</f>
        <v>28</v>
      </c>
      <c r="H642" s="22">
        <f>IF(E642&lt;0,-999999999,B642*(PRICE_TOM-FERT_TOM)+C642*(PRICE_CAR-FERT_CAR)+F642*(PRICE_MES-FERT_MES)-(FARMER_SALARY+A642*TEMP_COST)-FIXED_COSTS)</f>
        <v>-999999999</v>
      </c>
    </row>
    <row r="643">
      <c r="A643" s="5" t="n">
        <v>1</v>
      </c>
      <c r="B643" s="5" t="n">
        <v>9</v>
      </c>
      <c r="C643" s="5" t="n">
        <v>0</v>
      </c>
      <c r="D643" s="18">
        <f>SEASON_HRS_TOM*B643*(1+DIM_TOM)^B643+SEASON_HRS_CAR*C643*(1+DIM_CAR)^C643</f>
        <v>1909.9376297100016</v>
      </c>
      <c r="E643" s="18">
        <f>(FARMER_FIELD_HRS+A643*TEMP_HRS)-D643</f>
        <v>250.0623702899984</v>
      </c>
      <c r="F643" s="21">
        <f>IF(E643&lt;0,0,MIN(COUNTIF(Labor!$C$59:$C$88,"&lt;="&amp;E643),MAXBED_MES,TOTAL_BEDS-B643-C643))</f>
        <v>5</v>
      </c>
      <c r="G643" s="21">
        <f>B643+C643+F643</f>
        <v>14</v>
      </c>
      <c r="H643" s="22">
        <f>IF(E643&lt;0,-999999999,B643*(PRICE_TOM-FERT_TOM)+C643*(PRICE_CAR-FERT_CAR)+F643*(PRICE_MES-FERT_MES)-(FARMER_SALARY+A643*TEMP_COST)-FIXED_COSTS)</f>
        <v>-14620</v>
      </c>
    </row>
    <row r="644">
      <c r="A644" s="5" t="n">
        <v>1</v>
      </c>
      <c r="B644" s="5" t="n">
        <v>9</v>
      </c>
      <c r="C644" s="5" t="n">
        <v>1</v>
      </c>
      <c r="D644" s="18">
        <f>SEASON_HRS_TOM*B644*(1+DIM_TOM)^B644+SEASON_HRS_CAR*C644*(1+DIM_CAR)^C644</f>
        <v>1940.6876297100016</v>
      </c>
      <c r="E644" s="18">
        <f>(FARMER_FIELD_HRS+A644*TEMP_HRS)-D644</f>
        <v>219.3123702899984</v>
      </c>
      <c r="F644" s="21">
        <f>IF(E644&lt;0,0,MIN(COUNTIF(Labor!$C$59:$C$88,"&lt;="&amp;E644),MAXBED_MES,TOTAL_BEDS-B644-C644))</f>
        <v>4</v>
      </c>
      <c r="G644" s="21">
        <f>B644+C644+F644</f>
        <v>14</v>
      </c>
      <c r="H644" s="22">
        <f>IF(E644&lt;0,-999999999,B644*(PRICE_TOM-FERT_TOM)+C644*(PRICE_CAR-FERT_CAR)+F644*(PRICE_MES-FERT_MES)-(FARMER_SALARY+A644*TEMP_COST)-FIXED_COSTS)</f>
        <v>-14786</v>
      </c>
    </row>
    <row r="645">
      <c r="A645" s="5" t="n">
        <v>1</v>
      </c>
      <c r="B645" s="5" t="n">
        <v>9</v>
      </c>
      <c r="C645" s="5" t="n">
        <v>2</v>
      </c>
      <c r="D645" s="18">
        <f>SEASON_HRS_TOM*B645*(1+DIM_TOM)^B645+SEASON_HRS_CAR*C645*(1+DIM_CAR)^C645</f>
        <v>1972.9751297100015</v>
      </c>
      <c r="E645" s="18">
        <f>(FARMER_FIELD_HRS+A645*TEMP_HRS)-D645</f>
        <v>187.0248702899985</v>
      </c>
      <c r="F645" s="21">
        <f>IF(E645&lt;0,0,MIN(COUNTIF(Labor!$C$59:$C$88,"&lt;="&amp;E645),MAXBED_MES,TOTAL_BEDS-B645-C645))</f>
        <v>3</v>
      </c>
      <c r="G645" s="21">
        <f>B645+C645+F645</f>
        <v>14</v>
      </c>
      <c r="H645" s="22">
        <f>IF(E645&lt;0,-999999999,B645*(PRICE_TOM-FERT_TOM)+C645*(PRICE_CAR-FERT_CAR)+F645*(PRICE_MES-FERT_MES)-(FARMER_SALARY+A645*TEMP_COST)-FIXED_COSTS)</f>
        <v>-14952</v>
      </c>
    </row>
    <row r="646">
      <c r="A646" s="5" t="n">
        <v>1</v>
      </c>
      <c r="B646" s="5" t="n">
        <v>9</v>
      </c>
      <c r="C646" s="5" t="n">
        <v>3</v>
      </c>
      <c r="D646" s="18">
        <f>SEASON_HRS_TOM*B646*(1+DIM_TOM)^B646+SEASON_HRS_CAR*C646*(1+DIM_CAR)^C646</f>
        <v>2006.8577859600016</v>
      </c>
      <c r="E646" s="18">
        <f>(FARMER_FIELD_HRS+A646*TEMP_HRS)-D646</f>
        <v>153.1422140399984</v>
      </c>
      <c r="F646" s="21">
        <f>IF(E646&lt;0,0,MIN(COUNTIF(Labor!$C$59:$C$88,"&lt;="&amp;E646),MAXBED_MES,TOTAL_BEDS-B646-C646))</f>
        <v>3</v>
      </c>
      <c r="G646" s="21">
        <f>B646+C646+F646</f>
        <v>15</v>
      </c>
      <c r="H646" s="22">
        <f>IF(E646&lt;0,-999999999,B646*(PRICE_TOM-FERT_TOM)+C646*(PRICE_CAR-FERT_CAR)+F646*(PRICE_MES-FERT_MES)-(FARMER_SALARY+A646*TEMP_COST)-FIXED_COSTS)</f>
        <v>-13298</v>
      </c>
    </row>
    <row r="647">
      <c r="A647" s="5" t="n">
        <v>1</v>
      </c>
      <c r="B647" s="5" t="n">
        <v>9</v>
      </c>
      <c r="C647" s="5" t="n">
        <v>4</v>
      </c>
      <c r="D647" s="18">
        <f>SEASON_HRS_TOM*B647*(1+DIM_TOM)^B647+SEASON_HRS_CAR*C647*(1+DIM_CAR)^C647</f>
        <v>2042.3951765850015</v>
      </c>
      <c r="E647" s="18">
        <f>(FARMER_FIELD_HRS+A647*TEMP_HRS)-D647</f>
        <v>117.60482341499846</v>
      </c>
      <c r="F647" s="21">
        <f>IF(E647&lt;0,0,MIN(COUNTIF(Labor!$C$59:$C$88,"&lt;="&amp;E647),MAXBED_MES,TOTAL_BEDS-B647-C647))</f>
        <v>2</v>
      </c>
      <c r="G647" s="21">
        <f>B647+C647+F647</f>
        <v>15</v>
      </c>
      <c r="H647" s="22">
        <f>IF(E647&lt;0,-999999999,B647*(PRICE_TOM-FERT_TOM)+C647*(PRICE_CAR-FERT_CAR)+F647*(PRICE_MES-FERT_MES)-(FARMER_SALARY+A647*TEMP_COST)-FIXED_COSTS)</f>
        <v>-13464</v>
      </c>
    </row>
    <row r="648">
      <c r="A648" s="5" t="n">
        <v>1</v>
      </c>
      <c r="B648" s="5" t="n">
        <v>9</v>
      </c>
      <c r="C648" s="5" t="n">
        <v>5</v>
      </c>
      <c r="D648" s="18">
        <f>SEASON_HRS_TOM*B648*(1+DIM_TOM)^B648+SEASON_HRS_CAR*C648*(1+DIM_CAR)^C648</f>
        <v>2079.6488616435954</v>
      </c>
      <c r="E648" s="18">
        <f>(FARMER_FIELD_HRS+A648*TEMP_HRS)-D648</f>
        <v>80.35113835640459</v>
      </c>
      <c r="F648" s="21">
        <f>IF(E648&lt;0,0,MIN(COUNTIF(Labor!$C$59:$C$88,"&lt;="&amp;E648),MAXBED_MES,TOTAL_BEDS-B648-C648))</f>
        <v>1</v>
      </c>
      <c r="G648" s="21">
        <f>B648+C648+F648</f>
        <v>15</v>
      </c>
      <c r="H648" s="22">
        <f>IF(E648&lt;0,-999999999,B648*(PRICE_TOM-FERT_TOM)+C648*(PRICE_CAR-FERT_CAR)+F648*(PRICE_MES-FERT_MES)-(FARMER_SALARY+A648*TEMP_COST)-FIXED_COSTS)</f>
        <v>-13630</v>
      </c>
    </row>
    <row r="649">
      <c r="A649" s="5" t="n">
        <v>1</v>
      </c>
      <c r="B649" s="5" t="n">
        <v>9</v>
      </c>
      <c r="C649" s="5" t="n">
        <v>6</v>
      </c>
      <c r="D649" s="18">
        <f>SEASON_HRS_TOM*B649*(1+DIM_TOM)^B649+SEASON_HRS_CAR*C649*(1+DIM_CAR)^C649</f>
        <v>2118.682444988322</v>
      </c>
      <c r="E649" s="18">
        <f>(FARMER_FIELD_HRS+A649*TEMP_HRS)-D649</f>
        <v>41.317555011677996</v>
      </c>
      <c r="F649" s="21">
        <f>IF(E649&lt;0,0,MIN(COUNTIF(Labor!$C$59:$C$88,"&lt;="&amp;E649),MAXBED_MES,TOTAL_BEDS-B649-C649))</f>
        <v>0</v>
      </c>
      <c r="G649" s="21">
        <f>B649+C649+F649</f>
        <v>15</v>
      </c>
      <c r="H649" s="22">
        <f>IF(E649&lt;0,-999999999,B649*(PRICE_TOM-FERT_TOM)+C649*(PRICE_CAR-FERT_CAR)+F649*(PRICE_MES-FERT_MES)-(FARMER_SALARY+A649*TEMP_COST)-FIXED_COSTS)</f>
        <v>-13796</v>
      </c>
    </row>
    <row r="650">
      <c r="A650" s="5" t="n">
        <v>1</v>
      </c>
      <c r="B650" s="5" t="n">
        <v>9</v>
      </c>
      <c r="C650" s="5" t="n">
        <v>7</v>
      </c>
      <c r="D650" s="18">
        <f>SEASON_HRS_TOM*B650*(1+DIM_TOM)^B650+SEASON_HRS_CAR*C650*(1+DIM_CAR)^C650</f>
        <v>2159.561637980326</v>
      </c>
      <c r="E650" s="18">
        <f>(FARMER_FIELD_HRS+A650*TEMP_HRS)-D650</f>
        <v>0.4383620196740594</v>
      </c>
      <c r="F650" s="21">
        <f>IF(E650&lt;0,0,MIN(COUNTIF(Labor!$C$59:$C$88,"&lt;="&amp;E650),MAXBED_MES,TOTAL_BEDS-B650-C650))</f>
        <v>0</v>
      </c>
      <c r="G650" s="21">
        <f>B650+C650+F650</f>
        <v>16</v>
      </c>
      <c r="H650" s="22">
        <f>IF(E650&lt;0,-999999999,B650*(PRICE_TOM-FERT_TOM)+C650*(PRICE_CAR-FERT_CAR)+F650*(PRICE_MES-FERT_MES)-(FARMER_SALARY+A650*TEMP_COST)-FIXED_COSTS)</f>
        <v>-12142</v>
      </c>
    </row>
    <row r="651">
      <c r="A651" s="5" t="n">
        <v>1</v>
      </c>
      <c r="B651" s="5" t="n">
        <v>9</v>
      </c>
      <c r="C651" s="5" t="n">
        <v>8</v>
      </c>
      <c r="D651" s="18">
        <f>SEASON_HRS_TOM*B651*(1+DIM_TOM)^B651+SEASON_HRS_CAR*C651*(1+DIM_CAR)^C651</f>
        <v>2202.354325112382</v>
      </c>
      <c r="E651" s="18">
        <f>(FARMER_FIELD_HRS+A651*TEMP_HRS)-D651</f>
        <v>-42.35432511238196</v>
      </c>
      <c r="F651" s="21">
        <f>IF(E651&lt;0,0,MIN(COUNTIF(Labor!$C$59:$C$88,"&lt;="&amp;E651),MAXBED_MES,TOTAL_BEDS-B651-C651))</f>
        <v>0</v>
      </c>
      <c r="G651" s="21">
        <f>B651+C651+F651</f>
        <v>17</v>
      </c>
      <c r="H651" s="22">
        <f>IF(E651&lt;0,-999999999,B651*(PRICE_TOM-FERT_TOM)+C651*(PRICE_CAR-FERT_CAR)+F651*(PRICE_MES-FERT_MES)-(FARMER_SALARY+A651*TEMP_COST)-FIXED_COSTS)</f>
        <v>-999999999</v>
      </c>
    </row>
    <row r="652">
      <c r="A652" s="5" t="n">
        <v>1</v>
      </c>
      <c r="B652" s="5" t="n">
        <v>9</v>
      </c>
      <c r="C652" s="5" t="n">
        <v>9</v>
      </c>
      <c r="D652" s="18">
        <f>SEASON_HRS_TOM*B652*(1+DIM_TOM)^B652+SEASON_HRS_CAR*C652*(1+DIM_CAR)^C652</f>
        <v>2247.1306315958714</v>
      </c>
      <c r="E652" s="18">
        <f>(FARMER_FIELD_HRS+A652*TEMP_HRS)-D652</f>
        <v>-87.13063159587136</v>
      </c>
      <c r="F652" s="21">
        <f>IF(E652&lt;0,0,MIN(COUNTIF(Labor!$C$59:$C$88,"&lt;="&amp;E652),MAXBED_MES,TOTAL_BEDS-B652-C652))</f>
        <v>0</v>
      </c>
      <c r="G652" s="21">
        <f>B652+C652+F652</f>
        <v>18</v>
      </c>
      <c r="H652" s="22">
        <f>IF(E652&lt;0,-999999999,B652*(PRICE_TOM-FERT_TOM)+C652*(PRICE_CAR-FERT_CAR)+F652*(PRICE_MES-FERT_MES)-(FARMER_SALARY+A652*TEMP_COST)-FIXED_COSTS)</f>
        <v>-999999999</v>
      </c>
    </row>
    <row r="653">
      <c r="A653" s="5" t="n">
        <v>1</v>
      </c>
      <c r="B653" s="5" t="n">
        <v>9</v>
      </c>
      <c r="C653" s="5" t="n">
        <v>10</v>
      </c>
      <c r="D653" s="18">
        <f>SEASON_HRS_TOM*B653*(1+DIM_TOM)^B653+SEASON_HRS_CAR*C653*(1+DIM_CAR)^C653</f>
        <v>2293.9629929689086</v>
      </c>
      <c r="E653" s="18">
        <f>(FARMER_FIELD_HRS+A653*TEMP_HRS)-D653</f>
        <v>-133.96299296890857</v>
      </c>
      <c r="F653" s="21">
        <f>IF(E653&lt;0,0,MIN(COUNTIF(Labor!$C$59:$C$88,"&lt;="&amp;E653),MAXBED_MES,TOTAL_BEDS-B653-C653))</f>
        <v>0</v>
      </c>
      <c r="G653" s="21">
        <f>B653+C653+F653</f>
        <v>19</v>
      </c>
      <c r="H653" s="22">
        <f>IF(E653&lt;0,-999999999,B653*(PRICE_TOM-FERT_TOM)+C653*(PRICE_CAR-FERT_CAR)+F653*(PRICE_MES-FERT_MES)-(FARMER_SALARY+A653*TEMP_COST)-FIXED_COSTS)</f>
        <v>-999999999</v>
      </c>
    </row>
    <row r="654">
      <c r="A654" s="5" t="n">
        <v>1</v>
      </c>
      <c r="B654" s="5" t="n">
        <v>9</v>
      </c>
      <c r="C654" s="5" t="n">
        <v>11</v>
      </c>
      <c r="D654" s="18">
        <f>SEASON_HRS_TOM*B654*(1+DIM_TOM)^B654+SEASON_HRS_CAR*C654*(1+DIM_CAR)^C654</f>
        <v>2342.926226784419</v>
      </c>
      <c r="E654" s="18">
        <f>(FARMER_FIELD_HRS+A654*TEMP_HRS)-D654</f>
        <v>-182.9262267844192</v>
      </c>
      <c r="F654" s="21">
        <f>IF(E654&lt;0,0,MIN(COUNTIF(Labor!$C$59:$C$88,"&lt;="&amp;E654),MAXBED_MES,TOTAL_BEDS-B654-C654))</f>
        <v>0</v>
      </c>
      <c r="G654" s="21">
        <f>B654+C654+F654</f>
        <v>20</v>
      </c>
      <c r="H654" s="22">
        <f>IF(E654&lt;0,-999999999,B654*(PRICE_TOM-FERT_TOM)+C654*(PRICE_CAR-FERT_CAR)+F654*(PRICE_MES-FERT_MES)-(FARMER_SALARY+A654*TEMP_COST)-FIXED_COSTS)</f>
        <v>-999999999</v>
      </c>
    </row>
    <row r="655">
      <c r="A655" s="5" t="n">
        <v>1</v>
      </c>
      <c r="B655" s="5" t="n">
        <v>9</v>
      </c>
      <c r="C655" s="5" t="n">
        <v>12</v>
      </c>
      <c r="D655" s="18">
        <f>SEASON_HRS_TOM*B655*(1+DIM_TOM)^B655+SEASON_HRS_CAR*C655*(1+DIM_CAR)^C655</f>
        <v>2394.0976064386687</v>
      </c>
      <c r="E655" s="18">
        <f>(FARMER_FIELD_HRS+A655*TEMP_HRS)-D655</f>
        <v>-234.09760643866866</v>
      </c>
      <c r="F655" s="21">
        <f>IF(E655&lt;0,0,MIN(COUNTIF(Labor!$C$59:$C$88,"&lt;="&amp;E655),MAXBED_MES,TOTAL_BEDS-B655-C655))</f>
        <v>0</v>
      </c>
      <c r="G655" s="21">
        <f>B655+C655+F655</f>
        <v>21</v>
      </c>
      <c r="H655" s="22">
        <f>IF(E655&lt;0,-999999999,B655*(PRICE_TOM-FERT_TOM)+C655*(PRICE_CAR-FERT_CAR)+F655*(PRICE_MES-FERT_MES)-(FARMER_SALARY+A655*TEMP_COST)-FIXED_COSTS)</f>
        <v>-999999999</v>
      </c>
    </row>
    <row r="656">
      <c r="A656" s="5" t="n">
        <v>1</v>
      </c>
      <c r="B656" s="5" t="n">
        <v>9</v>
      </c>
      <c r="C656" s="5" t="n">
        <v>13</v>
      </c>
      <c r="D656" s="18">
        <f>SEASON_HRS_TOM*B656*(1+DIM_TOM)^B656+SEASON_HRS_CAR*C656*(1+DIM_CAR)^C656</f>
        <v>2447.556937202459</v>
      </c>
      <c r="E656" s="18">
        <f>(FARMER_FIELD_HRS+A656*TEMP_HRS)-D656</f>
        <v>-287.5569372024588</v>
      </c>
      <c r="F656" s="21">
        <f>IF(E656&lt;0,0,MIN(COUNTIF(Labor!$C$59:$C$88,"&lt;="&amp;E656),MAXBED_MES,TOTAL_BEDS-B656-C656))</f>
        <v>0</v>
      </c>
      <c r="G656" s="21">
        <f>B656+C656+F656</f>
        <v>22</v>
      </c>
      <c r="H656" s="22">
        <f>IF(E656&lt;0,-999999999,B656*(PRICE_TOM-FERT_TOM)+C656*(PRICE_CAR-FERT_CAR)+F656*(PRICE_MES-FERT_MES)-(FARMER_SALARY+A656*TEMP_COST)-FIXED_COSTS)</f>
        <v>-999999999</v>
      </c>
    </row>
    <row r="657">
      <c r="A657" s="5" t="n">
        <v>1</v>
      </c>
      <c r="B657" s="5" t="n">
        <v>9</v>
      </c>
      <c r="C657" s="5" t="n">
        <v>14</v>
      </c>
      <c r="D657" s="18">
        <f>SEASON_HRS_TOM*B657*(1+DIM_TOM)^B657+SEASON_HRS_CAR*C657*(1+DIM_CAR)^C657</f>
        <v>2503.386634518983</v>
      </c>
      <c r="E657" s="18">
        <f>(FARMER_FIELD_HRS+A657*TEMP_HRS)-D657</f>
        <v>-343.3866345189831</v>
      </c>
      <c r="F657" s="21">
        <f>IF(E657&lt;0,0,MIN(COUNTIF(Labor!$C$59:$C$88,"&lt;="&amp;E657),MAXBED_MES,TOTAL_BEDS-B657-C657))</f>
        <v>0</v>
      </c>
      <c r="G657" s="21">
        <f>B657+C657+F657</f>
        <v>23</v>
      </c>
      <c r="H657" s="22">
        <f>IF(E657&lt;0,-999999999,B657*(PRICE_TOM-FERT_TOM)+C657*(PRICE_CAR-FERT_CAR)+F657*(PRICE_MES-FERT_MES)-(FARMER_SALARY+A657*TEMP_COST)-FIXED_COSTS)</f>
        <v>-999999999</v>
      </c>
    </row>
    <row r="658">
      <c r="A658" s="5" t="n">
        <v>1</v>
      </c>
      <c r="B658" s="5" t="n">
        <v>9</v>
      </c>
      <c r="C658" s="5" t="n">
        <v>15</v>
      </c>
      <c r="D658" s="18">
        <f>SEASON_HRS_TOM*B658*(1+DIM_TOM)^B658+SEASON_HRS_CAR*C658*(1+DIM_CAR)^C658</f>
        <v>2561.671804634151</v>
      </c>
      <c r="E658" s="18">
        <f>(FARMER_FIELD_HRS+A658*TEMP_HRS)-D658</f>
        <v>-401.67180463415116</v>
      </c>
      <c r="F658" s="21">
        <f>IF(E658&lt;0,0,MIN(COUNTIF(Labor!$C$59:$C$88,"&lt;="&amp;E658),MAXBED_MES,TOTAL_BEDS-B658-C658))</f>
        <v>0</v>
      </c>
      <c r="G658" s="21">
        <f>B658+C658+F658</f>
        <v>24</v>
      </c>
      <c r="H658" s="22">
        <f>IF(E658&lt;0,-999999999,B658*(PRICE_TOM-FERT_TOM)+C658*(PRICE_CAR-FERT_CAR)+F658*(PRICE_MES-FERT_MES)-(FARMER_SALARY+A658*TEMP_COST)-FIXED_COSTS)</f>
        <v>-999999999</v>
      </c>
    </row>
    <row r="659">
      <c r="A659" s="5" t="n">
        <v>1</v>
      </c>
      <c r="B659" s="5" t="n">
        <v>9</v>
      </c>
      <c r="C659" s="5" t="n">
        <v>16</v>
      </c>
      <c r="D659" s="18">
        <f>SEASON_HRS_TOM*B659*(1+DIM_TOM)^B659+SEASON_HRS_CAR*C659*(1+DIM_CAR)^C659</f>
        <v>2622.5003276270713</v>
      </c>
      <c r="E659" s="18">
        <f>(FARMER_FIELD_HRS+A659*TEMP_HRS)-D659</f>
        <v>-462.50032762707133</v>
      </c>
      <c r="F659" s="21">
        <f>IF(E659&lt;0,0,MIN(COUNTIF(Labor!$C$59:$C$88,"&lt;="&amp;E659),MAXBED_MES,TOTAL_BEDS-B659-C659))</f>
        <v>0</v>
      </c>
      <c r="G659" s="21">
        <f>B659+C659+F659</f>
        <v>25</v>
      </c>
      <c r="H659" s="22">
        <f>IF(E659&lt;0,-999999999,B659*(PRICE_TOM-FERT_TOM)+C659*(PRICE_CAR-FERT_CAR)+F659*(PRICE_MES-FERT_MES)-(FARMER_SALARY+A659*TEMP_COST)-FIXED_COSTS)</f>
        <v>-999999999</v>
      </c>
    </row>
    <row r="660">
      <c r="A660" s="5" t="n">
        <v>1</v>
      </c>
      <c r="B660" s="5" t="n">
        <v>9</v>
      </c>
      <c r="C660" s="5" t="n">
        <v>17</v>
      </c>
      <c r="D660" s="18">
        <f>SEASON_HRS_TOM*B660*(1+DIM_TOM)^B660+SEASON_HRS_CAR*C660*(1+DIM_CAR)^C660</f>
        <v>2685.9629429103106</v>
      </c>
      <c r="E660" s="18">
        <f>(FARMER_FIELD_HRS+A660*TEMP_HRS)-D660</f>
        <v>-525.9629429103106</v>
      </c>
      <c r="F660" s="21">
        <f>IF(E660&lt;0,0,MIN(COUNTIF(Labor!$C$59:$C$88,"&lt;="&amp;E660),MAXBED_MES,TOTAL_BEDS-B660-C660))</f>
        <v>0</v>
      </c>
      <c r="G660" s="21">
        <f>B660+C660+F660</f>
        <v>26</v>
      </c>
      <c r="H660" s="22">
        <f>IF(E660&lt;0,-999999999,B660*(PRICE_TOM-FERT_TOM)+C660*(PRICE_CAR-FERT_CAR)+F660*(PRICE_MES-FERT_MES)-(FARMER_SALARY+A660*TEMP_COST)-FIXED_COSTS)</f>
        <v>-999999999</v>
      </c>
    </row>
    <row r="661">
      <c r="A661" s="5" t="n">
        <v>1</v>
      </c>
      <c r="B661" s="5" t="n">
        <v>9</v>
      </c>
      <c r="C661" s="5" t="n">
        <v>18</v>
      </c>
      <c r="D661" s="18">
        <f>SEASON_HRS_TOM*B661*(1+DIM_TOM)^B661+SEASON_HRS_CAR*C661*(1+DIM_CAR)^C661</f>
        <v>2752.153337271513</v>
      </c>
      <c r="E661" s="18">
        <f>(FARMER_FIELD_HRS+A661*TEMP_HRS)-D661</f>
        <v>-592.153337271513</v>
      </c>
      <c r="F661" s="21">
        <f>IF(E661&lt;0,0,MIN(COUNTIF(Labor!$C$59:$C$88,"&lt;="&amp;E661),MAXBED_MES,TOTAL_BEDS-B661-C661))</f>
        <v>0</v>
      </c>
      <c r="G661" s="21">
        <f>B661+C661+F661</f>
        <v>27</v>
      </c>
      <c r="H661" s="22">
        <f>IF(E661&lt;0,-999999999,B661*(PRICE_TOM-FERT_TOM)+C661*(PRICE_CAR-FERT_CAR)+F661*(PRICE_MES-FERT_MES)-(FARMER_SALARY+A661*TEMP_COST)-FIXED_COSTS)</f>
        <v>-999999999</v>
      </c>
    </row>
    <row r="662">
      <c r="A662" s="5" t="n">
        <v>1</v>
      </c>
      <c r="B662" s="5" t="n">
        <v>9</v>
      </c>
      <c r="C662" s="5" t="n">
        <v>19</v>
      </c>
      <c r="D662" s="18">
        <f>SEASON_HRS_TOM*B662*(1+DIM_TOM)^B662+SEASON_HRS_CAR*C662*(1+DIM_CAR)^C662</f>
        <v>2821.168235530026</v>
      </c>
      <c r="E662" s="18">
        <f>(FARMER_FIELD_HRS+A662*TEMP_HRS)-D662</f>
        <v>-661.1682355300259</v>
      </c>
      <c r="F662" s="21">
        <f>IF(E662&lt;0,0,MIN(COUNTIF(Labor!$C$59:$C$88,"&lt;="&amp;E662),MAXBED_MES,TOTAL_BEDS-B662-C662))</f>
        <v>0</v>
      </c>
      <c r="G662" s="21">
        <f>B662+C662+F662</f>
        <v>28</v>
      </c>
      <c r="H662" s="22">
        <f>IF(E662&lt;0,-999999999,B662*(PRICE_TOM-FERT_TOM)+C662*(PRICE_CAR-FERT_CAR)+F662*(PRICE_MES-FERT_MES)-(FARMER_SALARY+A662*TEMP_COST)-FIXED_COSTS)</f>
        <v>-999999999</v>
      </c>
    </row>
    <row r="663">
      <c r="A663" s="5" t="n">
        <v>1</v>
      </c>
      <c r="B663" s="5" t="n">
        <v>9</v>
      </c>
      <c r="C663" s="5" t="n">
        <v>20</v>
      </c>
      <c r="D663" s="18">
        <f>SEASON_HRS_TOM*B663*(1+DIM_TOM)^B663+SEASON_HRS_CAR*C663*(1+DIM_CAR)^C663</f>
        <v>2893.107493884238</v>
      </c>
      <c r="E663" s="18">
        <f>(FARMER_FIELD_HRS+A663*TEMP_HRS)-D663</f>
        <v>-733.107493884238</v>
      </c>
      <c r="F663" s="21">
        <f>IF(E663&lt;0,0,MIN(COUNTIF(Labor!$C$59:$C$88,"&lt;="&amp;E663),MAXBED_MES,TOTAL_BEDS-B663-C663))</f>
        <v>0</v>
      </c>
      <c r="G663" s="21">
        <f>B663+C663+F663</f>
        <v>29</v>
      </c>
      <c r="H663" s="22">
        <f>IF(E663&lt;0,-999999999,B663*(PRICE_TOM-FERT_TOM)+C663*(PRICE_CAR-FERT_CAR)+F663*(PRICE_MES-FERT_MES)-(FARMER_SALARY+A663*TEMP_COST)-FIXED_COSTS)</f>
        <v>-999999999</v>
      </c>
    </row>
    <row r="664">
      <c r="A664" s="5" t="n">
        <v>1</v>
      </c>
      <c r="B664" s="5" t="n">
        <v>10</v>
      </c>
      <c r="C664" s="5" t="n">
        <v>0</v>
      </c>
      <c r="D664" s="18">
        <f>SEASON_HRS_TOM*B664*(1+DIM_TOM)^B664+SEASON_HRS_CAR*C664*(1+DIM_CAR)^C664</f>
        <v>2334.368214090002</v>
      </c>
      <c r="E664" s="18">
        <f>(FARMER_FIELD_HRS+A664*TEMP_HRS)-D664</f>
        <v>-174.36821409000186</v>
      </c>
      <c r="F664" s="21">
        <f>IF(E664&lt;0,0,MIN(COUNTIF(Labor!$C$59:$C$88,"&lt;="&amp;E664),MAXBED_MES,TOTAL_BEDS-B664-C664))</f>
        <v>0</v>
      </c>
      <c r="G664" s="21">
        <f>B664+C664+F664</f>
        <v>10</v>
      </c>
      <c r="H664" s="22">
        <f>IF(E664&lt;0,-999999999,B664*(PRICE_TOM-FERT_TOM)+C664*(PRICE_CAR-FERT_CAR)+F664*(PRICE_MES-FERT_MES)-(FARMER_SALARY+A664*TEMP_COST)-FIXED_COSTS)</f>
        <v>-999999999</v>
      </c>
    </row>
    <row r="665">
      <c r="A665" s="5" t="n">
        <v>1</v>
      </c>
      <c r="B665" s="5" t="n">
        <v>10</v>
      </c>
      <c r="C665" s="5" t="n">
        <v>1</v>
      </c>
      <c r="D665" s="18">
        <f>SEASON_HRS_TOM*B665*(1+DIM_TOM)^B665+SEASON_HRS_CAR*C665*(1+DIM_CAR)^C665</f>
        <v>2365.118214090002</v>
      </c>
      <c r="E665" s="18">
        <f>(FARMER_FIELD_HRS+A665*TEMP_HRS)-D665</f>
        <v>-205.11821409000186</v>
      </c>
      <c r="F665" s="21">
        <f>IF(E665&lt;0,0,MIN(COUNTIF(Labor!$C$59:$C$88,"&lt;="&amp;E665),MAXBED_MES,TOTAL_BEDS-B665-C665))</f>
        <v>0</v>
      </c>
      <c r="G665" s="21">
        <f>B665+C665+F665</f>
        <v>11</v>
      </c>
      <c r="H665" s="22">
        <f>IF(E665&lt;0,-999999999,B665*(PRICE_TOM-FERT_TOM)+C665*(PRICE_CAR-FERT_CAR)+F665*(PRICE_MES-FERT_MES)-(FARMER_SALARY+A665*TEMP_COST)-FIXED_COSTS)</f>
        <v>-999999999</v>
      </c>
    </row>
    <row r="666">
      <c r="A666" s="5" t="n">
        <v>1</v>
      </c>
      <c r="B666" s="5" t="n">
        <v>10</v>
      </c>
      <c r="C666" s="5" t="n">
        <v>2</v>
      </c>
      <c r="D666" s="18">
        <f>SEASON_HRS_TOM*B666*(1+DIM_TOM)^B666+SEASON_HRS_CAR*C666*(1+DIM_CAR)^C666</f>
        <v>2397.4057140900018</v>
      </c>
      <c r="E666" s="18">
        <f>(FARMER_FIELD_HRS+A666*TEMP_HRS)-D666</f>
        <v>-237.40571409000177</v>
      </c>
      <c r="F666" s="21">
        <f>IF(E666&lt;0,0,MIN(COUNTIF(Labor!$C$59:$C$88,"&lt;="&amp;E666),MAXBED_MES,TOTAL_BEDS-B666-C666))</f>
        <v>0</v>
      </c>
      <c r="G666" s="21">
        <f>B666+C666+F666</f>
        <v>12</v>
      </c>
      <c r="H666" s="22">
        <f>IF(E666&lt;0,-999999999,B666*(PRICE_TOM-FERT_TOM)+C666*(PRICE_CAR-FERT_CAR)+F666*(PRICE_MES-FERT_MES)-(FARMER_SALARY+A666*TEMP_COST)-FIXED_COSTS)</f>
        <v>-999999999</v>
      </c>
    </row>
    <row r="667">
      <c r="A667" s="5" t="n">
        <v>1</v>
      </c>
      <c r="B667" s="5" t="n">
        <v>10</v>
      </c>
      <c r="C667" s="5" t="n">
        <v>3</v>
      </c>
      <c r="D667" s="18">
        <f>SEASON_HRS_TOM*B667*(1+DIM_TOM)^B667+SEASON_HRS_CAR*C667*(1+DIM_CAR)^C667</f>
        <v>2431.2883703400016</v>
      </c>
      <c r="E667" s="18">
        <f>(FARMER_FIELD_HRS+A667*TEMP_HRS)-D667</f>
        <v>-271.2883703400016</v>
      </c>
      <c r="F667" s="21">
        <f>IF(E667&lt;0,0,MIN(COUNTIF(Labor!$C$59:$C$88,"&lt;="&amp;E667),MAXBED_MES,TOTAL_BEDS-B667-C667))</f>
        <v>0</v>
      </c>
      <c r="G667" s="21">
        <f>B667+C667+F667</f>
        <v>13</v>
      </c>
      <c r="H667" s="22">
        <f>IF(E667&lt;0,-999999999,B667*(PRICE_TOM-FERT_TOM)+C667*(PRICE_CAR-FERT_CAR)+F667*(PRICE_MES-FERT_MES)-(FARMER_SALARY+A667*TEMP_COST)-FIXED_COSTS)</f>
        <v>-999999999</v>
      </c>
    </row>
    <row r="668">
      <c r="A668" s="5" t="n">
        <v>1</v>
      </c>
      <c r="B668" s="5" t="n">
        <v>10</v>
      </c>
      <c r="C668" s="5" t="n">
        <v>4</v>
      </c>
      <c r="D668" s="18">
        <f>SEASON_HRS_TOM*B668*(1+DIM_TOM)^B668+SEASON_HRS_CAR*C668*(1+DIM_CAR)^C668</f>
        <v>2466.825760965002</v>
      </c>
      <c r="E668" s="18">
        <f>(FARMER_FIELD_HRS+A668*TEMP_HRS)-D668</f>
        <v>-306.8257609650018</v>
      </c>
      <c r="F668" s="21">
        <f>IF(E668&lt;0,0,MIN(COUNTIF(Labor!$C$59:$C$88,"&lt;="&amp;E668),MAXBED_MES,TOTAL_BEDS-B668-C668))</f>
        <v>0</v>
      </c>
      <c r="G668" s="21">
        <f>B668+C668+F668</f>
        <v>14</v>
      </c>
      <c r="H668" s="22">
        <f>IF(E668&lt;0,-999999999,B668*(PRICE_TOM-FERT_TOM)+C668*(PRICE_CAR-FERT_CAR)+F668*(PRICE_MES-FERT_MES)-(FARMER_SALARY+A668*TEMP_COST)-FIXED_COSTS)</f>
        <v>-999999999</v>
      </c>
    </row>
    <row r="669">
      <c r="A669" s="5" t="n">
        <v>1</v>
      </c>
      <c r="B669" s="5" t="n">
        <v>10</v>
      </c>
      <c r="C669" s="5" t="n">
        <v>5</v>
      </c>
      <c r="D669" s="18">
        <f>SEASON_HRS_TOM*B669*(1+DIM_TOM)^B669+SEASON_HRS_CAR*C669*(1+DIM_CAR)^C669</f>
        <v>2504.0794460235957</v>
      </c>
      <c r="E669" s="18">
        <f>(FARMER_FIELD_HRS+A669*TEMP_HRS)-D669</f>
        <v>-344.07944602359566</v>
      </c>
      <c r="F669" s="21">
        <f>IF(E669&lt;0,0,MIN(COUNTIF(Labor!$C$59:$C$88,"&lt;="&amp;E669),MAXBED_MES,TOTAL_BEDS-B669-C669))</f>
        <v>0</v>
      </c>
      <c r="G669" s="21">
        <f>B669+C669+F669</f>
        <v>15</v>
      </c>
      <c r="H669" s="22">
        <f>IF(E669&lt;0,-999999999,B669*(PRICE_TOM-FERT_TOM)+C669*(PRICE_CAR-FERT_CAR)+F669*(PRICE_MES-FERT_MES)-(FARMER_SALARY+A669*TEMP_COST)-FIXED_COSTS)</f>
        <v>-999999999</v>
      </c>
    </row>
    <row r="670">
      <c r="A670" s="5" t="n">
        <v>1</v>
      </c>
      <c r="B670" s="5" t="n">
        <v>10</v>
      </c>
      <c r="C670" s="5" t="n">
        <v>6</v>
      </c>
      <c r="D670" s="18">
        <f>SEASON_HRS_TOM*B670*(1+DIM_TOM)^B670+SEASON_HRS_CAR*C670*(1+DIM_CAR)^C670</f>
        <v>2543.1130293683223</v>
      </c>
      <c r="E670" s="18">
        <f>(FARMER_FIELD_HRS+A670*TEMP_HRS)-D670</f>
        <v>-383.11302936832226</v>
      </c>
      <c r="F670" s="21">
        <f>IF(E670&lt;0,0,MIN(COUNTIF(Labor!$C$59:$C$88,"&lt;="&amp;E670),MAXBED_MES,TOTAL_BEDS-B670-C670))</f>
        <v>0</v>
      </c>
      <c r="G670" s="21">
        <f>B670+C670+F670</f>
        <v>16</v>
      </c>
      <c r="H670" s="22">
        <f>IF(E670&lt;0,-999999999,B670*(PRICE_TOM-FERT_TOM)+C670*(PRICE_CAR-FERT_CAR)+F670*(PRICE_MES-FERT_MES)-(FARMER_SALARY+A670*TEMP_COST)-FIXED_COSTS)</f>
        <v>-999999999</v>
      </c>
    </row>
    <row r="671">
      <c r="A671" s="5" t="n">
        <v>1</v>
      </c>
      <c r="B671" s="5" t="n">
        <v>10</v>
      </c>
      <c r="C671" s="5" t="n">
        <v>7</v>
      </c>
      <c r="D671" s="18">
        <f>SEASON_HRS_TOM*B671*(1+DIM_TOM)^B671+SEASON_HRS_CAR*C671*(1+DIM_CAR)^C671</f>
        <v>2583.992222360326</v>
      </c>
      <c r="E671" s="18">
        <f>(FARMER_FIELD_HRS+A671*TEMP_HRS)-D671</f>
        <v>-423.9922223603262</v>
      </c>
      <c r="F671" s="21">
        <f>IF(E671&lt;0,0,MIN(COUNTIF(Labor!$C$59:$C$88,"&lt;="&amp;E671),MAXBED_MES,TOTAL_BEDS-B671-C671))</f>
        <v>0</v>
      </c>
      <c r="G671" s="21">
        <f>B671+C671+F671</f>
        <v>17</v>
      </c>
      <c r="H671" s="22">
        <f>IF(E671&lt;0,-999999999,B671*(PRICE_TOM-FERT_TOM)+C671*(PRICE_CAR-FERT_CAR)+F671*(PRICE_MES-FERT_MES)-(FARMER_SALARY+A671*TEMP_COST)-FIXED_COSTS)</f>
        <v>-999999999</v>
      </c>
    </row>
    <row r="672">
      <c r="A672" s="5" t="n">
        <v>1</v>
      </c>
      <c r="B672" s="5" t="n">
        <v>10</v>
      </c>
      <c r="C672" s="5" t="n">
        <v>8</v>
      </c>
      <c r="D672" s="18">
        <f>SEASON_HRS_TOM*B672*(1+DIM_TOM)^B672+SEASON_HRS_CAR*C672*(1+DIM_CAR)^C672</f>
        <v>2626.784909492382</v>
      </c>
      <c r="E672" s="18">
        <f>(FARMER_FIELD_HRS+A672*TEMP_HRS)-D672</f>
        <v>-466.7849094923822</v>
      </c>
      <c r="F672" s="21">
        <f>IF(E672&lt;0,0,MIN(COUNTIF(Labor!$C$59:$C$88,"&lt;="&amp;E672),MAXBED_MES,TOTAL_BEDS-B672-C672))</f>
        <v>0</v>
      </c>
      <c r="G672" s="21">
        <f>B672+C672+F672</f>
        <v>18</v>
      </c>
      <c r="H672" s="22">
        <f>IF(E672&lt;0,-999999999,B672*(PRICE_TOM-FERT_TOM)+C672*(PRICE_CAR-FERT_CAR)+F672*(PRICE_MES-FERT_MES)-(FARMER_SALARY+A672*TEMP_COST)-FIXED_COSTS)</f>
        <v>-999999999</v>
      </c>
    </row>
    <row r="673">
      <c r="A673" s="5" t="n">
        <v>1</v>
      </c>
      <c r="B673" s="5" t="n">
        <v>10</v>
      </c>
      <c r="C673" s="5" t="n">
        <v>9</v>
      </c>
      <c r="D673" s="18">
        <f>SEASON_HRS_TOM*B673*(1+DIM_TOM)^B673+SEASON_HRS_CAR*C673*(1+DIM_CAR)^C673</f>
        <v>2671.5612159758716</v>
      </c>
      <c r="E673" s="18">
        <f>(FARMER_FIELD_HRS+A673*TEMP_HRS)-D673</f>
        <v>-511.5612159758716</v>
      </c>
      <c r="F673" s="21">
        <f>IF(E673&lt;0,0,MIN(COUNTIF(Labor!$C$59:$C$88,"&lt;="&amp;E673),MAXBED_MES,TOTAL_BEDS-B673-C673))</f>
        <v>0</v>
      </c>
      <c r="G673" s="21">
        <f>B673+C673+F673</f>
        <v>19</v>
      </c>
      <c r="H673" s="22">
        <f>IF(E673&lt;0,-999999999,B673*(PRICE_TOM-FERT_TOM)+C673*(PRICE_CAR-FERT_CAR)+F673*(PRICE_MES-FERT_MES)-(FARMER_SALARY+A673*TEMP_COST)-FIXED_COSTS)</f>
        <v>-999999999</v>
      </c>
    </row>
    <row r="674">
      <c r="A674" s="5" t="n">
        <v>1</v>
      </c>
      <c r="B674" s="5" t="n">
        <v>10</v>
      </c>
      <c r="C674" s="5" t="n">
        <v>10</v>
      </c>
      <c r="D674" s="18">
        <f>SEASON_HRS_TOM*B674*(1+DIM_TOM)^B674+SEASON_HRS_CAR*C674*(1+DIM_CAR)^C674</f>
        <v>2718.393577348909</v>
      </c>
      <c r="E674" s="18">
        <f>(FARMER_FIELD_HRS+A674*TEMP_HRS)-D674</f>
        <v>-558.3935773489088</v>
      </c>
      <c r="F674" s="21">
        <f>IF(E674&lt;0,0,MIN(COUNTIF(Labor!$C$59:$C$88,"&lt;="&amp;E674),MAXBED_MES,TOTAL_BEDS-B674-C674))</f>
        <v>0</v>
      </c>
      <c r="G674" s="21">
        <f>B674+C674+F674</f>
        <v>20</v>
      </c>
      <c r="H674" s="22">
        <f>IF(E674&lt;0,-999999999,B674*(PRICE_TOM-FERT_TOM)+C674*(PRICE_CAR-FERT_CAR)+F674*(PRICE_MES-FERT_MES)-(FARMER_SALARY+A674*TEMP_COST)-FIXED_COSTS)</f>
        <v>-999999999</v>
      </c>
    </row>
    <row r="675">
      <c r="A675" s="5" t="n">
        <v>1</v>
      </c>
      <c r="B675" s="5" t="n">
        <v>10</v>
      </c>
      <c r="C675" s="5" t="n">
        <v>11</v>
      </c>
      <c r="D675" s="18">
        <f>SEASON_HRS_TOM*B675*(1+DIM_TOM)^B675+SEASON_HRS_CAR*C675*(1+DIM_CAR)^C675</f>
        <v>2767.3568111644195</v>
      </c>
      <c r="E675" s="18">
        <f>(FARMER_FIELD_HRS+A675*TEMP_HRS)-D675</f>
        <v>-607.3568111644195</v>
      </c>
      <c r="F675" s="21">
        <f>IF(E675&lt;0,0,MIN(COUNTIF(Labor!$C$59:$C$88,"&lt;="&amp;E675),MAXBED_MES,TOTAL_BEDS-B675-C675))</f>
        <v>0</v>
      </c>
      <c r="G675" s="21">
        <f>B675+C675+F675</f>
        <v>21</v>
      </c>
      <c r="H675" s="22">
        <f>IF(E675&lt;0,-999999999,B675*(PRICE_TOM-FERT_TOM)+C675*(PRICE_CAR-FERT_CAR)+F675*(PRICE_MES-FERT_MES)-(FARMER_SALARY+A675*TEMP_COST)-FIXED_COSTS)</f>
        <v>-999999999</v>
      </c>
    </row>
    <row r="676">
      <c r="A676" s="5" t="n">
        <v>1</v>
      </c>
      <c r="B676" s="5" t="n">
        <v>10</v>
      </c>
      <c r="C676" s="5" t="n">
        <v>12</v>
      </c>
      <c r="D676" s="18">
        <f>SEASON_HRS_TOM*B676*(1+DIM_TOM)^B676+SEASON_HRS_CAR*C676*(1+DIM_CAR)^C676</f>
        <v>2818.528190818669</v>
      </c>
      <c r="E676" s="18">
        <f>(FARMER_FIELD_HRS+A676*TEMP_HRS)-D676</f>
        <v>-658.5281908186689</v>
      </c>
      <c r="F676" s="21">
        <f>IF(E676&lt;0,0,MIN(COUNTIF(Labor!$C$59:$C$88,"&lt;="&amp;E676),MAXBED_MES,TOTAL_BEDS-B676-C676))</f>
        <v>0</v>
      </c>
      <c r="G676" s="21">
        <f>B676+C676+F676</f>
        <v>22</v>
      </c>
      <c r="H676" s="22">
        <f>IF(E676&lt;0,-999999999,B676*(PRICE_TOM-FERT_TOM)+C676*(PRICE_CAR-FERT_CAR)+F676*(PRICE_MES-FERT_MES)-(FARMER_SALARY+A676*TEMP_COST)-FIXED_COSTS)</f>
        <v>-999999999</v>
      </c>
    </row>
    <row r="677">
      <c r="A677" s="5" t="n">
        <v>1</v>
      </c>
      <c r="B677" s="5" t="n">
        <v>10</v>
      </c>
      <c r="C677" s="5" t="n">
        <v>13</v>
      </c>
      <c r="D677" s="18">
        <f>SEASON_HRS_TOM*B677*(1+DIM_TOM)^B677+SEASON_HRS_CAR*C677*(1+DIM_CAR)^C677</f>
        <v>2871.987521582459</v>
      </c>
      <c r="E677" s="18">
        <f>(FARMER_FIELD_HRS+A677*TEMP_HRS)-D677</f>
        <v>-711.9875215824591</v>
      </c>
      <c r="F677" s="21">
        <f>IF(E677&lt;0,0,MIN(COUNTIF(Labor!$C$59:$C$88,"&lt;="&amp;E677),MAXBED_MES,TOTAL_BEDS-B677-C677))</f>
        <v>0</v>
      </c>
      <c r="G677" s="21">
        <f>B677+C677+F677</f>
        <v>23</v>
      </c>
      <c r="H677" s="22">
        <f>IF(E677&lt;0,-999999999,B677*(PRICE_TOM-FERT_TOM)+C677*(PRICE_CAR-FERT_CAR)+F677*(PRICE_MES-FERT_MES)-(FARMER_SALARY+A677*TEMP_COST)-FIXED_COSTS)</f>
        <v>-999999999</v>
      </c>
    </row>
    <row r="678">
      <c r="A678" s="5" t="n">
        <v>1</v>
      </c>
      <c r="B678" s="5" t="n">
        <v>10</v>
      </c>
      <c r="C678" s="5" t="n">
        <v>14</v>
      </c>
      <c r="D678" s="18">
        <f>SEASON_HRS_TOM*B678*(1+DIM_TOM)^B678+SEASON_HRS_CAR*C678*(1+DIM_CAR)^C678</f>
        <v>2927.8172188989834</v>
      </c>
      <c r="E678" s="18">
        <f>(FARMER_FIELD_HRS+A678*TEMP_HRS)-D678</f>
        <v>-767.8172188989834</v>
      </c>
      <c r="F678" s="21">
        <f>IF(E678&lt;0,0,MIN(COUNTIF(Labor!$C$59:$C$88,"&lt;="&amp;E678),MAXBED_MES,TOTAL_BEDS-B678-C678))</f>
        <v>0</v>
      </c>
      <c r="G678" s="21">
        <f>B678+C678+F678</f>
        <v>24</v>
      </c>
      <c r="H678" s="22">
        <f>IF(E678&lt;0,-999999999,B678*(PRICE_TOM-FERT_TOM)+C678*(PRICE_CAR-FERT_CAR)+F678*(PRICE_MES-FERT_MES)-(FARMER_SALARY+A678*TEMP_COST)-FIXED_COSTS)</f>
        <v>-999999999</v>
      </c>
    </row>
    <row r="679">
      <c r="A679" s="5" t="n">
        <v>1</v>
      </c>
      <c r="B679" s="5" t="n">
        <v>10</v>
      </c>
      <c r="C679" s="5" t="n">
        <v>15</v>
      </c>
      <c r="D679" s="18">
        <f>SEASON_HRS_TOM*B679*(1+DIM_TOM)^B679+SEASON_HRS_CAR*C679*(1+DIM_CAR)^C679</f>
        <v>2986.1023890141514</v>
      </c>
      <c r="E679" s="18">
        <f>(FARMER_FIELD_HRS+A679*TEMP_HRS)-D679</f>
        <v>-826.1023890141514</v>
      </c>
      <c r="F679" s="21">
        <f>IF(E679&lt;0,0,MIN(COUNTIF(Labor!$C$59:$C$88,"&lt;="&amp;E679),MAXBED_MES,TOTAL_BEDS-B679-C679))</f>
        <v>0</v>
      </c>
      <c r="G679" s="21">
        <f>B679+C679+F679</f>
        <v>25</v>
      </c>
      <c r="H679" s="22">
        <f>IF(E679&lt;0,-999999999,B679*(PRICE_TOM-FERT_TOM)+C679*(PRICE_CAR-FERT_CAR)+F679*(PRICE_MES-FERT_MES)-(FARMER_SALARY+A679*TEMP_COST)-FIXED_COSTS)</f>
        <v>-999999999</v>
      </c>
    </row>
    <row r="680">
      <c r="A680" s="5" t="n">
        <v>1</v>
      </c>
      <c r="B680" s="5" t="n">
        <v>10</v>
      </c>
      <c r="C680" s="5" t="n">
        <v>16</v>
      </c>
      <c r="D680" s="18">
        <f>SEASON_HRS_TOM*B680*(1+DIM_TOM)^B680+SEASON_HRS_CAR*C680*(1+DIM_CAR)^C680</f>
        <v>3046.9309120070716</v>
      </c>
      <c r="E680" s="18">
        <f>(FARMER_FIELD_HRS+A680*TEMP_HRS)-D680</f>
        <v>-886.9309120070716</v>
      </c>
      <c r="F680" s="21">
        <f>IF(E680&lt;0,0,MIN(COUNTIF(Labor!$C$59:$C$88,"&lt;="&amp;E680),MAXBED_MES,TOTAL_BEDS-B680-C680))</f>
        <v>0</v>
      </c>
      <c r="G680" s="21">
        <f>B680+C680+F680</f>
        <v>26</v>
      </c>
      <c r="H680" s="22">
        <f>IF(E680&lt;0,-999999999,B680*(PRICE_TOM-FERT_TOM)+C680*(PRICE_CAR-FERT_CAR)+F680*(PRICE_MES-FERT_MES)-(FARMER_SALARY+A680*TEMP_COST)-FIXED_COSTS)</f>
        <v>-999999999</v>
      </c>
    </row>
    <row r="681">
      <c r="A681" s="5" t="n">
        <v>1</v>
      </c>
      <c r="B681" s="5" t="n">
        <v>10</v>
      </c>
      <c r="C681" s="5" t="n">
        <v>17</v>
      </c>
      <c r="D681" s="18">
        <f>SEASON_HRS_TOM*B681*(1+DIM_TOM)^B681+SEASON_HRS_CAR*C681*(1+DIM_CAR)^C681</f>
        <v>3110.393527290311</v>
      </c>
      <c r="E681" s="18">
        <f>(FARMER_FIELD_HRS+A681*TEMP_HRS)-D681</f>
        <v>-950.3935272903109</v>
      </c>
      <c r="F681" s="21">
        <f>IF(E681&lt;0,0,MIN(COUNTIF(Labor!$C$59:$C$88,"&lt;="&amp;E681),MAXBED_MES,TOTAL_BEDS-B681-C681))</f>
        <v>0</v>
      </c>
      <c r="G681" s="21">
        <f>B681+C681+F681</f>
        <v>27</v>
      </c>
      <c r="H681" s="22">
        <f>IF(E681&lt;0,-999999999,B681*(PRICE_TOM-FERT_TOM)+C681*(PRICE_CAR-FERT_CAR)+F681*(PRICE_MES-FERT_MES)-(FARMER_SALARY+A681*TEMP_COST)-FIXED_COSTS)</f>
        <v>-999999999</v>
      </c>
    </row>
    <row r="682">
      <c r="A682" s="5" t="n">
        <v>1</v>
      </c>
      <c r="B682" s="5" t="n">
        <v>10</v>
      </c>
      <c r="C682" s="5" t="n">
        <v>18</v>
      </c>
      <c r="D682" s="18">
        <f>SEASON_HRS_TOM*B682*(1+DIM_TOM)^B682+SEASON_HRS_CAR*C682*(1+DIM_CAR)^C682</f>
        <v>3176.5839216515133</v>
      </c>
      <c r="E682" s="18">
        <f>(FARMER_FIELD_HRS+A682*TEMP_HRS)-D682</f>
        <v>-1016.5839216515133</v>
      </c>
      <c r="F682" s="21">
        <f>IF(E682&lt;0,0,MIN(COUNTIF(Labor!$C$59:$C$88,"&lt;="&amp;E682),MAXBED_MES,TOTAL_BEDS-B682-C682))</f>
        <v>0</v>
      </c>
      <c r="G682" s="21">
        <f>B682+C682+F682</f>
        <v>28</v>
      </c>
      <c r="H682" s="22">
        <f>IF(E682&lt;0,-999999999,B682*(PRICE_TOM-FERT_TOM)+C682*(PRICE_CAR-FERT_CAR)+F682*(PRICE_MES-FERT_MES)-(FARMER_SALARY+A682*TEMP_COST)-FIXED_COSTS)</f>
        <v>-999999999</v>
      </c>
    </row>
    <row r="683">
      <c r="A683" s="5" t="n">
        <v>1</v>
      </c>
      <c r="B683" s="5" t="n">
        <v>10</v>
      </c>
      <c r="C683" s="5" t="n">
        <v>19</v>
      </c>
      <c r="D683" s="18">
        <f>SEASON_HRS_TOM*B683*(1+DIM_TOM)^B683+SEASON_HRS_CAR*C683*(1+DIM_CAR)^C683</f>
        <v>3245.598819910026</v>
      </c>
      <c r="E683" s="18">
        <f>(FARMER_FIELD_HRS+A683*TEMP_HRS)-D683</f>
        <v>-1085.5988199100261</v>
      </c>
      <c r="F683" s="21">
        <f>IF(E683&lt;0,0,MIN(COUNTIF(Labor!$C$59:$C$88,"&lt;="&amp;E683),MAXBED_MES,TOTAL_BEDS-B683-C683))</f>
        <v>0</v>
      </c>
      <c r="G683" s="21">
        <f>B683+C683+F683</f>
        <v>29</v>
      </c>
      <c r="H683" s="22">
        <f>IF(E683&lt;0,-999999999,B683*(PRICE_TOM-FERT_TOM)+C683*(PRICE_CAR-FERT_CAR)+F683*(PRICE_MES-FERT_MES)-(FARMER_SALARY+A683*TEMP_COST)-FIXED_COSTS)</f>
        <v>-999999999</v>
      </c>
    </row>
    <row r="684">
      <c r="A684" s="5" t="n">
        <v>1</v>
      </c>
      <c r="B684" s="5" t="n">
        <v>10</v>
      </c>
      <c r="C684" s="5" t="n">
        <v>20</v>
      </c>
      <c r="D684" s="18">
        <f>SEASON_HRS_TOM*B684*(1+DIM_TOM)^B684+SEASON_HRS_CAR*C684*(1+DIM_CAR)^C684</f>
        <v>3317.5380782642383</v>
      </c>
      <c r="E684" s="18">
        <f>(FARMER_FIELD_HRS+A684*TEMP_HRS)-D684</f>
        <v>-1157.5380782642383</v>
      </c>
      <c r="F684" s="21">
        <f>IF(E684&lt;0,0,MIN(COUNTIF(Labor!$C$59:$C$88,"&lt;="&amp;E684),MAXBED_MES,TOTAL_BEDS-B684-C684))</f>
        <v>0</v>
      </c>
      <c r="G684" s="21">
        <f>B684+C684+F684</f>
        <v>30</v>
      </c>
      <c r="H684" s="22">
        <f>IF(E684&lt;0,-999999999,B684*(PRICE_TOM-FERT_TOM)+C684*(PRICE_CAR-FERT_CAR)+F684*(PRICE_MES-FERT_MES)-(FARMER_SALARY+A684*TEMP_COST)-FIXED_COSTS)</f>
        <v>-999999999</v>
      </c>
    </row>
    <row r="685">
      <c r="A685" s="5" t="n">
        <v>1</v>
      </c>
      <c r="B685" s="5" t="n">
        <v>11</v>
      </c>
      <c r="C685" s="5" t="n">
        <v>0</v>
      </c>
      <c r="D685" s="18">
        <f>SEASON_HRS_TOM*B685*(1+DIM_TOM)^B685+SEASON_HRS_CAR*C685*(1+DIM_CAR)^C685</f>
        <v>2824.5855390489023</v>
      </c>
      <c r="E685" s="18">
        <f>(FARMER_FIELD_HRS+A685*TEMP_HRS)-D685</f>
        <v>-664.5855390489023</v>
      </c>
      <c r="F685" s="21">
        <f>IF(E685&lt;0,0,MIN(COUNTIF(Labor!$C$59:$C$88,"&lt;="&amp;E685),MAXBED_MES,TOTAL_BEDS-B685-C685))</f>
        <v>0</v>
      </c>
      <c r="G685" s="21">
        <f>B685+C685+F685</f>
        <v>11</v>
      </c>
      <c r="H685" s="22">
        <f>IF(E685&lt;0,-999999999,B685*(PRICE_TOM-FERT_TOM)+C685*(PRICE_CAR-FERT_CAR)+F685*(PRICE_MES-FERT_MES)-(FARMER_SALARY+A685*TEMP_COST)-FIXED_COSTS)</f>
        <v>-999999999</v>
      </c>
    </row>
    <row r="686">
      <c r="A686" s="5" t="n">
        <v>1</v>
      </c>
      <c r="B686" s="5" t="n">
        <v>11</v>
      </c>
      <c r="C686" s="5" t="n">
        <v>1</v>
      </c>
      <c r="D686" s="18">
        <f>SEASON_HRS_TOM*B686*(1+DIM_TOM)^B686+SEASON_HRS_CAR*C686*(1+DIM_CAR)^C686</f>
        <v>2855.3355390489023</v>
      </c>
      <c r="E686" s="18">
        <f>(FARMER_FIELD_HRS+A686*TEMP_HRS)-D686</f>
        <v>-695.3355390489023</v>
      </c>
      <c r="F686" s="21">
        <f>IF(E686&lt;0,0,MIN(COUNTIF(Labor!$C$59:$C$88,"&lt;="&amp;E686),MAXBED_MES,TOTAL_BEDS-B686-C686))</f>
        <v>0</v>
      </c>
      <c r="G686" s="21">
        <f>B686+C686+F686</f>
        <v>12</v>
      </c>
      <c r="H686" s="22">
        <f>IF(E686&lt;0,-999999999,B686*(PRICE_TOM-FERT_TOM)+C686*(PRICE_CAR-FERT_CAR)+F686*(PRICE_MES-FERT_MES)-(FARMER_SALARY+A686*TEMP_COST)-FIXED_COSTS)</f>
        <v>-999999999</v>
      </c>
    </row>
    <row r="687">
      <c r="A687" s="5" t="n">
        <v>1</v>
      </c>
      <c r="B687" s="5" t="n">
        <v>11</v>
      </c>
      <c r="C687" s="5" t="n">
        <v>2</v>
      </c>
      <c r="D687" s="18">
        <f>SEASON_HRS_TOM*B687*(1+DIM_TOM)^B687+SEASON_HRS_CAR*C687*(1+DIM_CAR)^C687</f>
        <v>2887.6230390489022</v>
      </c>
      <c r="E687" s="18">
        <f>(FARMER_FIELD_HRS+A687*TEMP_HRS)-D687</f>
        <v>-727.6230390489022</v>
      </c>
      <c r="F687" s="21">
        <f>IF(E687&lt;0,0,MIN(COUNTIF(Labor!$C$59:$C$88,"&lt;="&amp;E687),MAXBED_MES,TOTAL_BEDS-B687-C687))</f>
        <v>0</v>
      </c>
      <c r="G687" s="21">
        <f>B687+C687+F687</f>
        <v>13</v>
      </c>
      <c r="H687" s="22">
        <f>IF(E687&lt;0,-999999999,B687*(PRICE_TOM-FERT_TOM)+C687*(PRICE_CAR-FERT_CAR)+F687*(PRICE_MES-FERT_MES)-(FARMER_SALARY+A687*TEMP_COST)-FIXED_COSTS)</f>
        <v>-999999999</v>
      </c>
    </row>
    <row r="688">
      <c r="A688" s="5" t="n">
        <v>1</v>
      </c>
      <c r="B688" s="5" t="n">
        <v>11</v>
      </c>
      <c r="C688" s="5" t="n">
        <v>3</v>
      </c>
      <c r="D688" s="18">
        <f>SEASON_HRS_TOM*B688*(1+DIM_TOM)^B688+SEASON_HRS_CAR*C688*(1+DIM_CAR)^C688</f>
        <v>2921.505695298902</v>
      </c>
      <c r="E688" s="18">
        <f>(FARMER_FIELD_HRS+A688*TEMP_HRS)-D688</f>
        <v>-761.5056952989021</v>
      </c>
      <c r="F688" s="21">
        <f>IF(E688&lt;0,0,MIN(COUNTIF(Labor!$C$59:$C$88,"&lt;="&amp;E688),MAXBED_MES,TOTAL_BEDS-B688-C688))</f>
        <v>0</v>
      </c>
      <c r="G688" s="21">
        <f>B688+C688+F688</f>
        <v>14</v>
      </c>
      <c r="H688" s="22">
        <f>IF(E688&lt;0,-999999999,B688*(PRICE_TOM-FERT_TOM)+C688*(PRICE_CAR-FERT_CAR)+F688*(PRICE_MES-FERT_MES)-(FARMER_SALARY+A688*TEMP_COST)-FIXED_COSTS)</f>
        <v>-999999999</v>
      </c>
    </row>
    <row r="689">
      <c r="A689" s="5" t="n">
        <v>1</v>
      </c>
      <c r="B689" s="5" t="n">
        <v>11</v>
      </c>
      <c r="C689" s="5" t="n">
        <v>4</v>
      </c>
      <c r="D689" s="18">
        <f>SEASON_HRS_TOM*B689*(1+DIM_TOM)^B689+SEASON_HRS_CAR*C689*(1+DIM_CAR)^C689</f>
        <v>2957.0430859239023</v>
      </c>
      <c r="E689" s="18">
        <f>(FARMER_FIELD_HRS+A689*TEMP_HRS)-D689</f>
        <v>-797.0430859239023</v>
      </c>
      <c r="F689" s="21">
        <f>IF(E689&lt;0,0,MIN(COUNTIF(Labor!$C$59:$C$88,"&lt;="&amp;E689),MAXBED_MES,TOTAL_BEDS-B689-C689))</f>
        <v>0</v>
      </c>
      <c r="G689" s="21">
        <f>B689+C689+F689</f>
        <v>15</v>
      </c>
      <c r="H689" s="22">
        <f>IF(E689&lt;0,-999999999,B689*(PRICE_TOM-FERT_TOM)+C689*(PRICE_CAR-FERT_CAR)+F689*(PRICE_MES-FERT_MES)-(FARMER_SALARY+A689*TEMP_COST)-FIXED_COSTS)</f>
        <v>-999999999</v>
      </c>
    </row>
    <row r="690">
      <c r="A690" s="5" t="n">
        <v>1</v>
      </c>
      <c r="B690" s="5" t="n">
        <v>11</v>
      </c>
      <c r="C690" s="5" t="n">
        <v>5</v>
      </c>
      <c r="D690" s="18">
        <f>SEASON_HRS_TOM*B690*(1+DIM_TOM)^B690+SEASON_HRS_CAR*C690*(1+DIM_CAR)^C690</f>
        <v>2994.296770982496</v>
      </c>
      <c r="E690" s="18">
        <f>(FARMER_FIELD_HRS+A690*TEMP_HRS)-D690</f>
        <v>-834.2967709824961</v>
      </c>
      <c r="F690" s="21">
        <f>IF(E690&lt;0,0,MIN(COUNTIF(Labor!$C$59:$C$88,"&lt;="&amp;E690),MAXBED_MES,TOTAL_BEDS-B690-C690))</f>
        <v>0</v>
      </c>
      <c r="G690" s="21">
        <f>B690+C690+F690</f>
        <v>16</v>
      </c>
      <c r="H690" s="22">
        <f>IF(E690&lt;0,-999999999,B690*(PRICE_TOM-FERT_TOM)+C690*(PRICE_CAR-FERT_CAR)+F690*(PRICE_MES-FERT_MES)-(FARMER_SALARY+A690*TEMP_COST)-FIXED_COSTS)</f>
        <v>-999999999</v>
      </c>
    </row>
    <row r="691">
      <c r="A691" s="5" t="n">
        <v>1</v>
      </c>
      <c r="B691" s="5" t="n">
        <v>11</v>
      </c>
      <c r="C691" s="5" t="n">
        <v>6</v>
      </c>
      <c r="D691" s="18">
        <f>SEASON_HRS_TOM*B691*(1+DIM_TOM)^B691+SEASON_HRS_CAR*C691*(1+DIM_CAR)^C691</f>
        <v>3033.3303543272227</v>
      </c>
      <c r="E691" s="18">
        <f>(FARMER_FIELD_HRS+A691*TEMP_HRS)-D691</f>
        <v>-873.3303543272227</v>
      </c>
      <c r="F691" s="21">
        <f>IF(E691&lt;0,0,MIN(COUNTIF(Labor!$C$59:$C$88,"&lt;="&amp;E691),MAXBED_MES,TOTAL_BEDS-B691-C691))</f>
        <v>0</v>
      </c>
      <c r="G691" s="21">
        <f>B691+C691+F691</f>
        <v>17</v>
      </c>
      <c r="H691" s="22">
        <f>IF(E691&lt;0,-999999999,B691*(PRICE_TOM-FERT_TOM)+C691*(PRICE_CAR-FERT_CAR)+F691*(PRICE_MES-FERT_MES)-(FARMER_SALARY+A691*TEMP_COST)-FIXED_COSTS)</f>
        <v>-999999999</v>
      </c>
    </row>
    <row r="692">
      <c r="A692" s="5" t="n">
        <v>1</v>
      </c>
      <c r="B692" s="5" t="n">
        <v>11</v>
      </c>
      <c r="C692" s="5" t="n">
        <v>7</v>
      </c>
      <c r="D692" s="18">
        <f>SEASON_HRS_TOM*B692*(1+DIM_TOM)^B692+SEASON_HRS_CAR*C692*(1+DIM_CAR)^C692</f>
        <v>3074.2095473192267</v>
      </c>
      <c r="E692" s="18">
        <f>(FARMER_FIELD_HRS+A692*TEMP_HRS)-D692</f>
        <v>-914.2095473192267</v>
      </c>
      <c r="F692" s="21">
        <f>IF(E692&lt;0,0,MIN(COUNTIF(Labor!$C$59:$C$88,"&lt;="&amp;E692),MAXBED_MES,TOTAL_BEDS-B692-C692))</f>
        <v>0</v>
      </c>
      <c r="G692" s="21">
        <f>B692+C692+F692</f>
        <v>18</v>
      </c>
      <c r="H692" s="22">
        <f>IF(E692&lt;0,-999999999,B692*(PRICE_TOM-FERT_TOM)+C692*(PRICE_CAR-FERT_CAR)+F692*(PRICE_MES-FERT_MES)-(FARMER_SALARY+A692*TEMP_COST)-FIXED_COSTS)</f>
        <v>-999999999</v>
      </c>
    </row>
    <row r="693">
      <c r="A693" s="5" t="n">
        <v>1</v>
      </c>
      <c r="B693" s="5" t="n">
        <v>11</v>
      </c>
      <c r="C693" s="5" t="n">
        <v>8</v>
      </c>
      <c r="D693" s="18">
        <f>SEASON_HRS_TOM*B693*(1+DIM_TOM)^B693+SEASON_HRS_CAR*C693*(1+DIM_CAR)^C693</f>
        <v>3117.0022344512827</v>
      </c>
      <c r="E693" s="18">
        <f>(FARMER_FIELD_HRS+A693*TEMP_HRS)-D693</f>
        <v>-957.0022344512827</v>
      </c>
      <c r="F693" s="21">
        <f>IF(E693&lt;0,0,MIN(COUNTIF(Labor!$C$59:$C$88,"&lt;="&amp;E693),MAXBED_MES,TOTAL_BEDS-B693-C693))</f>
        <v>0</v>
      </c>
      <c r="G693" s="21">
        <f>B693+C693+F693</f>
        <v>19</v>
      </c>
      <c r="H693" s="22">
        <f>IF(E693&lt;0,-999999999,B693*(PRICE_TOM-FERT_TOM)+C693*(PRICE_CAR-FERT_CAR)+F693*(PRICE_MES-FERT_MES)-(FARMER_SALARY+A693*TEMP_COST)-FIXED_COSTS)</f>
        <v>-999999999</v>
      </c>
    </row>
    <row r="694">
      <c r="A694" s="5" t="n">
        <v>1</v>
      </c>
      <c r="B694" s="5" t="n">
        <v>11</v>
      </c>
      <c r="C694" s="5" t="n">
        <v>9</v>
      </c>
      <c r="D694" s="18">
        <f>SEASON_HRS_TOM*B694*(1+DIM_TOM)^B694+SEASON_HRS_CAR*C694*(1+DIM_CAR)^C694</f>
        <v>3161.778540934772</v>
      </c>
      <c r="E694" s="18">
        <f>(FARMER_FIELD_HRS+A694*TEMP_HRS)-D694</f>
        <v>-1001.7785409347721</v>
      </c>
      <c r="F694" s="21">
        <f>IF(E694&lt;0,0,MIN(COUNTIF(Labor!$C$59:$C$88,"&lt;="&amp;E694),MAXBED_MES,TOTAL_BEDS-B694-C694))</f>
        <v>0</v>
      </c>
      <c r="G694" s="21">
        <f>B694+C694+F694</f>
        <v>20</v>
      </c>
      <c r="H694" s="22">
        <f>IF(E694&lt;0,-999999999,B694*(PRICE_TOM-FERT_TOM)+C694*(PRICE_CAR-FERT_CAR)+F694*(PRICE_MES-FERT_MES)-(FARMER_SALARY+A694*TEMP_COST)-FIXED_COSTS)</f>
        <v>-999999999</v>
      </c>
    </row>
    <row r="695">
      <c r="A695" s="5" t="n">
        <v>1</v>
      </c>
      <c r="B695" s="5" t="n">
        <v>11</v>
      </c>
      <c r="C695" s="5" t="n">
        <v>10</v>
      </c>
      <c r="D695" s="18">
        <f>SEASON_HRS_TOM*B695*(1+DIM_TOM)^B695+SEASON_HRS_CAR*C695*(1+DIM_CAR)^C695</f>
        <v>3208.6109023078093</v>
      </c>
      <c r="E695" s="18">
        <f>(FARMER_FIELD_HRS+A695*TEMP_HRS)-D695</f>
        <v>-1048.6109023078093</v>
      </c>
      <c r="F695" s="21">
        <f>IF(E695&lt;0,0,MIN(COUNTIF(Labor!$C$59:$C$88,"&lt;="&amp;E695),MAXBED_MES,TOTAL_BEDS-B695-C695))</f>
        <v>0</v>
      </c>
      <c r="G695" s="21">
        <f>B695+C695+F695</f>
        <v>21</v>
      </c>
      <c r="H695" s="22">
        <f>IF(E695&lt;0,-999999999,B695*(PRICE_TOM-FERT_TOM)+C695*(PRICE_CAR-FERT_CAR)+F695*(PRICE_MES-FERT_MES)-(FARMER_SALARY+A695*TEMP_COST)-FIXED_COSTS)</f>
        <v>-999999999</v>
      </c>
    </row>
    <row r="696">
      <c r="A696" s="5" t="n">
        <v>1</v>
      </c>
      <c r="B696" s="5" t="n">
        <v>11</v>
      </c>
      <c r="C696" s="5" t="n">
        <v>11</v>
      </c>
      <c r="D696" s="18">
        <f>SEASON_HRS_TOM*B696*(1+DIM_TOM)^B696+SEASON_HRS_CAR*C696*(1+DIM_CAR)^C696</f>
        <v>3257.57413612332</v>
      </c>
      <c r="E696" s="18">
        <f>(FARMER_FIELD_HRS+A696*TEMP_HRS)-D696</f>
        <v>-1097.57413612332</v>
      </c>
      <c r="F696" s="21">
        <f>IF(E696&lt;0,0,MIN(COUNTIF(Labor!$C$59:$C$88,"&lt;="&amp;E696),MAXBED_MES,TOTAL_BEDS-B696-C696))</f>
        <v>0</v>
      </c>
      <c r="G696" s="21">
        <f>B696+C696+F696</f>
        <v>22</v>
      </c>
      <c r="H696" s="22">
        <f>IF(E696&lt;0,-999999999,B696*(PRICE_TOM-FERT_TOM)+C696*(PRICE_CAR-FERT_CAR)+F696*(PRICE_MES-FERT_MES)-(FARMER_SALARY+A696*TEMP_COST)-FIXED_COSTS)</f>
        <v>-999999999</v>
      </c>
    </row>
    <row r="697">
      <c r="A697" s="5" t="n">
        <v>1</v>
      </c>
      <c r="B697" s="5" t="n">
        <v>11</v>
      </c>
      <c r="C697" s="5" t="n">
        <v>12</v>
      </c>
      <c r="D697" s="18">
        <f>SEASON_HRS_TOM*B697*(1+DIM_TOM)^B697+SEASON_HRS_CAR*C697*(1+DIM_CAR)^C697</f>
        <v>3308.7455157775694</v>
      </c>
      <c r="E697" s="18">
        <f>(FARMER_FIELD_HRS+A697*TEMP_HRS)-D697</f>
        <v>-1148.7455157775694</v>
      </c>
      <c r="F697" s="21">
        <f>IF(E697&lt;0,0,MIN(COUNTIF(Labor!$C$59:$C$88,"&lt;="&amp;E697),MAXBED_MES,TOTAL_BEDS-B697-C697))</f>
        <v>0</v>
      </c>
      <c r="G697" s="21">
        <f>B697+C697+F697</f>
        <v>23</v>
      </c>
      <c r="H697" s="22">
        <f>IF(E697&lt;0,-999999999,B697*(PRICE_TOM-FERT_TOM)+C697*(PRICE_CAR-FERT_CAR)+F697*(PRICE_MES-FERT_MES)-(FARMER_SALARY+A697*TEMP_COST)-FIXED_COSTS)</f>
        <v>-999999999</v>
      </c>
    </row>
    <row r="698">
      <c r="A698" s="5" t="n">
        <v>1</v>
      </c>
      <c r="B698" s="5" t="n">
        <v>11</v>
      </c>
      <c r="C698" s="5" t="n">
        <v>13</v>
      </c>
      <c r="D698" s="18">
        <f>SEASON_HRS_TOM*B698*(1+DIM_TOM)^B698+SEASON_HRS_CAR*C698*(1+DIM_CAR)^C698</f>
        <v>3362.2048465413595</v>
      </c>
      <c r="E698" s="18">
        <f>(FARMER_FIELD_HRS+A698*TEMP_HRS)-D698</f>
        <v>-1202.2048465413595</v>
      </c>
      <c r="F698" s="21">
        <f>IF(E698&lt;0,0,MIN(COUNTIF(Labor!$C$59:$C$88,"&lt;="&amp;E698),MAXBED_MES,TOTAL_BEDS-B698-C698))</f>
        <v>0</v>
      </c>
      <c r="G698" s="21">
        <f>B698+C698+F698</f>
        <v>24</v>
      </c>
      <c r="H698" s="22">
        <f>IF(E698&lt;0,-999999999,B698*(PRICE_TOM-FERT_TOM)+C698*(PRICE_CAR-FERT_CAR)+F698*(PRICE_MES-FERT_MES)-(FARMER_SALARY+A698*TEMP_COST)-FIXED_COSTS)</f>
        <v>-999999999</v>
      </c>
    </row>
    <row r="699">
      <c r="A699" s="5" t="n">
        <v>1</v>
      </c>
      <c r="B699" s="5" t="n">
        <v>11</v>
      </c>
      <c r="C699" s="5" t="n">
        <v>14</v>
      </c>
      <c r="D699" s="18">
        <f>SEASON_HRS_TOM*B699*(1+DIM_TOM)^B699+SEASON_HRS_CAR*C699*(1+DIM_CAR)^C699</f>
        <v>3418.034543857884</v>
      </c>
      <c r="E699" s="18">
        <f>(FARMER_FIELD_HRS+A699*TEMP_HRS)-D699</f>
        <v>-1258.0345438578838</v>
      </c>
      <c r="F699" s="21">
        <f>IF(E699&lt;0,0,MIN(COUNTIF(Labor!$C$59:$C$88,"&lt;="&amp;E699),MAXBED_MES,TOTAL_BEDS-B699-C699))</f>
        <v>0</v>
      </c>
      <c r="G699" s="21">
        <f>B699+C699+F699</f>
        <v>25</v>
      </c>
      <c r="H699" s="22">
        <f>IF(E699&lt;0,-999999999,B699*(PRICE_TOM-FERT_TOM)+C699*(PRICE_CAR-FERT_CAR)+F699*(PRICE_MES-FERT_MES)-(FARMER_SALARY+A699*TEMP_COST)-FIXED_COSTS)</f>
        <v>-999999999</v>
      </c>
    </row>
    <row r="700">
      <c r="A700" s="5" t="n">
        <v>1</v>
      </c>
      <c r="B700" s="5" t="n">
        <v>11</v>
      </c>
      <c r="C700" s="5" t="n">
        <v>15</v>
      </c>
      <c r="D700" s="18">
        <f>SEASON_HRS_TOM*B700*(1+DIM_TOM)^B700+SEASON_HRS_CAR*C700*(1+DIM_CAR)^C700</f>
        <v>3476.319713973052</v>
      </c>
      <c r="E700" s="18">
        <f>(FARMER_FIELD_HRS+A700*TEMP_HRS)-D700</f>
        <v>-1316.3197139730519</v>
      </c>
      <c r="F700" s="21">
        <f>IF(E700&lt;0,0,MIN(COUNTIF(Labor!$C$59:$C$88,"&lt;="&amp;E700),MAXBED_MES,TOTAL_BEDS-B700-C700))</f>
        <v>0</v>
      </c>
      <c r="G700" s="21">
        <f>B700+C700+F700</f>
        <v>26</v>
      </c>
      <c r="H700" s="22">
        <f>IF(E700&lt;0,-999999999,B700*(PRICE_TOM-FERT_TOM)+C700*(PRICE_CAR-FERT_CAR)+F700*(PRICE_MES-FERT_MES)-(FARMER_SALARY+A700*TEMP_COST)-FIXED_COSTS)</f>
        <v>-999999999</v>
      </c>
    </row>
    <row r="701">
      <c r="A701" s="5" t="n">
        <v>1</v>
      </c>
      <c r="B701" s="5" t="n">
        <v>11</v>
      </c>
      <c r="C701" s="5" t="n">
        <v>16</v>
      </c>
      <c r="D701" s="18">
        <f>SEASON_HRS_TOM*B701*(1+DIM_TOM)^B701+SEASON_HRS_CAR*C701*(1+DIM_CAR)^C701</f>
        <v>3537.148236965972</v>
      </c>
      <c r="E701" s="18">
        <f>(FARMER_FIELD_HRS+A701*TEMP_HRS)-D701</f>
        <v>-1377.148236965972</v>
      </c>
      <c r="F701" s="21">
        <f>IF(E701&lt;0,0,MIN(COUNTIF(Labor!$C$59:$C$88,"&lt;="&amp;E701),MAXBED_MES,TOTAL_BEDS-B701-C701))</f>
        <v>0</v>
      </c>
      <c r="G701" s="21">
        <f>B701+C701+F701</f>
        <v>27</v>
      </c>
      <c r="H701" s="22">
        <f>IF(E701&lt;0,-999999999,B701*(PRICE_TOM-FERT_TOM)+C701*(PRICE_CAR-FERT_CAR)+F701*(PRICE_MES-FERT_MES)-(FARMER_SALARY+A701*TEMP_COST)-FIXED_COSTS)</f>
        <v>-999999999</v>
      </c>
    </row>
    <row r="702">
      <c r="A702" s="5" t="n">
        <v>1</v>
      </c>
      <c r="B702" s="5" t="n">
        <v>11</v>
      </c>
      <c r="C702" s="5" t="n">
        <v>17</v>
      </c>
      <c r="D702" s="18">
        <f>SEASON_HRS_TOM*B702*(1+DIM_TOM)^B702+SEASON_HRS_CAR*C702*(1+DIM_CAR)^C702</f>
        <v>3600.6108522492113</v>
      </c>
      <c r="E702" s="18">
        <f>(FARMER_FIELD_HRS+A702*TEMP_HRS)-D702</f>
        <v>-1440.6108522492113</v>
      </c>
      <c r="F702" s="21">
        <f>IF(E702&lt;0,0,MIN(COUNTIF(Labor!$C$59:$C$88,"&lt;="&amp;E702),MAXBED_MES,TOTAL_BEDS-B702-C702))</f>
        <v>0</v>
      </c>
      <c r="G702" s="21">
        <f>B702+C702+F702</f>
        <v>28</v>
      </c>
      <c r="H702" s="22">
        <f>IF(E702&lt;0,-999999999,B702*(PRICE_TOM-FERT_TOM)+C702*(PRICE_CAR-FERT_CAR)+F702*(PRICE_MES-FERT_MES)-(FARMER_SALARY+A702*TEMP_COST)-FIXED_COSTS)</f>
        <v>-999999999</v>
      </c>
    </row>
    <row r="703">
      <c r="A703" s="5" t="n">
        <v>1</v>
      </c>
      <c r="B703" s="5" t="n">
        <v>11</v>
      </c>
      <c r="C703" s="5" t="n">
        <v>18</v>
      </c>
      <c r="D703" s="18">
        <f>SEASON_HRS_TOM*B703*(1+DIM_TOM)^B703+SEASON_HRS_CAR*C703*(1+DIM_CAR)^C703</f>
        <v>3666.8012466104137</v>
      </c>
      <c r="E703" s="18">
        <f>(FARMER_FIELD_HRS+A703*TEMP_HRS)-D703</f>
        <v>-1506.8012466104137</v>
      </c>
      <c r="F703" s="21">
        <f>IF(E703&lt;0,0,MIN(COUNTIF(Labor!$C$59:$C$88,"&lt;="&amp;E703),MAXBED_MES,TOTAL_BEDS-B703-C703))</f>
        <v>0</v>
      </c>
      <c r="G703" s="21">
        <f>B703+C703+F703</f>
        <v>29</v>
      </c>
      <c r="H703" s="22">
        <f>IF(E703&lt;0,-999999999,B703*(PRICE_TOM-FERT_TOM)+C703*(PRICE_CAR-FERT_CAR)+F703*(PRICE_MES-FERT_MES)-(FARMER_SALARY+A703*TEMP_COST)-FIXED_COSTS)</f>
        <v>-999999999</v>
      </c>
    </row>
    <row r="704">
      <c r="A704" s="5" t="n">
        <v>1</v>
      </c>
      <c r="B704" s="5" t="n">
        <v>11</v>
      </c>
      <c r="C704" s="5" t="n">
        <v>19</v>
      </c>
      <c r="D704" s="18">
        <f>SEASON_HRS_TOM*B704*(1+DIM_TOM)^B704+SEASON_HRS_CAR*C704*(1+DIM_CAR)^C704</f>
        <v>3735.8161448689266</v>
      </c>
      <c r="E704" s="18">
        <f>(FARMER_FIELD_HRS+A704*TEMP_HRS)-D704</f>
        <v>-1575.8161448689266</v>
      </c>
      <c r="F704" s="21">
        <f>IF(E704&lt;0,0,MIN(COUNTIF(Labor!$C$59:$C$88,"&lt;="&amp;E704),MAXBED_MES,TOTAL_BEDS-B704-C704))</f>
        <v>0</v>
      </c>
      <c r="G704" s="21">
        <f>B704+C704+F704</f>
        <v>30</v>
      </c>
      <c r="H704" s="22">
        <f>IF(E704&lt;0,-999999999,B704*(PRICE_TOM-FERT_TOM)+C704*(PRICE_CAR-FERT_CAR)+F704*(PRICE_MES-FERT_MES)-(FARMER_SALARY+A704*TEMP_COST)-FIXED_COSTS)</f>
        <v>-999999999</v>
      </c>
    </row>
    <row r="705">
      <c r="A705" s="5" t="n">
        <v>1</v>
      </c>
      <c r="B705" s="5" t="n">
        <v>11</v>
      </c>
      <c r="C705" s="5" t="n">
        <v>20</v>
      </c>
      <c r="D705" s="18">
        <f>SEASON_HRS_TOM*B705*(1+DIM_TOM)^B705+SEASON_HRS_CAR*C705*(1+DIM_CAR)^C705</f>
        <v>3807.7554032231387</v>
      </c>
      <c r="E705" s="18">
        <f>(FARMER_FIELD_HRS+A705*TEMP_HRS)-D705</f>
        <v>-1647.7554032231387</v>
      </c>
      <c r="F705" s="21">
        <f>IF(E705&lt;0,0,MIN(COUNTIF(Labor!$C$59:$C$88,"&lt;="&amp;E705),MAXBED_MES,TOTAL_BEDS-B705-C705))</f>
        <v>0</v>
      </c>
      <c r="G705" s="21">
        <f>B705+C705+F705</f>
        <v>31</v>
      </c>
      <c r="H705" s="22">
        <f>IF(E705&lt;0,-999999999,B705*(PRICE_TOM-FERT_TOM)+C705*(PRICE_CAR-FERT_CAR)+F705*(PRICE_MES-FERT_MES)-(FARMER_SALARY+A705*TEMP_COST)-FIXED_COSTS)</f>
        <v>-999999999</v>
      </c>
    </row>
    <row r="706">
      <c r="A706" s="5" t="n">
        <v>1</v>
      </c>
      <c r="B706" s="5" t="n">
        <v>12</v>
      </c>
      <c r="C706" s="5" t="n">
        <v>0</v>
      </c>
      <c r="D706" s="18">
        <f>SEASON_HRS_TOM*B706*(1+DIM_TOM)^B706+SEASON_HRS_CAR*C706*(1+DIM_CAR)^C706</f>
        <v>3389.5026468586834</v>
      </c>
      <c r="E706" s="18">
        <f>(FARMER_FIELD_HRS+A706*TEMP_HRS)-D706</f>
        <v>-1229.5026468586834</v>
      </c>
      <c r="F706" s="21">
        <f>IF(E706&lt;0,0,MIN(COUNTIF(Labor!$C$59:$C$88,"&lt;="&amp;E706),MAXBED_MES,TOTAL_BEDS-B706-C706))</f>
        <v>0</v>
      </c>
      <c r="G706" s="21">
        <f>B706+C706+F706</f>
        <v>12</v>
      </c>
      <c r="H706" s="22">
        <f>IF(E706&lt;0,-999999999,B706*(PRICE_TOM-FERT_TOM)+C706*(PRICE_CAR-FERT_CAR)+F706*(PRICE_MES-FERT_MES)-(FARMER_SALARY+A706*TEMP_COST)-FIXED_COSTS)</f>
        <v>-999999999</v>
      </c>
    </row>
    <row r="707">
      <c r="A707" s="5" t="n">
        <v>1</v>
      </c>
      <c r="B707" s="5" t="n">
        <v>12</v>
      </c>
      <c r="C707" s="5" t="n">
        <v>1</v>
      </c>
      <c r="D707" s="18">
        <f>SEASON_HRS_TOM*B707*(1+DIM_TOM)^B707+SEASON_HRS_CAR*C707*(1+DIM_CAR)^C707</f>
        <v>3420.2526468586834</v>
      </c>
      <c r="E707" s="18">
        <f>(FARMER_FIELD_HRS+A707*TEMP_HRS)-D707</f>
        <v>-1260.2526468586834</v>
      </c>
      <c r="F707" s="21">
        <f>IF(E707&lt;0,0,MIN(COUNTIF(Labor!$C$59:$C$88,"&lt;="&amp;E707),MAXBED_MES,TOTAL_BEDS-B707-C707))</f>
        <v>0</v>
      </c>
      <c r="G707" s="21">
        <f>B707+C707+F707</f>
        <v>13</v>
      </c>
      <c r="H707" s="22">
        <f>IF(E707&lt;0,-999999999,B707*(PRICE_TOM-FERT_TOM)+C707*(PRICE_CAR-FERT_CAR)+F707*(PRICE_MES-FERT_MES)-(FARMER_SALARY+A707*TEMP_COST)-FIXED_COSTS)</f>
        <v>-999999999</v>
      </c>
    </row>
    <row r="708">
      <c r="A708" s="5" t="n">
        <v>1</v>
      </c>
      <c r="B708" s="5" t="n">
        <v>12</v>
      </c>
      <c r="C708" s="5" t="n">
        <v>2</v>
      </c>
      <c r="D708" s="18">
        <f>SEASON_HRS_TOM*B708*(1+DIM_TOM)^B708+SEASON_HRS_CAR*C708*(1+DIM_CAR)^C708</f>
        <v>3452.5401468586833</v>
      </c>
      <c r="E708" s="18">
        <f>(FARMER_FIELD_HRS+A708*TEMP_HRS)-D708</f>
        <v>-1292.5401468586833</v>
      </c>
      <c r="F708" s="21">
        <f>IF(E708&lt;0,0,MIN(COUNTIF(Labor!$C$59:$C$88,"&lt;="&amp;E708),MAXBED_MES,TOTAL_BEDS-B708-C708))</f>
        <v>0</v>
      </c>
      <c r="G708" s="21">
        <f>B708+C708+F708</f>
        <v>14</v>
      </c>
      <c r="H708" s="22">
        <f>IF(E708&lt;0,-999999999,B708*(PRICE_TOM-FERT_TOM)+C708*(PRICE_CAR-FERT_CAR)+F708*(PRICE_MES-FERT_MES)-(FARMER_SALARY+A708*TEMP_COST)-FIXED_COSTS)</f>
        <v>-999999999</v>
      </c>
    </row>
    <row r="709">
      <c r="A709" s="5" t="n">
        <v>1</v>
      </c>
      <c r="B709" s="5" t="n">
        <v>12</v>
      </c>
      <c r="C709" s="5" t="n">
        <v>3</v>
      </c>
      <c r="D709" s="18">
        <f>SEASON_HRS_TOM*B709*(1+DIM_TOM)^B709+SEASON_HRS_CAR*C709*(1+DIM_CAR)^C709</f>
        <v>3486.422803108683</v>
      </c>
      <c r="E709" s="18">
        <f>(FARMER_FIELD_HRS+A709*TEMP_HRS)-D709</f>
        <v>-1326.4228031086832</v>
      </c>
      <c r="F709" s="21">
        <f>IF(E709&lt;0,0,MIN(COUNTIF(Labor!$C$59:$C$88,"&lt;="&amp;E709),MAXBED_MES,TOTAL_BEDS-B709-C709))</f>
        <v>0</v>
      </c>
      <c r="G709" s="21">
        <f>B709+C709+F709</f>
        <v>15</v>
      </c>
      <c r="H709" s="22">
        <f>IF(E709&lt;0,-999999999,B709*(PRICE_TOM-FERT_TOM)+C709*(PRICE_CAR-FERT_CAR)+F709*(PRICE_MES-FERT_MES)-(FARMER_SALARY+A709*TEMP_COST)-FIXED_COSTS)</f>
        <v>-999999999</v>
      </c>
    </row>
    <row r="710">
      <c r="A710" s="5" t="n">
        <v>1</v>
      </c>
      <c r="B710" s="5" t="n">
        <v>12</v>
      </c>
      <c r="C710" s="5" t="n">
        <v>4</v>
      </c>
      <c r="D710" s="18">
        <f>SEASON_HRS_TOM*B710*(1+DIM_TOM)^B710+SEASON_HRS_CAR*C710*(1+DIM_CAR)^C710</f>
        <v>3521.9601937336834</v>
      </c>
      <c r="E710" s="18">
        <f>(FARMER_FIELD_HRS+A710*TEMP_HRS)-D710</f>
        <v>-1361.9601937336834</v>
      </c>
      <c r="F710" s="21">
        <f>IF(E710&lt;0,0,MIN(COUNTIF(Labor!$C$59:$C$88,"&lt;="&amp;E710),MAXBED_MES,TOTAL_BEDS-B710-C710))</f>
        <v>0</v>
      </c>
      <c r="G710" s="21">
        <f>B710+C710+F710</f>
        <v>16</v>
      </c>
      <c r="H710" s="22">
        <f>IF(E710&lt;0,-999999999,B710*(PRICE_TOM-FERT_TOM)+C710*(PRICE_CAR-FERT_CAR)+F710*(PRICE_MES-FERT_MES)-(FARMER_SALARY+A710*TEMP_COST)-FIXED_COSTS)</f>
        <v>-999999999</v>
      </c>
    </row>
    <row r="711">
      <c r="A711" s="5" t="n">
        <v>1</v>
      </c>
      <c r="B711" s="5" t="n">
        <v>12</v>
      </c>
      <c r="C711" s="5" t="n">
        <v>5</v>
      </c>
      <c r="D711" s="18">
        <f>SEASON_HRS_TOM*B711*(1+DIM_TOM)^B711+SEASON_HRS_CAR*C711*(1+DIM_CAR)^C711</f>
        <v>3559.2138787922772</v>
      </c>
      <c r="E711" s="18">
        <f>(FARMER_FIELD_HRS+A711*TEMP_HRS)-D711</f>
        <v>-1399.2138787922772</v>
      </c>
      <c r="F711" s="21">
        <f>IF(E711&lt;0,0,MIN(COUNTIF(Labor!$C$59:$C$88,"&lt;="&amp;E711),MAXBED_MES,TOTAL_BEDS-B711-C711))</f>
        <v>0</v>
      </c>
      <c r="G711" s="21">
        <f>B711+C711+F711</f>
        <v>17</v>
      </c>
      <c r="H711" s="22">
        <f>IF(E711&lt;0,-999999999,B711*(PRICE_TOM-FERT_TOM)+C711*(PRICE_CAR-FERT_CAR)+F711*(PRICE_MES-FERT_MES)-(FARMER_SALARY+A711*TEMP_COST)-FIXED_COSTS)</f>
        <v>-999999999</v>
      </c>
    </row>
    <row r="712">
      <c r="A712" s="5" t="n">
        <v>1</v>
      </c>
      <c r="B712" s="5" t="n">
        <v>12</v>
      </c>
      <c r="C712" s="5" t="n">
        <v>6</v>
      </c>
      <c r="D712" s="18">
        <f>SEASON_HRS_TOM*B712*(1+DIM_TOM)^B712+SEASON_HRS_CAR*C712*(1+DIM_CAR)^C712</f>
        <v>3598.247462137004</v>
      </c>
      <c r="E712" s="18">
        <f>(FARMER_FIELD_HRS+A712*TEMP_HRS)-D712</f>
        <v>-1438.2474621370038</v>
      </c>
      <c r="F712" s="21">
        <f>IF(E712&lt;0,0,MIN(COUNTIF(Labor!$C$59:$C$88,"&lt;="&amp;E712),MAXBED_MES,TOTAL_BEDS-B712-C712))</f>
        <v>0</v>
      </c>
      <c r="G712" s="21">
        <f>B712+C712+F712</f>
        <v>18</v>
      </c>
      <c r="H712" s="22">
        <f>IF(E712&lt;0,-999999999,B712*(PRICE_TOM-FERT_TOM)+C712*(PRICE_CAR-FERT_CAR)+F712*(PRICE_MES-FERT_MES)-(FARMER_SALARY+A712*TEMP_COST)-FIXED_COSTS)</f>
        <v>-999999999</v>
      </c>
    </row>
    <row r="713">
      <c r="A713" s="5" t="n">
        <v>1</v>
      </c>
      <c r="B713" s="5" t="n">
        <v>12</v>
      </c>
      <c r="C713" s="5" t="n">
        <v>7</v>
      </c>
      <c r="D713" s="18">
        <f>SEASON_HRS_TOM*B713*(1+DIM_TOM)^B713+SEASON_HRS_CAR*C713*(1+DIM_CAR)^C713</f>
        <v>3639.126655129008</v>
      </c>
      <c r="E713" s="18">
        <f>(FARMER_FIELD_HRS+A713*TEMP_HRS)-D713</f>
        <v>-1479.1266551290082</v>
      </c>
      <c r="F713" s="21">
        <f>IF(E713&lt;0,0,MIN(COUNTIF(Labor!$C$59:$C$88,"&lt;="&amp;E713),MAXBED_MES,TOTAL_BEDS-B713-C713))</f>
        <v>0</v>
      </c>
      <c r="G713" s="21">
        <f>B713+C713+F713</f>
        <v>19</v>
      </c>
      <c r="H713" s="22">
        <f>IF(E713&lt;0,-999999999,B713*(PRICE_TOM-FERT_TOM)+C713*(PRICE_CAR-FERT_CAR)+F713*(PRICE_MES-FERT_MES)-(FARMER_SALARY+A713*TEMP_COST)-FIXED_COSTS)</f>
        <v>-999999999</v>
      </c>
    </row>
    <row r="714">
      <c r="A714" s="5" t="n">
        <v>1</v>
      </c>
      <c r="B714" s="5" t="n">
        <v>12</v>
      </c>
      <c r="C714" s="5" t="n">
        <v>8</v>
      </c>
      <c r="D714" s="18">
        <f>SEASON_HRS_TOM*B714*(1+DIM_TOM)^B714+SEASON_HRS_CAR*C714*(1+DIM_CAR)^C714</f>
        <v>3681.9193422610633</v>
      </c>
      <c r="E714" s="18">
        <f>(FARMER_FIELD_HRS+A714*TEMP_HRS)-D714</f>
        <v>-1521.9193422610633</v>
      </c>
      <c r="F714" s="21">
        <f>IF(E714&lt;0,0,MIN(COUNTIF(Labor!$C$59:$C$88,"&lt;="&amp;E714),MAXBED_MES,TOTAL_BEDS-B714-C714))</f>
        <v>0</v>
      </c>
      <c r="G714" s="21">
        <f>B714+C714+F714</f>
        <v>20</v>
      </c>
      <c r="H714" s="22">
        <f>IF(E714&lt;0,-999999999,B714*(PRICE_TOM-FERT_TOM)+C714*(PRICE_CAR-FERT_CAR)+F714*(PRICE_MES-FERT_MES)-(FARMER_SALARY+A714*TEMP_COST)-FIXED_COSTS)</f>
        <v>-999999999</v>
      </c>
    </row>
    <row r="715">
      <c r="A715" s="5" t="n">
        <v>1</v>
      </c>
      <c r="B715" s="5" t="n">
        <v>12</v>
      </c>
      <c r="C715" s="5" t="n">
        <v>9</v>
      </c>
      <c r="D715" s="18">
        <f>SEASON_HRS_TOM*B715*(1+DIM_TOM)^B715+SEASON_HRS_CAR*C715*(1+DIM_CAR)^C715</f>
        <v>3726.695648744553</v>
      </c>
      <c r="E715" s="18">
        <f>(FARMER_FIELD_HRS+A715*TEMP_HRS)-D715</f>
        <v>-1566.6956487445532</v>
      </c>
      <c r="F715" s="21">
        <f>IF(E715&lt;0,0,MIN(COUNTIF(Labor!$C$59:$C$88,"&lt;="&amp;E715),MAXBED_MES,TOTAL_BEDS-B715-C715))</f>
        <v>0</v>
      </c>
      <c r="G715" s="21">
        <f>B715+C715+F715</f>
        <v>21</v>
      </c>
      <c r="H715" s="22">
        <f>IF(E715&lt;0,-999999999,B715*(PRICE_TOM-FERT_TOM)+C715*(PRICE_CAR-FERT_CAR)+F715*(PRICE_MES-FERT_MES)-(FARMER_SALARY+A715*TEMP_COST)-FIXED_COSTS)</f>
        <v>-999999999</v>
      </c>
    </row>
    <row r="716">
      <c r="A716" s="5" t="n">
        <v>1</v>
      </c>
      <c r="B716" s="5" t="n">
        <v>12</v>
      </c>
      <c r="C716" s="5" t="n">
        <v>10</v>
      </c>
      <c r="D716" s="18">
        <f>SEASON_HRS_TOM*B716*(1+DIM_TOM)^B716+SEASON_HRS_CAR*C716*(1+DIM_CAR)^C716</f>
        <v>3773.5280101175904</v>
      </c>
      <c r="E716" s="18">
        <f>(FARMER_FIELD_HRS+A716*TEMP_HRS)-D716</f>
        <v>-1613.5280101175904</v>
      </c>
      <c r="F716" s="21">
        <f>IF(E716&lt;0,0,MIN(COUNTIF(Labor!$C$59:$C$88,"&lt;="&amp;E716),MAXBED_MES,TOTAL_BEDS-B716-C716))</f>
        <v>0</v>
      </c>
      <c r="G716" s="21">
        <f>B716+C716+F716</f>
        <v>22</v>
      </c>
      <c r="H716" s="22">
        <f>IF(E716&lt;0,-999999999,B716*(PRICE_TOM-FERT_TOM)+C716*(PRICE_CAR-FERT_CAR)+F716*(PRICE_MES-FERT_MES)-(FARMER_SALARY+A716*TEMP_COST)-FIXED_COSTS)</f>
        <v>-999999999</v>
      </c>
    </row>
    <row r="717">
      <c r="A717" s="5" t="n">
        <v>1</v>
      </c>
      <c r="B717" s="5" t="n">
        <v>12</v>
      </c>
      <c r="C717" s="5" t="n">
        <v>11</v>
      </c>
      <c r="D717" s="18">
        <f>SEASON_HRS_TOM*B717*(1+DIM_TOM)^B717+SEASON_HRS_CAR*C717*(1+DIM_CAR)^C717</f>
        <v>3822.491243933101</v>
      </c>
      <c r="E717" s="18">
        <f>(FARMER_FIELD_HRS+A717*TEMP_HRS)-D717</f>
        <v>-1662.491243933101</v>
      </c>
      <c r="F717" s="21">
        <f>IF(E717&lt;0,0,MIN(COUNTIF(Labor!$C$59:$C$88,"&lt;="&amp;E717),MAXBED_MES,TOTAL_BEDS-B717-C717))</f>
        <v>0</v>
      </c>
      <c r="G717" s="21">
        <f>B717+C717+F717</f>
        <v>23</v>
      </c>
      <c r="H717" s="22">
        <f>IF(E717&lt;0,-999999999,B717*(PRICE_TOM-FERT_TOM)+C717*(PRICE_CAR-FERT_CAR)+F717*(PRICE_MES-FERT_MES)-(FARMER_SALARY+A717*TEMP_COST)-FIXED_COSTS)</f>
        <v>-999999999</v>
      </c>
    </row>
    <row r="718">
      <c r="A718" s="5" t="n">
        <v>1</v>
      </c>
      <c r="B718" s="5" t="n">
        <v>12</v>
      </c>
      <c r="C718" s="5" t="n">
        <v>12</v>
      </c>
      <c r="D718" s="18">
        <f>SEASON_HRS_TOM*B718*(1+DIM_TOM)^B718+SEASON_HRS_CAR*C718*(1+DIM_CAR)^C718</f>
        <v>3873.6626235873505</v>
      </c>
      <c r="E718" s="18">
        <f>(FARMER_FIELD_HRS+A718*TEMP_HRS)-D718</f>
        <v>-1713.6626235873505</v>
      </c>
      <c r="F718" s="21">
        <f>IF(E718&lt;0,0,MIN(COUNTIF(Labor!$C$59:$C$88,"&lt;="&amp;E718),MAXBED_MES,TOTAL_BEDS-B718-C718))</f>
        <v>0</v>
      </c>
      <c r="G718" s="21">
        <f>B718+C718+F718</f>
        <v>24</v>
      </c>
      <c r="H718" s="22">
        <f>IF(E718&lt;0,-999999999,B718*(PRICE_TOM-FERT_TOM)+C718*(PRICE_CAR-FERT_CAR)+F718*(PRICE_MES-FERT_MES)-(FARMER_SALARY+A718*TEMP_COST)-FIXED_COSTS)</f>
        <v>-999999999</v>
      </c>
    </row>
    <row r="719">
      <c r="A719" s="5" t="n">
        <v>1</v>
      </c>
      <c r="B719" s="5" t="n">
        <v>12</v>
      </c>
      <c r="C719" s="5" t="n">
        <v>13</v>
      </c>
      <c r="D719" s="18">
        <f>SEASON_HRS_TOM*B719*(1+DIM_TOM)^B719+SEASON_HRS_CAR*C719*(1+DIM_CAR)^C719</f>
        <v>3927.1219543511406</v>
      </c>
      <c r="E719" s="18">
        <f>(FARMER_FIELD_HRS+A719*TEMP_HRS)-D719</f>
        <v>-1767.1219543511406</v>
      </c>
      <c r="F719" s="21">
        <f>IF(E719&lt;0,0,MIN(COUNTIF(Labor!$C$59:$C$88,"&lt;="&amp;E719),MAXBED_MES,TOTAL_BEDS-B719-C719))</f>
        <v>0</v>
      </c>
      <c r="G719" s="21">
        <f>B719+C719+F719</f>
        <v>25</v>
      </c>
      <c r="H719" s="22">
        <f>IF(E719&lt;0,-999999999,B719*(PRICE_TOM-FERT_TOM)+C719*(PRICE_CAR-FERT_CAR)+F719*(PRICE_MES-FERT_MES)-(FARMER_SALARY+A719*TEMP_COST)-FIXED_COSTS)</f>
        <v>-999999999</v>
      </c>
    </row>
    <row r="720">
      <c r="A720" s="5" t="n">
        <v>1</v>
      </c>
      <c r="B720" s="5" t="n">
        <v>12</v>
      </c>
      <c r="C720" s="5" t="n">
        <v>14</v>
      </c>
      <c r="D720" s="18">
        <f>SEASON_HRS_TOM*B720*(1+DIM_TOM)^B720+SEASON_HRS_CAR*C720*(1+DIM_CAR)^C720</f>
        <v>3982.951651667665</v>
      </c>
      <c r="E720" s="18">
        <f>(FARMER_FIELD_HRS+A720*TEMP_HRS)-D720</f>
        <v>-1822.951651667665</v>
      </c>
      <c r="F720" s="21">
        <f>IF(E720&lt;0,0,MIN(COUNTIF(Labor!$C$59:$C$88,"&lt;="&amp;E720),MAXBED_MES,TOTAL_BEDS-B720-C720))</f>
        <v>0</v>
      </c>
      <c r="G720" s="21">
        <f>B720+C720+F720</f>
        <v>26</v>
      </c>
      <c r="H720" s="22">
        <f>IF(E720&lt;0,-999999999,B720*(PRICE_TOM-FERT_TOM)+C720*(PRICE_CAR-FERT_CAR)+F720*(PRICE_MES-FERT_MES)-(FARMER_SALARY+A720*TEMP_COST)-FIXED_COSTS)</f>
        <v>-999999999</v>
      </c>
    </row>
    <row r="721">
      <c r="A721" s="5" t="n">
        <v>1</v>
      </c>
      <c r="B721" s="5" t="n">
        <v>12</v>
      </c>
      <c r="C721" s="5" t="n">
        <v>15</v>
      </c>
      <c r="D721" s="18">
        <f>SEASON_HRS_TOM*B721*(1+DIM_TOM)^B721+SEASON_HRS_CAR*C721*(1+DIM_CAR)^C721</f>
        <v>4041.2368217828325</v>
      </c>
      <c r="E721" s="18">
        <f>(FARMER_FIELD_HRS+A721*TEMP_HRS)-D721</f>
        <v>-1881.2368217828325</v>
      </c>
      <c r="F721" s="21">
        <f>IF(E721&lt;0,0,MIN(COUNTIF(Labor!$C$59:$C$88,"&lt;="&amp;E721),MAXBED_MES,TOTAL_BEDS-B721-C721))</f>
        <v>0</v>
      </c>
      <c r="G721" s="21">
        <f>B721+C721+F721</f>
        <v>27</v>
      </c>
      <c r="H721" s="22">
        <f>IF(E721&lt;0,-999999999,B721*(PRICE_TOM-FERT_TOM)+C721*(PRICE_CAR-FERT_CAR)+F721*(PRICE_MES-FERT_MES)-(FARMER_SALARY+A721*TEMP_COST)-FIXED_COSTS)</f>
        <v>-999999999</v>
      </c>
    </row>
    <row r="722">
      <c r="A722" s="5" t="n">
        <v>1</v>
      </c>
      <c r="B722" s="5" t="n">
        <v>12</v>
      </c>
      <c r="C722" s="5" t="n">
        <v>16</v>
      </c>
      <c r="D722" s="18">
        <f>SEASON_HRS_TOM*B722*(1+DIM_TOM)^B722+SEASON_HRS_CAR*C722*(1+DIM_CAR)^C722</f>
        <v>4102.065344775753</v>
      </c>
      <c r="E722" s="18">
        <f>(FARMER_FIELD_HRS+A722*TEMP_HRS)-D722</f>
        <v>-1942.0653447757531</v>
      </c>
      <c r="F722" s="21">
        <f>IF(E722&lt;0,0,MIN(COUNTIF(Labor!$C$59:$C$88,"&lt;="&amp;E722),MAXBED_MES,TOTAL_BEDS-B722-C722))</f>
        <v>0</v>
      </c>
      <c r="G722" s="21">
        <f>B722+C722+F722</f>
        <v>28</v>
      </c>
      <c r="H722" s="22">
        <f>IF(E722&lt;0,-999999999,B722*(PRICE_TOM-FERT_TOM)+C722*(PRICE_CAR-FERT_CAR)+F722*(PRICE_MES-FERT_MES)-(FARMER_SALARY+A722*TEMP_COST)-FIXED_COSTS)</f>
        <v>-999999999</v>
      </c>
    </row>
    <row r="723">
      <c r="A723" s="5" t="n">
        <v>1</v>
      </c>
      <c r="B723" s="5" t="n">
        <v>12</v>
      </c>
      <c r="C723" s="5" t="n">
        <v>17</v>
      </c>
      <c r="D723" s="18">
        <f>SEASON_HRS_TOM*B723*(1+DIM_TOM)^B723+SEASON_HRS_CAR*C723*(1+DIM_CAR)^C723</f>
        <v>4165.527960058992</v>
      </c>
      <c r="E723" s="18">
        <f>(FARMER_FIELD_HRS+A723*TEMP_HRS)-D723</f>
        <v>-2005.527960058992</v>
      </c>
      <c r="F723" s="21">
        <f>IF(E723&lt;0,0,MIN(COUNTIF(Labor!$C$59:$C$88,"&lt;="&amp;E723),MAXBED_MES,TOTAL_BEDS-B723-C723))</f>
        <v>0</v>
      </c>
      <c r="G723" s="21">
        <f>B723+C723+F723</f>
        <v>29</v>
      </c>
      <c r="H723" s="22">
        <f>IF(E723&lt;0,-999999999,B723*(PRICE_TOM-FERT_TOM)+C723*(PRICE_CAR-FERT_CAR)+F723*(PRICE_MES-FERT_MES)-(FARMER_SALARY+A723*TEMP_COST)-FIXED_COSTS)</f>
        <v>-999999999</v>
      </c>
    </row>
    <row r="724">
      <c r="A724" s="5" t="n">
        <v>1</v>
      </c>
      <c r="B724" s="5" t="n">
        <v>12</v>
      </c>
      <c r="C724" s="5" t="n">
        <v>18</v>
      </c>
      <c r="D724" s="18">
        <f>SEASON_HRS_TOM*B724*(1+DIM_TOM)^B724+SEASON_HRS_CAR*C724*(1+DIM_CAR)^C724</f>
        <v>4231.718354420195</v>
      </c>
      <c r="E724" s="18">
        <f>(FARMER_FIELD_HRS+A724*TEMP_HRS)-D724</f>
        <v>-2071.7183544201953</v>
      </c>
      <c r="F724" s="21">
        <f>IF(E724&lt;0,0,MIN(COUNTIF(Labor!$C$59:$C$88,"&lt;="&amp;E724),MAXBED_MES,TOTAL_BEDS-B724-C724))</f>
        <v>0</v>
      </c>
      <c r="G724" s="21">
        <f>B724+C724+F724</f>
        <v>30</v>
      </c>
      <c r="H724" s="22">
        <f>IF(E724&lt;0,-999999999,B724*(PRICE_TOM-FERT_TOM)+C724*(PRICE_CAR-FERT_CAR)+F724*(PRICE_MES-FERT_MES)-(FARMER_SALARY+A724*TEMP_COST)-FIXED_COSTS)</f>
        <v>-999999999</v>
      </c>
    </row>
    <row r="725">
      <c r="A725" s="5" t="n">
        <v>1</v>
      </c>
      <c r="B725" s="5" t="n">
        <v>12</v>
      </c>
      <c r="C725" s="5" t="n">
        <v>19</v>
      </c>
      <c r="D725" s="18">
        <f>SEASON_HRS_TOM*B725*(1+DIM_TOM)^B725+SEASON_HRS_CAR*C725*(1+DIM_CAR)^C725</f>
        <v>4300.733252678708</v>
      </c>
      <c r="E725" s="18">
        <f>(FARMER_FIELD_HRS+A725*TEMP_HRS)-D725</f>
        <v>-2140.7332526787077</v>
      </c>
      <c r="F725" s="21">
        <f>IF(E725&lt;0,0,MIN(COUNTIF(Labor!$C$59:$C$88,"&lt;="&amp;E725),MAXBED_MES,TOTAL_BEDS-B725-C725))</f>
        <v>0</v>
      </c>
      <c r="G725" s="21">
        <f>B725+C725+F725</f>
        <v>31</v>
      </c>
      <c r="H725" s="22">
        <f>IF(E725&lt;0,-999999999,B725*(PRICE_TOM-FERT_TOM)+C725*(PRICE_CAR-FERT_CAR)+F725*(PRICE_MES-FERT_MES)-(FARMER_SALARY+A725*TEMP_COST)-FIXED_COSTS)</f>
        <v>-999999999</v>
      </c>
    </row>
    <row r="726">
      <c r="A726" s="5" t="n">
        <v>1</v>
      </c>
      <c r="B726" s="5" t="n">
        <v>12</v>
      </c>
      <c r="C726" s="5" t="n">
        <v>20</v>
      </c>
      <c r="D726" s="18">
        <f>SEASON_HRS_TOM*B726*(1+DIM_TOM)^B726+SEASON_HRS_CAR*C726*(1+DIM_CAR)^C726</f>
        <v>4372.67251103292</v>
      </c>
      <c r="E726" s="18">
        <f>(FARMER_FIELD_HRS+A726*TEMP_HRS)-D726</f>
        <v>-2212.67251103292</v>
      </c>
      <c r="F726" s="21">
        <f>IF(E726&lt;0,0,MIN(COUNTIF(Labor!$C$59:$C$88,"&lt;="&amp;E726),MAXBED_MES,TOTAL_BEDS-B726-C726))</f>
        <v>0</v>
      </c>
      <c r="G726" s="21">
        <f>B726+C726+F726</f>
        <v>32</v>
      </c>
      <c r="H726" s="22">
        <f>IF(E726&lt;0,-999999999,B726*(PRICE_TOM-FERT_TOM)+C726*(PRICE_CAR-FERT_CAR)+F726*(PRICE_MES-FERT_MES)-(FARMER_SALARY+A726*TEMP_COST)-FIXED_COSTS)</f>
        <v>-999999999</v>
      </c>
    </row>
    <row r="727">
      <c r="A727" s="5" t="n">
        <v>1</v>
      </c>
      <c r="B727" s="5" t="n">
        <v>13</v>
      </c>
      <c r="C727" s="5" t="n">
        <v>0</v>
      </c>
      <c r="D727" s="18">
        <f>SEASON_HRS_TOM*B727*(1+DIM_TOM)^B727+SEASON_HRS_CAR*C727*(1+DIM_CAR)^C727</f>
        <v>4039.1573208399313</v>
      </c>
      <c r="E727" s="18">
        <f>(FARMER_FIELD_HRS+A727*TEMP_HRS)-D727</f>
        <v>-1879.1573208399313</v>
      </c>
      <c r="F727" s="21">
        <f>IF(E727&lt;0,0,MIN(COUNTIF(Labor!$C$59:$C$88,"&lt;="&amp;E727),MAXBED_MES,TOTAL_BEDS-B727-C727))</f>
        <v>0</v>
      </c>
      <c r="G727" s="21">
        <f>B727+C727+F727</f>
        <v>13</v>
      </c>
      <c r="H727" s="22">
        <f>IF(E727&lt;0,-999999999,B727*(PRICE_TOM-FERT_TOM)+C727*(PRICE_CAR-FERT_CAR)+F727*(PRICE_MES-FERT_MES)-(FARMER_SALARY+A727*TEMP_COST)-FIXED_COSTS)</f>
        <v>-999999999</v>
      </c>
    </row>
    <row r="728">
      <c r="A728" s="5" t="n">
        <v>1</v>
      </c>
      <c r="B728" s="5" t="n">
        <v>13</v>
      </c>
      <c r="C728" s="5" t="n">
        <v>1</v>
      </c>
      <c r="D728" s="18">
        <f>SEASON_HRS_TOM*B728*(1+DIM_TOM)^B728+SEASON_HRS_CAR*C728*(1+DIM_CAR)^C728</f>
        <v>4069.9073208399313</v>
      </c>
      <c r="E728" s="18">
        <f>(FARMER_FIELD_HRS+A728*TEMP_HRS)-D728</f>
        <v>-1909.9073208399313</v>
      </c>
      <c r="F728" s="21">
        <f>IF(E728&lt;0,0,MIN(COUNTIF(Labor!$C$59:$C$88,"&lt;="&amp;E728),MAXBED_MES,TOTAL_BEDS-B728-C728))</f>
        <v>0</v>
      </c>
      <c r="G728" s="21">
        <f>B728+C728+F728</f>
        <v>14</v>
      </c>
      <c r="H728" s="22">
        <f>IF(E728&lt;0,-999999999,B728*(PRICE_TOM-FERT_TOM)+C728*(PRICE_CAR-FERT_CAR)+F728*(PRICE_MES-FERT_MES)-(FARMER_SALARY+A728*TEMP_COST)-FIXED_COSTS)</f>
        <v>-999999999</v>
      </c>
    </row>
    <row r="729">
      <c r="A729" s="5" t="n">
        <v>1</v>
      </c>
      <c r="B729" s="5" t="n">
        <v>13</v>
      </c>
      <c r="C729" s="5" t="n">
        <v>2</v>
      </c>
      <c r="D729" s="18">
        <f>SEASON_HRS_TOM*B729*(1+DIM_TOM)^B729+SEASON_HRS_CAR*C729*(1+DIM_CAR)^C729</f>
        <v>4102.194820839932</v>
      </c>
      <c r="E729" s="18">
        <f>(FARMER_FIELD_HRS+A729*TEMP_HRS)-D729</f>
        <v>-1942.1948208399317</v>
      </c>
      <c r="F729" s="21">
        <f>IF(E729&lt;0,0,MIN(COUNTIF(Labor!$C$59:$C$88,"&lt;="&amp;E729),MAXBED_MES,TOTAL_BEDS-B729-C729))</f>
        <v>0</v>
      </c>
      <c r="G729" s="21">
        <f>B729+C729+F729</f>
        <v>15</v>
      </c>
      <c r="H729" s="22">
        <f>IF(E729&lt;0,-999999999,B729*(PRICE_TOM-FERT_TOM)+C729*(PRICE_CAR-FERT_CAR)+F729*(PRICE_MES-FERT_MES)-(FARMER_SALARY+A729*TEMP_COST)-FIXED_COSTS)</f>
        <v>-999999999</v>
      </c>
    </row>
    <row r="730">
      <c r="A730" s="5" t="n">
        <v>1</v>
      </c>
      <c r="B730" s="5" t="n">
        <v>13</v>
      </c>
      <c r="C730" s="5" t="n">
        <v>3</v>
      </c>
      <c r="D730" s="18">
        <f>SEASON_HRS_TOM*B730*(1+DIM_TOM)^B730+SEASON_HRS_CAR*C730*(1+DIM_CAR)^C730</f>
        <v>4136.077477089932</v>
      </c>
      <c r="E730" s="18">
        <f>(FARMER_FIELD_HRS+A730*TEMP_HRS)-D730</f>
        <v>-1976.0774770899316</v>
      </c>
      <c r="F730" s="21">
        <f>IF(E730&lt;0,0,MIN(COUNTIF(Labor!$C$59:$C$88,"&lt;="&amp;E730),MAXBED_MES,TOTAL_BEDS-B730-C730))</f>
        <v>0</v>
      </c>
      <c r="G730" s="21">
        <f>B730+C730+F730</f>
        <v>16</v>
      </c>
      <c r="H730" s="22">
        <f>IF(E730&lt;0,-999999999,B730*(PRICE_TOM-FERT_TOM)+C730*(PRICE_CAR-FERT_CAR)+F730*(PRICE_MES-FERT_MES)-(FARMER_SALARY+A730*TEMP_COST)-FIXED_COSTS)</f>
        <v>-999999999</v>
      </c>
    </row>
    <row r="731">
      <c r="A731" s="5" t="n">
        <v>1</v>
      </c>
      <c r="B731" s="5" t="n">
        <v>13</v>
      </c>
      <c r="C731" s="5" t="n">
        <v>4</v>
      </c>
      <c r="D731" s="18">
        <f>SEASON_HRS_TOM*B731*(1+DIM_TOM)^B731+SEASON_HRS_CAR*C731*(1+DIM_CAR)^C731</f>
        <v>4171.614867714931</v>
      </c>
      <c r="E731" s="18">
        <f>(FARMER_FIELD_HRS+A731*TEMP_HRS)-D731</f>
        <v>-2011.6148677149313</v>
      </c>
      <c r="F731" s="21">
        <f>IF(E731&lt;0,0,MIN(COUNTIF(Labor!$C$59:$C$88,"&lt;="&amp;E731),MAXBED_MES,TOTAL_BEDS-B731-C731))</f>
        <v>0</v>
      </c>
      <c r="G731" s="21">
        <f>B731+C731+F731</f>
        <v>17</v>
      </c>
      <c r="H731" s="22">
        <f>IF(E731&lt;0,-999999999,B731*(PRICE_TOM-FERT_TOM)+C731*(PRICE_CAR-FERT_CAR)+F731*(PRICE_MES-FERT_MES)-(FARMER_SALARY+A731*TEMP_COST)-FIXED_COSTS)</f>
        <v>-999999999</v>
      </c>
    </row>
    <row r="732">
      <c r="A732" s="5" t="n">
        <v>1</v>
      </c>
      <c r="B732" s="5" t="n">
        <v>13</v>
      </c>
      <c r="C732" s="5" t="n">
        <v>5</v>
      </c>
      <c r="D732" s="18">
        <f>SEASON_HRS_TOM*B732*(1+DIM_TOM)^B732+SEASON_HRS_CAR*C732*(1+DIM_CAR)^C732</f>
        <v>4208.868552773525</v>
      </c>
      <c r="E732" s="18">
        <f>(FARMER_FIELD_HRS+A732*TEMP_HRS)-D732</f>
        <v>-2048.868552773525</v>
      </c>
      <c r="F732" s="21">
        <f>IF(E732&lt;0,0,MIN(COUNTIF(Labor!$C$59:$C$88,"&lt;="&amp;E732),MAXBED_MES,TOTAL_BEDS-B732-C732))</f>
        <v>0</v>
      </c>
      <c r="G732" s="21">
        <f>B732+C732+F732</f>
        <v>18</v>
      </c>
      <c r="H732" s="22">
        <f>IF(E732&lt;0,-999999999,B732*(PRICE_TOM-FERT_TOM)+C732*(PRICE_CAR-FERT_CAR)+F732*(PRICE_MES-FERT_MES)-(FARMER_SALARY+A732*TEMP_COST)-FIXED_COSTS)</f>
        <v>-999999999</v>
      </c>
    </row>
    <row r="733">
      <c r="A733" s="5" t="n">
        <v>1</v>
      </c>
      <c r="B733" s="5" t="n">
        <v>13</v>
      </c>
      <c r="C733" s="5" t="n">
        <v>6</v>
      </c>
      <c r="D733" s="18">
        <f>SEASON_HRS_TOM*B733*(1+DIM_TOM)^B733+SEASON_HRS_CAR*C733*(1+DIM_CAR)^C733</f>
        <v>4247.902136118251</v>
      </c>
      <c r="E733" s="18">
        <f>(FARMER_FIELD_HRS+A733*TEMP_HRS)-D733</f>
        <v>-2087.9021361182513</v>
      </c>
      <c r="F733" s="21">
        <f>IF(E733&lt;0,0,MIN(COUNTIF(Labor!$C$59:$C$88,"&lt;="&amp;E733),MAXBED_MES,TOTAL_BEDS-B733-C733))</f>
        <v>0</v>
      </c>
      <c r="G733" s="21">
        <f>B733+C733+F733</f>
        <v>19</v>
      </c>
      <c r="H733" s="22">
        <f>IF(E733&lt;0,-999999999,B733*(PRICE_TOM-FERT_TOM)+C733*(PRICE_CAR-FERT_CAR)+F733*(PRICE_MES-FERT_MES)-(FARMER_SALARY+A733*TEMP_COST)-FIXED_COSTS)</f>
        <v>-999999999</v>
      </c>
    </row>
    <row r="734">
      <c r="A734" s="5" t="n">
        <v>1</v>
      </c>
      <c r="B734" s="5" t="n">
        <v>13</v>
      </c>
      <c r="C734" s="5" t="n">
        <v>7</v>
      </c>
      <c r="D734" s="18">
        <f>SEASON_HRS_TOM*B734*(1+DIM_TOM)^B734+SEASON_HRS_CAR*C734*(1+DIM_CAR)^C734</f>
        <v>4288.781329110256</v>
      </c>
      <c r="E734" s="18">
        <f>(FARMER_FIELD_HRS+A734*TEMP_HRS)-D734</f>
        <v>-2128.7813291102557</v>
      </c>
      <c r="F734" s="21">
        <f>IF(E734&lt;0,0,MIN(COUNTIF(Labor!$C$59:$C$88,"&lt;="&amp;E734),MAXBED_MES,TOTAL_BEDS-B734-C734))</f>
        <v>0</v>
      </c>
      <c r="G734" s="21">
        <f>B734+C734+F734</f>
        <v>20</v>
      </c>
      <c r="H734" s="22">
        <f>IF(E734&lt;0,-999999999,B734*(PRICE_TOM-FERT_TOM)+C734*(PRICE_CAR-FERT_CAR)+F734*(PRICE_MES-FERT_MES)-(FARMER_SALARY+A734*TEMP_COST)-FIXED_COSTS)</f>
        <v>-999999999</v>
      </c>
    </row>
    <row r="735">
      <c r="A735" s="5" t="n">
        <v>1</v>
      </c>
      <c r="B735" s="5" t="n">
        <v>13</v>
      </c>
      <c r="C735" s="5" t="n">
        <v>8</v>
      </c>
      <c r="D735" s="18">
        <f>SEASON_HRS_TOM*B735*(1+DIM_TOM)^B735+SEASON_HRS_CAR*C735*(1+DIM_CAR)^C735</f>
        <v>4331.574016242312</v>
      </c>
      <c r="E735" s="18">
        <f>(FARMER_FIELD_HRS+A735*TEMP_HRS)-D735</f>
        <v>-2171.5740162423117</v>
      </c>
      <c r="F735" s="21">
        <f>IF(E735&lt;0,0,MIN(COUNTIF(Labor!$C$59:$C$88,"&lt;="&amp;E735),MAXBED_MES,TOTAL_BEDS-B735-C735))</f>
        <v>0</v>
      </c>
      <c r="G735" s="21">
        <f>B735+C735+F735</f>
        <v>21</v>
      </c>
      <c r="H735" s="22">
        <f>IF(E735&lt;0,-999999999,B735*(PRICE_TOM-FERT_TOM)+C735*(PRICE_CAR-FERT_CAR)+F735*(PRICE_MES-FERT_MES)-(FARMER_SALARY+A735*TEMP_COST)-FIXED_COSTS)</f>
        <v>-999999999</v>
      </c>
    </row>
    <row r="736">
      <c r="A736" s="5" t="n">
        <v>1</v>
      </c>
      <c r="B736" s="5" t="n">
        <v>13</v>
      </c>
      <c r="C736" s="5" t="n">
        <v>9</v>
      </c>
      <c r="D736" s="18">
        <f>SEASON_HRS_TOM*B736*(1+DIM_TOM)^B736+SEASON_HRS_CAR*C736*(1+DIM_CAR)^C736</f>
        <v>4376.350322725801</v>
      </c>
      <c r="E736" s="18">
        <f>(FARMER_FIELD_HRS+A736*TEMP_HRS)-D736</f>
        <v>-2216.3503227258007</v>
      </c>
      <c r="F736" s="21">
        <f>IF(E736&lt;0,0,MIN(COUNTIF(Labor!$C$59:$C$88,"&lt;="&amp;E736),MAXBED_MES,TOTAL_BEDS-B736-C736))</f>
        <v>0</v>
      </c>
      <c r="G736" s="21">
        <f>B736+C736+F736</f>
        <v>22</v>
      </c>
      <c r="H736" s="22">
        <f>IF(E736&lt;0,-999999999,B736*(PRICE_TOM-FERT_TOM)+C736*(PRICE_CAR-FERT_CAR)+F736*(PRICE_MES-FERT_MES)-(FARMER_SALARY+A736*TEMP_COST)-FIXED_COSTS)</f>
        <v>-999999999</v>
      </c>
    </row>
    <row r="737">
      <c r="A737" s="5" t="n">
        <v>1</v>
      </c>
      <c r="B737" s="5" t="n">
        <v>13</v>
      </c>
      <c r="C737" s="5" t="n">
        <v>10</v>
      </c>
      <c r="D737" s="18">
        <f>SEASON_HRS_TOM*B737*(1+DIM_TOM)^B737+SEASON_HRS_CAR*C737*(1+DIM_CAR)^C737</f>
        <v>4423.182684098839</v>
      </c>
      <c r="E737" s="18">
        <f>(FARMER_FIELD_HRS+A737*TEMP_HRS)-D737</f>
        <v>-2263.1826840988388</v>
      </c>
      <c r="F737" s="21">
        <f>IF(E737&lt;0,0,MIN(COUNTIF(Labor!$C$59:$C$88,"&lt;="&amp;E737),MAXBED_MES,TOTAL_BEDS-B737-C737))</f>
        <v>0</v>
      </c>
      <c r="G737" s="21">
        <f>B737+C737+F737</f>
        <v>23</v>
      </c>
      <c r="H737" s="22">
        <f>IF(E737&lt;0,-999999999,B737*(PRICE_TOM-FERT_TOM)+C737*(PRICE_CAR-FERT_CAR)+F737*(PRICE_MES-FERT_MES)-(FARMER_SALARY+A737*TEMP_COST)-FIXED_COSTS)</f>
        <v>-999999999</v>
      </c>
    </row>
    <row r="738">
      <c r="A738" s="5" t="n">
        <v>1</v>
      </c>
      <c r="B738" s="5" t="n">
        <v>13</v>
      </c>
      <c r="C738" s="5" t="n">
        <v>11</v>
      </c>
      <c r="D738" s="18">
        <f>SEASON_HRS_TOM*B738*(1+DIM_TOM)^B738+SEASON_HRS_CAR*C738*(1+DIM_CAR)^C738</f>
        <v>4472.145917914349</v>
      </c>
      <c r="E738" s="18">
        <f>(FARMER_FIELD_HRS+A738*TEMP_HRS)-D738</f>
        <v>-2312.1459179143494</v>
      </c>
      <c r="F738" s="21">
        <f>IF(E738&lt;0,0,MIN(COUNTIF(Labor!$C$59:$C$88,"&lt;="&amp;E738),MAXBED_MES,TOTAL_BEDS-B738-C738))</f>
        <v>0</v>
      </c>
      <c r="G738" s="21">
        <f>B738+C738+F738</f>
        <v>24</v>
      </c>
      <c r="H738" s="22">
        <f>IF(E738&lt;0,-999999999,B738*(PRICE_TOM-FERT_TOM)+C738*(PRICE_CAR-FERT_CAR)+F738*(PRICE_MES-FERT_MES)-(FARMER_SALARY+A738*TEMP_COST)-FIXED_COSTS)</f>
        <v>-999999999</v>
      </c>
    </row>
    <row r="739">
      <c r="A739" s="5" t="n">
        <v>1</v>
      </c>
      <c r="B739" s="5" t="n">
        <v>13</v>
      </c>
      <c r="C739" s="5" t="n">
        <v>12</v>
      </c>
      <c r="D739" s="18">
        <f>SEASON_HRS_TOM*B739*(1+DIM_TOM)^B739+SEASON_HRS_CAR*C739*(1+DIM_CAR)^C739</f>
        <v>4523.317297568598</v>
      </c>
      <c r="E739" s="18">
        <f>(FARMER_FIELD_HRS+A739*TEMP_HRS)-D739</f>
        <v>-2363.3172975685984</v>
      </c>
      <c r="F739" s="21">
        <f>IF(E739&lt;0,0,MIN(COUNTIF(Labor!$C$59:$C$88,"&lt;="&amp;E739),MAXBED_MES,TOTAL_BEDS-B739-C739))</f>
        <v>0</v>
      </c>
      <c r="G739" s="21">
        <f>B739+C739+F739</f>
        <v>25</v>
      </c>
      <c r="H739" s="22">
        <f>IF(E739&lt;0,-999999999,B739*(PRICE_TOM-FERT_TOM)+C739*(PRICE_CAR-FERT_CAR)+F739*(PRICE_MES-FERT_MES)-(FARMER_SALARY+A739*TEMP_COST)-FIXED_COSTS)</f>
        <v>-999999999</v>
      </c>
    </row>
    <row r="740">
      <c r="A740" s="5" t="n">
        <v>1</v>
      </c>
      <c r="B740" s="5" t="n">
        <v>13</v>
      </c>
      <c r="C740" s="5" t="n">
        <v>13</v>
      </c>
      <c r="D740" s="18">
        <f>SEASON_HRS_TOM*B740*(1+DIM_TOM)^B740+SEASON_HRS_CAR*C740*(1+DIM_CAR)^C740</f>
        <v>4576.776628332388</v>
      </c>
      <c r="E740" s="18">
        <f>(FARMER_FIELD_HRS+A740*TEMP_HRS)-D740</f>
        <v>-2416.776628332388</v>
      </c>
      <c r="F740" s="21">
        <f>IF(E740&lt;0,0,MIN(COUNTIF(Labor!$C$59:$C$88,"&lt;="&amp;E740),MAXBED_MES,TOTAL_BEDS-B740-C740))</f>
        <v>0</v>
      </c>
      <c r="G740" s="21">
        <f>B740+C740+F740</f>
        <v>26</v>
      </c>
      <c r="H740" s="22">
        <f>IF(E740&lt;0,-999999999,B740*(PRICE_TOM-FERT_TOM)+C740*(PRICE_CAR-FERT_CAR)+F740*(PRICE_MES-FERT_MES)-(FARMER_SALARY+A740*TEMP_COST)-FIXED_COSTS)</f>
        <v>-999999999</v>
      </c>
    </row>
    <row r="741">
      <c r="A741" s="5" t="n">
        <v>1</v>
      </c>
      <c r="B741" s="5" t="n">
        <v>13</v>
      </c>
      <c r="C741" s="5" t="n">
        <v>14</v>
      </c>
      <c r="D741" s="18">
        <f>SEASON_HRS_TOM*B741*(1+DIM_TOM)^B741+SEASON_HRS_CAR*C741*(1+DIM_CAR)^C741</f>
        <v>4632.606325648913</v>
      </c>
      <c r="E741" s="18">
        <f>(FARMER_FIELD_HRS+A741*TEMP_HRS)-D741</f>
        <v>-2472.6063256489133</v>
      </c>
      <c r="F741" s="21">
        <f>IF(E741&lt;0,0,MIN(COUNTIF(Labor!$C$59:$C$88,"&lt;="&amp;E741),MAXBED_MES,TOTAL_BEDS-B741-C741))</f>
        <v>0</v>
      </c>
      <c r="G741" s="21">
        <f>B741+C741+F741</f>
        <v>27</v>
      </c>
      <c r="H741" s="22">
        <f>IF(E741&lt;0,-999999999,B741*(PRICE_TOM-FERT_TOM)+C741*(PRICE_CAR-FERT_CAR)+F741*(PRICE_MES-FERT_MES)-(FARMER_SALARY+A741*TEMP_COST)-FIXED_COSTS)</f>
        <v>-999999999</v>
      </c>
    </row>
    <row r="742">
      <c r="A742" s="5" t="n">
        <v>1</v>
      </c>
      <c r="B742" s="5" t="n">
        <v>13</v>
      </c>
      <c r="C742" s="5" t="n">
        <v>15</v>
      </c>
      <c r="D742" s="18">
        <f>SEASON_HRS_TOM*B742*(1+DIM_TOM)^B742+SEASON_HRS_CAR*C742*(1+DIM_CAR)^C742</f>
        <v>4690.891495764081</v>
      </c>
      <c r="E742" s="18">
        <f>(FARMER_FIELD_HRS+A742*TEMP_HRS)-D742</f>
        <v>-2530.891495764081</v>
      </c>
      <c r="F742" s="21">
        <f>IF(E742&lt;0,0,MIN(COUNTIF(Labor!$C$59:$C$88,"&lt;="&amp;E742),MAXBED_MES,TOTAL_BEDS-B742-C742))</f>
        <v>0</v>
      </c>
      <c r="G742" s="21">
        <f>B742+C742+F742</f>
        <v>28</v>
      </c>
      <c r="H742" s="22">
        <f>IF(E742&lt;0,-999999999,B742*(PRICE_TOM-FERT_TOM)+C742*(PRICE_CAR-FERT_CAR)+F742*(PRICE_MES-FERT_MES)-(FARMER_SALARY+A742*TEMP_COST)-FIXED_COSTS)</f>
        <v>-999999999</v>
      </c>
    </row>
    <row r="743">
      <c r="A743" s="5" t="n">
        <v>1</v>
      </c>
      <c r="B743" s="5" t="n">
        <v>13</v>
      </c>
      <c r="C743" s="5" t="n">
        <v>16</v>
      </c>
      <c r="D743" s="18">
        <f>SEASON_HRS_TOM*B743*(1+DIM_TOM)^B743+SEASON_HRS_CAR*C743*(1+DIM_CAR)^C743</f>
        <v>4751.7200187570015</v>
      </c>
      <c r="E743" s="18">
        <f>(FARMER_FIELD_HRS+A743*TEMP_HRS)-D743</f>
        <v>-2591.7200187570015</v>
      </c>
      <c r="F743" s="21">
        <f>IF(E743&lt;0,0,MIN(COUNTIF(Labor!$C$59:$C$88,"&lt;="&amp;E743),MAXBED_MES,TOTAL_BEDS-B743-C743))</f>
        <v>0</v>
      </c>
      <c r="G743" s="21">
        <f>B743+C743+F743</f>
        <v>29</v>
      </c>
      <c r="H743" s="22">
        <f>IF(E743&lt;0,-999999999,B743*(PRICE_TOM-FERT_TOM)+C743*(PRICE_CAR-FERT_CAR)+F743*(PRICE_MES-FERT_MES)-(FARMER_SALARY+A743*TEMP_COST)-FIXED_COSTS)</f>
        <v>-999999999</v>
      </c>
    </row>
    <row r="744">
      <c r="A744" s="5" t="n">
        <v>1</v>
      </c>
      <c r="B744" s="5" t="n">
        <v>13</v>
      </c>
      <c r="C744" s="5" t="n">
        <v>17</v>
      </c>
      <c r="D744" s="18">
        <f>SEASON_HRS_TOM*B744*(1+DIM_TOM)^B744+SEASON_HRS_CAR*C744*(1+DIM_CAR)^C744</f>
        <v>4815.18263404024</v>
      </c>
      <c r="E744" s="18">
        <f>(FARMER_FIELD_HRS+A744*TEMP_HRS)-D744</f>
        <v>-2655.1826340402404</v>
      </c>
      <c r="F744" s="21">
        <f>IF(E744&lt;0,0,MIN(COUNTIF(Labor!$C$59:$C$88,"&lt;="&amp;E744),MAXBED_MES,TOTAL_BEDS-B744-C744))</f>
        <v>0</v>
      </c>
      <c r="G744" s="21">
        <f>B744+C744+F744</f>
        <v>30</v>
      </c>
      <c r="H744" s="22">
        <f>IF(E744&lt;0,-999999999,B744*(PRICE_TOM-FERT_TOM)+C744*(PRICE_CAR-FERT_CAR)+F744*(PRICE_MES-FERT_MES)-(FARMER_SALARY+A744*TEMP_COST)-FIXED_COSTS)</f>
        <v>-999999999</v>
      </c>
    </row>
    <row r="745">
      <c r="A745" s="5" t="n">
        <v>1</v>
      </c>
      <c r="B745" s="5" t="n">
        <v>13</v>
      </c>
      <c r="C745" s="5" t="n">
        <v>18</v>
      </c>
      <c r="D745" s="18">
        <f>SEASON_HRS_TOM*B745*(1+DIM_TOM)^B745+SEASON_HRS_CAR*C745*(1+DIM_CAR)^C745</f>
        <v>4881.373028401443</v>
      </c>
      <c r="E745" s="18">
        <f>(FARMER_FIELD_HRS+A745*TEMP_HRS)-D745</f>
        <v>-2721.3730284014428</v>
      </c>
      <c r="F745" s="21">
        <f>IF(E745&lt;0,0,MIN(COUNTIF(Labor!$C$59:$C$88,"&lt;="&amp;E745),MAXBED_MES,TOTAL_BEDS-B745-C745))</f>
        <v>0</v>
      </c>
      <c r="G745" s="21">
        <f>B745+C745+F745</f>
        <v>31</v>
      </c>
      <c r="H745" s="22">
        <f>IF(E745&lt;0,-999999999,B745*(PRICE_TOM-FERT_TOM)+C745*(PRICE_CAR-FERT_CAR)+F745*(PRICE_MES-FERT_MES)-(FARMER_SALARY+A745*TEMP_COST)-FIXED_COSTS)</f>
        <v>-999999999</v>
      </c>
    </row>
    <row r="746">
      <c r="A746" s="5" t="n">
        <v>1</v>
      </c>
      <c r="B746" s="5" t="n">
        <v>13</v>
      </c>
      <c r="C746" s="5" t="n">
        <v>19</v>
      </c>
      <c r="D746" s="18">
        <f>SEASON_HRS_TOM*B746*(1+DIM_TOM)^B746+SEASON_HRS_CAR*C746*(1+DIM_CAR)^C746</f>
        <v>4950.387926659955</v>
      </c>
      <c r="E746" s="18">
        <f>(FARMER_FIELD_HRS+A746*TEMP_HRS)-D746</f>
        <v>-2790.387926659955</v>
      </c>
      <c r="F746" s="21">
        <f>IF(E746&lt;0,0,MIN(COUNTIF(Labor!$C$59:$C$88,"&lt;="&amp;E746),MAXBED_MES,TOTAL_BEDS-B746-C746))</f>
        <v>0</v>
      </c>
      <c r="G746" s="21">
        <f>B746+C746+F746</f>
        <v>32</v>
      </c>
      <c r="H746" s="22">
        <f>IF(E746&lt;0,-999999999,B746*(PRICE_TOM-FERT_TOM)+C746*(PRICE_CAR-FERT_CAR)+F746*(PRICE_MES-FERT_MES)-(FARMER_SALARY+A746*TEMP_COST)-FIXED_COSTS)</f>
        <v>-999999999</v>
      </c>
    </row>
    <row r="747">
      <c r="A747" s="5" t="n">
        <v>1</v>
      </c>
      <c r="B747" s="5" t="n">
        <v>13</v>
      </c>
      <c r="C747" s="5" t="n">
        <v>20</v>
      </c>
      <c r="D747" s="18">
        <f>SEASON_HRS_TOM*B747*(1+DIM_TOM)^B747+SEASON_HRS_CAR*C747*(1+DIM_CAR)^C747</f>
        <v>5022.327185014168</v>
      </c>
      <c r="E747" s="18">
        <f>(FARMER_FIELD_HRS+A747*TEMP_HRS)-D747</f>
        <v>-2862.327185014168</v>
      </c>
      <c r="F747" s="21">
        <f>IF(E747&lt;0,0,MIN(COUNTIF(Labor!$C$59:$C$88,"&lt;="&amp;E747),MAXBED_MES,TOTAL_BEDS-B747-C747))</f>
        <v>0</v>
      </c>
      <c r="G747" s="21">
        <f>B747+C747+F747</f>
        <v>33</v>
      </c>
      <c r="H747" s="22">
        <f>IF(E747&lt;0,-999999999,B747*(PRICE_TOM-FERT_TOM)+C747*(PRICE_CAR-FERT_CAR)+F747*(PRICE_MES-FERT_MES)-(FARMER_SALARY+A747*TEMP_COST)-FIXED_COSTS)</f>
        <v>-999999999</v>
      </c>
    </row>
    <row r="748">
      <c r="A748" s="5" t="n">
        <v>1</v>
      </c>
      <c r="B748" s="5" t="n">
        <v>14</v>
      </c>
      <c r="C748" s="5" t="n">
        <v>0</v>
      </c>
      <c r="D748" s="18">
        <f>SEASON_HRS_TOM*B748*(1+DIM_TOM)^B748+SEASON_HRS_CAR*C748*(1+DIM_CAR)^C748</f>
        <v>4784.847903148842</v>
      </c>
      <c r="E748" s="18">
        <f>(FARMER_FIELD_HRS+A748*TEMP_HRS)-D748</f>
        <v>-2624.8479031488423</v>
      </c>
      <c r="F748" s="21">
        <f>IF(E748&lt;0,0,MIN(COUNTIF(Labor!$C$59:$C$88,"&lt;="&amp;E748),MAXBED_MES,TOTAL_BEDS-B748-C748))</f>
        <v>0</v>
      </c>
      <c r="G748" s="21">
        <f>B748+C748+F748</f>
        <v>14</v>
      </c>
      <c r="H748" s="22">
        <f>IF(E748&lt;0,-999999999,B748*(PRICE_TOM-FERT_TOM)+C748*(PRICE_CAR-FERT_CAR)+F748*(PRICE_MES-FERT_MES)-(FARMER_SALARY+A748*TEMP_COST)-FIXED_COSTS)</f>
        <v>-999999999</v>
      </c>
    </row>
    <row r="749">
      <c r="A749" s="5" t="n">
        <v>1</v>
      </c>
      <c r="B749" s="5" t="n">
        <v>14</v>
      </c>
      <c r="C749" s="5" t="n">
        <v>1</v>
      </c>
      <c r="D749" s="18">
        <f>SEASON_HRS_TOM*B749*(1+DIM_TOM)^B749+SEASON_HRS_CAR*C749*(1+DIM_CAR)^C749</f>
        <v>4815.597903148842</v>
      </c>
      <c r="E749" s="18">
        <f>(FARMER_FIELD_HRS+A749*TEMP_HRS)-D749</f>
        <v>-2655.5979031488423</v>
      </c>
      <c r="F749" s="21">
        <f>IF(E749&lt;0,0,MIN(COUNTIF(Labor!$C$59:$C$88,"&lt;="&amp;E749),MAXBED_MES,TOTAL_BEDS-B749-C749))</f>
        <v>0</v>
      </c>
      <c r="G749" s="21">
        <f>B749+C749+F749</f>
        <v>15</v>
      </c>
      <c r="H749" s="22">
        <f>IF(E749&lt;0,-999999999,B749*(PRICE_TOM-FERT_TOM)+C749*(PRICE_CAR-FERT_CAR)+F749*(PRICE_MES-FERT_MES)-(FARMER_SALARY+A749*TEMP_COST)-FIXED_COSTS)</f>
        <v>-999999999</v>
      </c>
    </row>
    <row r="750">
      <c r="A750" s="5" t="n">
        <v>1</v>
      </c>
      <c r="B750" s="5" t="n">
        <v>14</v>
      </c>
      <c r="C750" s="5" t="n">
        <v>2</v>
      </c>
      <c r="D750" s="18">
        <f>SEASON_HRS_TOM*B750*(1+DIM_TOM)^B750+SEASON_HRS_CAR*C750*(1+DIM_CAR)^C750</f>
        <v>4847.885403148843</v>
      </c>
      <c r="E750" s="18">
        <f>(FARMER_FIELD_HRS+A750*TEMP_HRS)-D750</f>
        <v>-2687.8854031488427</v>
      </c>
      <c r="F750" s="21">
        <f>IF(E750&lt;0,0,MIN(COUNTIF(Labor!$C$59:$C$88,"&lt;="&amp;E750),MAXBED_MES,TOTAL_BEDS-B750-C750))</f>
        <v>0</v>
      </c>
      <c r="G750" s="21">
        <f>B750+C750+F750</f>
        <v>16</v>
      </c>
      <c r="H750" s="22">
        <f>IF(E750&lt;0,-999999999,B750*(PRICE_TOM-FERT_TOM)+C750*(PRICE_CAR-FERT_CAR)+F750*(PRICE_MES-FERT_MES)-(FARMER_SALARY+A750*TEMP_COST)-FIXED_COSTS)</f>
        <v>-999999999</v>
      </c>
    </row>
    <row r="751">
      <c r="A751" s="5" t="n">
        <v>1</v>
      </c>
      <c r="B751" s="5" t="n">
        <v>14</v>
      </c>
      <c r="C751" s="5" t="n">
        <v>3</v>
      </c>
      <c r="D751" s="18">
        <f>SEASON_HRS_TOM*B751*(1+DIM_TOM)^B751+SEASON_HRS_CAR*C751*(1+DIM_CAR)^C751</f>
        <v>4881.7680593988425</v>
      </c>
      <c r="E751" s="18">
        <f>(FARMER_FIELD_HRS+A751*TEMP_HRS)-D751</f>
        <v>-2721.7680593988425</v>
      </c>
      <c r="F751" s="21">
        <f>IF(E751&lt;0,0,MIN(COUNTIF(Labor!$C$59:$C$88,"&lt;="&amp;E751),MAXBED_MES,TOTAL_BEDS-B751-C751))</f>
        <v>0</v>
      </c>
      <c r="G751" s="21">
        <f>B751+C751+F751</f>
        <v>17</v>
      </c>
      <c r="H751" s="22">
        <f>IF(E751&lt;0,-999999999,B751*(PRICE_TOM-FERT_TOM)+C751*(PRICE_CAR-FERT_CAR)+F751*(PRICE_MES-FERT_MES)-(FARMER_SALARY+A751*TEMP_COST)-FIXED_COSTS)</f>
        <v>-999999999</v>
      </c>
    </row>
    <row r="752">
      <c r="A752" s="5" t="n">
        <v>1</v>
      </c>
      <c r="B752" s="5" t="n">
        <v>14</v>
      </c>
      <c r="C752" s="5" t="n">
        <v>4</v>
      </c>
      <c r="D752" s="18">
        <f>SEASON_HRS_TOM*B752*(1+DIM_TOM)^B752+SEASON_HRS_CAR*C752*(1+DIM_CAR)^C752</f>
        <v>4917.305450023842</v>
      </c>
      <c r="E752" s="18">
        <f>(FARMER_FIELD_HRS+A752*TEMP_HRS)-D752</f>
        <v>-2757.3054500238422</v>
      </c>
      <c r="F752" s="21">
        <f>IF(E752&lt;0,0,MIN(COUNTIF(Labor!$C$59:$C$88,"&lt;="&amp;E752),MAXBED_MES,TOTAL_BEDS-B752-C752))</f>
        <v>0</v>
      </c>
      <c r="G752" s="21">
        <f>B752+C752+F752</f>
        <v>18</v>
      </c>
      <c r="H752" s="22">
        <f>IF(E752&lt;0,-999999999,B752*(PRICE_TOM-FERT_TOM)+C752*(PRICE_CAR-FERT_CAR)+F752*(PRICE_MES-FERT_MES)-(FARMER_SALARY+A752*TEMP_COST)-FIXED_COSTS)</f>
        <v>-999999999</v>
      </c>
    </row>
    <row r="753">
      <c r="A753" s="5" t="n">
        <v>1</v>
      </c>
      <c r="B753" s="5" t="n">
        <v>14</v>
      </c>
      <c r="C753" s="5" t="n">
        <v>5</v>
      </c>
      <c r="D753" s="18">
        <f>SEASON_HRS_TOM*B753*(1+DIM_TOM)^B753+SEASON_HRS_CAR*C753*(1+DIM_CAR)^C753</f>
        <v>4954.559135082436</v>
      </c>
      <c r="E753" s="18">
        <f>(FARMER_FIELD_HRS+A753*TEMP_HRS)-D753</f>
        <v>-2794.559135082436</v>
      </c>
      <c r="F753" s="21">
        <f>IF(E753&lt;0,0,MIN(COUNTIF(Labor!$C$59:$C$88,"&lt;="&amp;E753),MAXBED_MES,TOTAL_BEDS-B753-C753))</f>
        <v>0</v>
      </c>
      <c r="G753" s="21">
        <f>B753+C753+F753</f>
        <v>19</v>
      </c>
      <c r="H753" s="22">
        <f>IF(E753&lt;0,-999999999,B753*(PRICE_TOM-FERT_TOM)+C753*(PRICE_CAR-FERT_CAR)+F753*(PRICE_MES-FERT_MES)-(FARMER_SALARY+A753*TEMP_COST)-FIXED_COSTS)</f>
        <v>-999999999</v>
      </c>
    </row>
    <row r="754">
      <c r="A754" s="5" t="n">
        <v>1</v>
      </c>
      <c r="B754" s="5" t="n">
        <v>14</v>
      </c>
      <c r="C754" s="5" t="n">
        <v>6</v>
      </c>
      <c r="D754" s="18">
        <f>SEASON_HRS_TOM*B754*(1+DIM_TOM)^B754+SEASON_HRS_CAR*C754*(1+DIM_CAR)^C754</f>
        <v>4993.592718427162</v>
      </c>
      <c r="E754" s="18">
        <f>(FARMER_FIELD_HRS+A754*TEMP_HRS)-D754</f>
        <v>-2833.5927184271623</v>
      </c>
      <c r="F754" s="21">
        <f>IF(E754&lt;0,0,MIN(COUNTIF(Labor!$C$59:$C$88,"&lt;="&amp;E754),MAXBED_MES,TOTAL_BEDS-B754-C754))</f>
        <v>0</v>
      </c>
      <c r="G754" s="21">
        <f>B754+C754+F754</f>
        <v>20</v>
      </c>
      <c r="H754" s="22">
        <f>IF(E754&lt;0,-999999999,B754*(PRICE_TOM-FERT_TOM)+C754*(PRICE_CAR-FERT_CAR)+F754*(PRICE_MES-FERT_MES)-(FARMER_SALARY+A754*TEMP_COST)-FIXED_COSTS)</f>
        <v>-999999999</v>
      </c>
    </row>
    <row r="755">
      <c r="A755" s="5" t="n">
        <v>1</v>
      </c>
      <c r="B755" s="5" t="n">
        <v>14</v>
      </c>
      <c r="C755" s="5" t="n">
        <v>7</v>
      </c>
      <c r="D755" s="18">
        <f>SEASON_HRS_TOM*B755*(1+DIM_TOM)^B755+SEASON_HRS_CAR*C755*(1+DIM_CAR)^C755</f>
        <v>5034.471911419167</v>
      </c>
      <c r="E755" s="18">
        <f>(FARMER_FIELD_HRS+A755*TEMP_HRS)-D755</f>
        <v>-2874.4719114191666</v>
      </c>
      <c r="F755" s="21">
        <f>IF(E755&lt;0,0,MIN(COUNTIF(Labor!$C$59:$C$88,"&lt;="&amp;E755),MAXBED_MES,TOTAL_BEDS-B755-C755))</f>
        <v>0</v>
      </c>
      <c r="G755" s="21">
        <f>B755+C755+F755</f>
        <v>21</v>
      </c>
      <c r="H755" s="22">
        <f>IF(E755&lt;0,-999999999,B755*(PRICE_TOM-FERT_TOM)+C755*(PRICE_CAR-FERT_CAR)+F755*(PRICE_MES-FERT_MES)-(FARMER_SALARY+A755*TEMP_COST)-FIXED_COSTS)</f>
        <v>-999999999</v>
      </c>
    </row>
    <row r="756">
      <c r="A756" s="5" t="n">
        <v>1</v>
      </c>
      <c r="B756" s="5" t="n">
        <v>14</v>
      </c>
      <c r="C756" s="5" t="n">
        <v>8</v>
      </c>
      <c r="D756" s="18">
        <f>SEASON_HRS_TOM*B756*(1+DIM_TOM)^B756+SEASON_HRS_CAR*C756*(1+DIM_CAR)^C756</f>
        <v>5077.264598551223</v>
      </c>
      <c r="E756" s="18">
        <f>(FARMER_FIELD_HRS+A756*TEMP_HRS)-D756</f>
        <v>-2917.2645985512227</v>
      </c>
      <c r="F756" s="21">
        <f>IF(E756&lt;0,0,MIN(COUNTIF(Labor!$C$59:$C$88,"&lt;="&amp;E756),MAXBED_MES,TOTAL_BEDS-B756-C756))</f>
        <v>0</v>
      </c>
      <c r="G756" s="21">
        <f>B756+C756+F756</f>
        <v>22</v>
      </c>
      <c r="H756" s="22">
        <f>IF(E756&lt;0,-999999999,B756*(PRICE_TOM-FERT_TOM)+C756*(PRICE_CAR-FERT_CAR)+F756*(PRICE_MES-FERT_MES)-(FARMER_SALARY+A756*TEMP_COST)-FIXED_COSTS)</f>
        <v>-999999999</v>
      </c>
    </row>
    <row r="757">
      <c r="A757" s="5" t="n">
        <v>1</v>
      </c>
      <c r="B757" s="5" t="n">
        <v>14</v>
      </c>
      <c r="C757" s="5" t="n">
        <v>9</v>
      </c>
      <c r="D757" s="18">
        <f>SEASON_HRS_TOM*B757*(1+DIM_TOM)^B757+SEASON_HRS_CAR*C757*(1+DIM_CAR)^C757</f>
        <v>5122.040905034712</v>
      </c>
      <c r="E757" s="18">
        <f>(FARMER_FIELD_HRS+A757*TEMP_HRS)-D757</f>
        <v>-2962.0409050347116</v>
      </c>
      <c r="F757" s="21">
        <f>IF(E757&lt;0,0,MIN(COUNTIF(Labor!$C$59:$C$88,"&lt;="&amp;E757),MAXBED_MES,TOTAL_BEDS-B757-C757))</f>
        <v>0</v>
      </c>
      <c r="G757" s="21">
        <f>B757+C757+F757</f>
        <v>23</v>
      </c>
      <c r="H757" s="22">
        <f>IF(E757&lt;0,-999999999,B757*(PRICE_TOM-FERT_TOM)+C757*(PRICE_CAR-FERT_CAR)+F757*(PRICE_MES-FERT_MES)-(FARMER_SALARY+A757*TEMP_COST)-FIXED_COSTS)</f>
        <v>-999999999</v>
      </c>
    </row>
    <row r="758">
      <c r="A758" s="5" t="n">
        <v>1</v>
      </c>
      <c r="B758" s="5" t="n">
        <v>14</v>
      </c>
      <c r="C758" s="5" t="n">
        <v>10</v>
      </c>
      <c r="D758" s="18">
        <f>SEASON_HRS_TOM*B758*(1+DIM_TOM)^B758+SEASON_HRS_CAR*C758*(1+DIM_CAR)^C758</f>
        <v>5168.87326640775</v>
      </c>
      <c r="E758" s="18">
        <f>(FARMER_FIELD_HRS+A758*TEMP_HRS)-D758</f>
        <v>-3008.8732664077497</v>
      </c>
      <c r="F758" s="21">
        <f>IF(E758&lt;0,0,MIN(COUNTIF(Labor!$C$59:$C$88,"&lt;="&amp;E758),MAXBED_MES,TOTAL_BEDS-B758-C758))</f>
        <v>0</v>
      </c>
      <c r="G758" s="21">
        <f>B758+C758+F758</f>
        <v>24</v>
      </c>
      <c r="H758" s="22">
        <f>IF(E758&lt;0,-999999999,B758*(PRICE_TOM-FERT_TOM)+C758*(PRICE_CAR-FERT_CAR)+F758*(PRICE_MES-FERT_MES)-(FARMER_SALARY+A758*TEMP_COST)-FIXED_COSTS)</f>
        <v>-999999999</v>
      </c>
    </row>
    <row r="759">
      <c r="A759" s="5" t="n">
        <v>1</v>
      </c>
      <c r="B759" s="5" t="n">
        <v>14</v>
      </c>
      <c r="C759" s="5" t="n">
        <v>11</v>
      </c>
      <c r="D759" s="18">
        <f>SEASON_HRS_TOM*B759*(1+DIM_TOM)^B759+SEASON_HRS_CAR*C759*(1+DIM_CAR)^C759</f>
        <v>5217.83650022326</v>
      </c>
      <c r="E759" s="18">
        <f>(FARMER_FIELD_HRS+A759*TEMP_HRS)-D759</f>
        <v>-3057.8365002232604</v>
      </c>
      <c r="F759" s="21">
        <f>IF(E759&lt;0,0,MIN(COUNTIF(Labor!$C$59:$C$88,"&lt;="&amp;E759),MAXBED_MES,TOTAL_BEDS-B759-C759))</f>
        <v>0</v>
      </c>
      <c r="G759" s="21">
        <f>B759+C759+F759</f>
        <v>25</v>
      </c>
      <c r="H759" s="22">
        <f>IF(E759&lt;0,-999999999,B759*(PRICE_TOM-FERT_TOM)+C759*(PRICE_CAR-FERT_CAR)+F759*(PRICE_MES-FERT_MES)-(FARMER_SALARY+A759*TEMP_COST)-FIXED_COSTS)</f>
        <v>-999999999</v>
      </c>
    </row>
    <row r="760">
      <c r="A760" s="5" t="n">
        <v>1</v>
      </c>
      <c r="B760" s="5" t="n">
        <v>14</v>
      </c>
      <c r="C760" s="5" t="n">
        <v>12</v>
      </c>
      <c r="D760" s="18">
        <f>SEASON_HRS_TOM*B760*(1+DIM_TOM)^B760+SEASON_HRS_CAR*C760*(1+DIM_CAR)^C760</f>
        <v>5269.007879877509</v>
      </c>
      <c r="E760" s="18">
        <f>(FARMER_FIELD_HRS+A760*TEMP_HRS)-D760</f>
        <v>-3109.0078798775094</v>
      </c>
      <c r="F760" s="21">
        <f>IF(E760&lt;0,0,MIN(COUNTIF(Labor!$C$59:$C$88,"&lt;="&amp;E760),MAXBED_MES,TOTAL_BEDS-B760-C760))</f>
        <v>0</v>
      </c>
      <c r="G760" s="21">
        <f>B760+C760+F760</f>
        <v>26</v>
      </c>
      <c r="H760" s="22">
        <f>IF(E760&lt;0,-999999999,B760*(PRICE_TOM-FERT_TOM)+C760*(PRICE_CAR-FERT_CAR)+F760*(PRICE_MES-FERT_MES)-(FARMER_SALARY+A760*TEMP_COST)-FIXED_COSTS)</f>
        <v>-999999999</v>
      </c>
    </row>
    <row r="761">
      <c r="A761" s="5" t="n">
        <v>1</v>
      </c>
      <c r="B761" s="5" t="n">
        <v>14</v>
      </c>
      <c r="C761" s="5" t="n">
        <v>13</v>
      </c>
      <c r="D761" s="18">
        <f>SEASON_HRS_TOM*B761*(1+DIM_TOM)^B761+SEASON_HRS_CAR*C761*(1+DIM_CAR)^C761</f>
        <v>5322.467210641299</v>
      </c>
      <c r="E761" s="18">
        <f>(FARMER_FIELD_HRS+A761*TEMP_HRS)-D761</f>
        <v>-3162.467210641299</v>
      </c>
      <c r="F761" s="21">
        <f>IF(E761&lt;0,0,MIN(COUNTIF(Labor!$C$59:$C$88,"&lt;="&amp;E761),MAXBED_MES,TOTAL_BEDS-B761-C761))</f>
        <v>0</v>
      </c>
      <c r="G761" s="21">
        <f>B761+C761+F761</f>
        <v>27</v>
      </c>
      <c r="H761" s="22">
        <f>IF(E761&lt;0,-999999999,B761*(PRICE_TOM-FERT_TOM)+C761*(PRICE_CAR-FERT_CAR)+F761*(PRICE_MES-FERT_MES)-(FARMER_SALARY+A761*TEMP_COST)-FIXED_COSTS)</f>
        <v>-999999999</v>
      </c>
    </row>
    <row r="762">
      <c r="A762" s="5" t="n">
        <v>1</v>
      </c>
      <c r="B762" s="5" t="n">
        <v>14</v>
      </c>
      <c r="C762" s="5" t="n">
        <v>14</v>
      </c>
      <c r="D762" s="18">
        <f>SEASON_HRS_TOM*B762*(1+DIM_TOM)^B762+SEASON_HRS_CAR*C762*(1+DIM_CAR)^C762</f>
        <v>5378.296907957824</v>
      </c>
      <c r="E762" s="18">
        <f>(FARMER_FIELD_HRS+A762*TEMP_HRS)-D762</f>
        <v>-3218.2969079578243</v>
      </c>
      <c r="F762" s="21">
        <f>IF(E762&lt;0,0,MIN(COUNTIF(Labor!$C$59:$C$88,"&lt;="&amp;E762),MAXBED_MES,TOTAL_BEDS-B762-C762))</f>
        <v>0</v>
      </c>
      <c r="G762" s="21">
        <f>B762+C762+F762</f>
        <v>28</v>
      </c>
      <c r="H762" s="22">
        <f>IF(E762&lt;0,-999999999,B762*(PRICE_TOM-FERT_TOM)+C762*(PRICE_CAR-FERT_CAR)+F762*(PRICE_MES-FERT_MES)-(FARMER_SALARY+A762*TEMP_COST)-FIXED_COSTS)</f>
        <v>-999999999</v>
      </c>
    </row>
    <row r="763">
      <c r="A763" s="5" t="n">
        <v>1</v>
      </c>
      <c r="B763" s="5" t="n">
        <v>14</v>
      </c>
      <c r="C763" s="5" t="n">
        <v>15</v>
      </c>
      <c r="D763" s="18">
        <f>SEASON_HRS_TOM*B763*(1+DIM_TOM)^B763+SEASON_HRS_CAR*C763*(1+DIM_CAR)^C763</f>
        <v>5436.582078072992</v>
      </c>
      <c r="E763" s="18">
        <f>(FARMER_FIELD_HRS+A763*TEMP_HRS)-D763</f>
        <v>-3276.582078072992</v>
      </c>
      <c r="F763" s="21">
        <f>IF(E763&lt;0,0,MIN(COUNTIF(Labor!$C$59:$C$88,"&lt;="&amp;E763),MAXBED_MES,TOTAL_BEDS-B763-C763))</f>
        <v>0</v>
      </c>
      <c r="G763" s="21">
        <f>B763+C763+F763</f>
        <v>29</v>
      </c>
      <c r="H763" s="22">
        <f>IF(E763&lt;0,-999999999,B763*(PRICE_TOM-FERT_TOM)+C763*(PRICE_CAR-FERT_CAR)+F763*(PRICE_MES-FERT_MES)-(FARMER_SALARY+A763*TEMP_COST)-FIXED_COSTS)</f>
        <v>-999999999</v>
      </c>
    </row>
    <row r="764">
      <c r="A764" s="5" t="n">
        <v>1</v>
      </c>
      <c r="B764" s="5" t="n">
        <v>14</v>
      </c>
      <c r="C764" s="5" t="n">
        <v>16</v>
      </c>
      <c r="D764" s="18">
        <f>SEASON_HRS_TOM*B764*(1+DIM_TOM)^B764+SEASON_HRS_CAR*C764*(1+DIM_CAR)^C764</f>
        <v>5497.4106010659125</v>
      </c>
      <c r="E764" s="18">
        <f>(FARMER_FIELD_HRS+A764*TEMP_HRS)-D764</f>
        <v>-3337.4106010659125</v>
      </c>
      <c r="F764" s="21">
        <f>IF(E764&lt;0,0,MIN(COUNTIF(Labor!$C$59:$C$88,"&lt;="&amp;E764),MAXBED_MES,TOTAL_BEDS-B764-C764))</f>
        <v>0</v>
      </c>
      <c r="G764" s="21">
        <f>B764+C764+F764</f>
        <v>30</v>
      </c>
      <c r="H764" s="22">
        <f>IF(E764&lt;0,-999999999,B764*(PRICE_TOM-FERT_TOM)+C764*(PRICE_CAR-FERT_CAR)+F764*(PRICE_MES-FERT_MES)-(FARMER_SALARY+A764*TEMP_COST)-FIXED_COSTS)</f>
        <v>-999999999</v>
      </c>
    </row>
    <row r="765">
      <c r="A765" s="5" t="n">
        <v>1</v>
      </c>
      <c r="B765" s="5" t="n">
        <v>14</v>
      </c>
      <c r="C765" s="5" t="n">
        <v>17</v>
      </c>
      <c r="D765" s="18">
        <f>SEASON_HRS_TOM*B765*(1+DIM_TOM)^B765+SEASON_HRS_CAR*C765*(1+DIM_CAR)^C765</f>
        <v>5560.873216349151</v>
      </c>
      <c r="E765" s="18">
        <f>(FARMER_FIELD_HRS+A765*TEMP_HRS)-D765</f>
        <v>-3400.8732163491513</v>
      </c>
      <c r="F765" s="21">
        <f>IF(E765&lt;0,0,MIN(COUNTIF(Labor!$C$59:$C$88,"&lt;="&amp;E765),MAXBED_MES,TOTAL_BEDS-B765-C765))</f>
        <v>0</v>
      </c>
      <c r="G765" s="21">
        <f>B765+C765+F765</f>
        <v>31</v>
      </c>
      <c r="H765" s="22">
        <f>IF(E765&lt;0,-999999999,B765*(PRICE_TOM-FERT_TOM)+C765*(PRICE_CAR-FERT_CAR)+F765*(PRICE_MES-FERT_MES)-(FARMER_SALARY+A765*TEMP_COST)-FIXED_COSTS)</f>
        <v>-999999999</v>
      </c>
    </row>
    <row r="766">
      <c r="A766" s="5" t="n">
        <v>1</v>
      </c>
      <c r="B766" s="5" t="n">
        <v>14</v>
      </c>
      <c r="C766" s="5" t="n">
        <v>18</v>
      </c>
      <c r="D766" s="18">
        <f>SEASON_HRS_TOM*B766*(1+DIM_TOM)^B766+SEASON_HRS_CAR*C766*(1+DIM_CAR)^C766</f>
        <v>5627.063610710354</v>
      </c>
      <c r="E766" s="18">
        <f>(FARMER_FIELD_HRS+A766*TEMP_HRS)-D766</f>
        <v>-3467.0636107103537</v>
      </c>
      <c r="F766" s="21">
        <f>IF(E766&lt;0,0,MIN(COUNTIF(Labor!$C$59:$C$88,"&lt;="&amp;E766),MAXBED_MES,TOTAL_BEDS-B766-C766))</f>
        <v>0</v>
      </c>
      <c r="G766" s="21">
        <f>B766+C766+F766</f>
        <v>32</v>
      </c>
      <c r="H766" s="22">
        <f>IF(E766&lt;0,-999999999,B766*(PRICE_TOM-FERT_TOM)+C766*(PRICE_CAR-FERT_CAR)+F766*(PRICE_MES-FERT_MES)-(FARMER_SALARY+A766*TEMP_COST)-FIXED_COSTS)</f>
        <v>-999999999</v>
      </c>
    </row>
    <row r="767">
      <c r="A767" s="5" t="n">
        <v>1</v>
      </c>
      <c r="B767" s="5" t="n">
        <v>14</v>
      </c>
      <c r="C767" s="5" t="n">
        <v>19</v>
      </c>
      <c r="D767" s="18">
        <f>SEASON_HRS_TOM*B767*(1+DIM_TOM)^B767+SEASON_HRS_CAR*C767*(1+DIM_CAR)^C767</f>
        <v>5696.078508968866</v>
      </c>
      <c r="E767" s="18">
        <f>(FARMER_FIELD_HRS+A767*TEMP_HRS)-D767</f>
        <v>-3536.078508968866</v>
      </c>
      <c r="F767" s="21">
        <f>IF(E767&lt;0,0,MIN(COUNTIF(Labor!$C$59:$C$88,"&lt;="&amp;E767),MAXBED_MES,TOTAL_BEDS-B767-C767))</f>
        <v>0</v>
      </c>
      <c r="G767" s="21">
        <f>B767+C767+F767</f>
        <v>33</v>
      </c>
      <c r="H767" s="22">
        <f>IF(E767&lt;0,-999999999,B767*(PRICE_TOM-FERT_TOM)+C767*(PRICE_CAR-FERT_CAR)+F767*(PRICE_MES-FERT_MES)-(FARMER_SALARY+A767*TEMP_COST)-FIXED_COSTS)</f>
        <v>-999999999</v>
      </c>
    </row>
    <row r="768">
      <c r="A768" s="5" t="n">
        <v>1</v>
      </c>
      <c r="B768" s="5" t="n">
        <v>14</v>
      </c>
      <c r="C768" s="5" t="n">
        <v>20</v>
      </c>
      <c r="D768" s="18">
        <f>SEASON_HRS_TOM*B768*(1+DIM_TOM)^B768+SEASON_HRS_CAR*C768*(1+DIM_CAR)^C768</f>
        <v>5768.017767323079</v>
      </c>
      <c r="E768" s="18">
        <f>(FARMER_FIELD_HRS+A768*TEMP_HRS)-D768</f>
        <v>-3608.017767323079</v>
      </c>
      <c r="F768" s="21">
        <f>IF(E768&lt;0,0,MIN(COUNTIF(Labor!$C$59:$C$88,"&lt;="&amp;E768),MAXBED_MES,TOTAL_BEDS-B768-C768))</f>
        <v>0</v>
      </c>
      <c r="G768" s="21">
        <f>B768+C768+F768</f>
        <v>34</v>
      </c>
      <c r="H768" s="22">
        <f>IF(E768&lt;0,-999999999,B768*(PRICE_TOM-FERT_TOM)+C768*(PRICE_CAR-FERT_CAR)+F768*(PRICE_MES-FERT_MES)-(FARMER_SALARY+A768*TEMP_COST)-FIXED_COSTS)</f>
        <v>-999999999</v>
      </c>
    </row>
    <row r="769">
      <c r="A769" s="5" t="n">
        <v>1</v>
      </c>
      <c r="B769" s="5" t="n">
        <v>15</v>
      </c>
      <c r="C769" s="5" t="n">
        <v>0</v>
      </c>
      <c r="D769" s="18">
        <f>SEASON_HRS_TOM*B769*(1+DIM_TOM)^B769+SEASON_HRS_CAR*C769*(1+DIM_CAR)^C769</f>
        <v>5639.285028711136</v>
      </c>
      <c r="E769" s="18">
        <f>(FARMER_FIELD_HRS+A769*TEMP_HRS)-D769</f>
        <v>-3479.285028711136</v>
      </c>
      <c r="F769" s="21">
        <f>IF(E769&lt;0,0,MIN(COUNTIF(Labor!$C$59:$C$88,"&lt;="&amp;E769),MAXBED_MES,TOTAL_BEDS-B769-C769))</f>
        <v>0</v>
      </c>
      <c r="G769" s="21">
        <f>B769+C769+F769</f>
        <v>15</v>
      </c>
      <c r="H769" s="22">
        <f>IF(E769&lt;0,-999999999,B769*(PRICE_TOM-FERT_TOM)+C769*(PRICE_CAR-FERT_CAR)+F769*(PRICE_MES-FERT_MES)-(FARMER_SALARY+A769*TEMP_COST)-FIXED_COSTS)</f>
        <v>-999999999</v>
      </c>
    </row>
    <row r="770">
      <c r="A770" s="5" t="n">
        <v>1</v>
      </c>
      <c r="B770" s="5" t="n">
        <v>15</v>
      </c>
      <c r="C770" s="5" t="n">
        <v>1</v>
      </c>
      <c r="D770" s="18">
        <f>SEASON_HRS_TOM*B770*(1+DIM_TOM)^B770+SEASON_HRS_CAR*C770*(1+DIM_CAR)^C770</f>
        <v>5670.035028711136</v>
      </c>
      <c r="E770" s="18">
        <f>(FARMER_FIELD_HRS+A770*TEMP_HRS)-D770</f>
        <v>-3510.035028711136</v>
      </c>
      <c r="F770" s="21">
        <f>IF(E770&lt;0,0,MIN(COUNTIF(Labor!$C$59:$C$88,"&lt;="&amp;E770),MAXBED_MES,TOTAL_BEDS-B770-C770))</f>
        <v>0</v>
      </c>
      <c r="G770" s="21">
        <f>B770+C770+F770</f>
        <v>16</v>
      </c>
      <c r="H770" s="22">
        <f>IF(E770&lt;0,-999999999,B770*(PRICE_TOM-FERT_TOM)+C770*(PRICE_CAR-FERT_CAR)+F770*(PRICE_MES-FERT_MES)-(FARMER_SALARY+A770*TEMP_COST)-FIXED_COSTS)</f>
        <v>-999999999</v>
      </c>
    </row>
    <row r="771">
      <c r="A771" s="5" t="n">
        <v>1</v>
      </c>
      <c r="B771" s="5" t="n">
        <v>15</v>
      </c>
      <c r="C771" s="5" t="n">
        <v>2</v>
      </c>
      <c r="D771" s="18">
        <f>SEASON_HRS_TOM*B771*(1+DIM_TOM)^B771+SEASON_HRS_CAR*C771*(1+DIM_CAR)^C771</f>
        <v>5702.322528711136</v>
      </c>
      <c r="E771" s="18">
        <f>(FARMER_FIELD_HRS+A771*TEMP_HRS)-D771</f>
        <v>-3542.3225287111363</v>
      </c>
      <c r="F771" s="21">
        <f>IF(E771&lt;0,0,MIN(COUNTIF(Labor!$C$59:$C$88,"&lt;="&amp;E771),MAXBED_MES,TOTAL_BEDS-B771-C771))</f>
        <v>0</v>
      </c>
      <c r="G771" s="21">
        <f>B771+C771+F771</f>
        <v>17</v>
      </c>
      <c r="H771" s="22">
        <f>IF(E771&lt;0,-999999999,B771*(PRICE_TOM-FERT_TOM)+C771*(PRICE_CAR-FERT_CAR)+F771*(PRICE_MES-FERT_MES)-(FARMER_SALARY+A771*TEMP_COST)-FIXED_COSTS)</f>
        <v>-999999999</v>
      </c>
    </row>
    <row r="772">
      <c r="A772" s="5" t="n">
        <v>1</v>
      </c>
      <c r="B772" s="5" t="n">
        <v>15</v>
      </c>
      <c r="C772" s="5" t="n">
        <v>3</v>
      </c>
      <c r="D772" s="18">
        <f>SEASON_HRS_TOM*B772*(1+DIM_TOM)^B772+SEASON_HRS_CAR*C772*(1+DIM_CAR)^C772</f>
        <v>5736.205184961136</v>
      </c>
      <c r="E772" s="18">
        <f>(FARMER_FIELD_HRS+A772*TEMP_HRS)-D772</f>
        <v>-3576.205184961136</v>
      </c>
      <c r="F772" s="21">
        <f>IF(E772&lt;0,0,MIN(COUNTIF(Labor!$C$59:$C$88,"&lt;="&amp;E772),MAXBED_MES,TOTAL_BEDS-B772-C772))</f>
        <v>0</v>
      </c>
      <c r="G772" s="21">
        <f>B772+C772+F772</f>
        <v>18</v>
      </c>
      <c r="H772" s="22">
        <f>IF(E772&lt;0,-999999999,B772*(PRICE_TOM-FERT_TOM)+C772*(PRICE_CAR-FERT_CAR)+F772*(PRICE_MES-FERT_MES)-(FARMER_SALARY+A772*TEMP_COST)-FIXED_COSTS)</f>
        <v>-999999999</v>
      </c>
    </row>
    <row r="773">
      <c r="A773" s="5" t="n">
        <v>1</v>
      </c>
      <c r="B773" s="5" t="n">
        <v>15</v>
      </c>
      <c r="C773" s="5" t="n">
        <v>4</v>
      </c>
      <c r="D773" s="18">
        <f>SEASON_HRS_TOM*B773*(1+DIM_TOM)^B773+SEASON_HRS_CAR*C773*(1+DIM_CAR)^C773</f>
        <v>5771.742575586136</v>
      </c>
      <c r="E773" s="18">
        <f>(FARMER_FIELD_HRS+A773*TEMP_HRS)-D773</f>
        <v>-3611.742575586136</v>
      </c>
      <c r="F773" s="21">
        <f>IF(E773&lt;0,0,MIN(COUNTIF(Labor!$C$59:$C$88,"&lt;="&amp;E773),MAXBED_MES,TOTAL_BEDS-B773-C773))</f>
        <v>0</v>
      </c>
      <c r="G773" s="21">
        <f>B773+C773+F773</f>
        <v>19</v>
      </c>
      <c r="H773" s="22">
        <f>IF(E773&lt;0,-999999999,B773*(PRICE_TOM-FERT_TOM)+C773*(PRICE_CAR-FERT_CAR)+F773*(PRICE_MES-FERT_MES)-(FARMER_SALARY+A773*TEMP_COST)-FIXED_COSTS)</f>
        <v>-999999999</v>
      </c>
    </row>
    <row r="774">
      <c r="A774" s="5" t="n">
        <v>1</v>
      </c>
      <c r="B774" s="5" t="n">
        <v>15</v>
      </c>
      <c r="C774" s="5" t="n">
        <v>5</v>
      </c>
      <c r="D774" s="18">
        <f>SEASON_HRS_TOM*B774*(1+DIM_TOM)^B774+SEASON_HRS_CAR*C774*(1+DIM_CAR)^C774</f>
        <v>5808.99626064473</v>
      </c>
      <c r="E774" s="18">
        <f>(FARMER_FIELD_HRS+A774*TEMP_HRS)-D774</f>
        <v>-3648.99626064473</v>
      </c>
      <c r="F774" s="21">
        <f>IF(E774&lt;0,0,MIN(COUNTIF(Labor!$C$59:$C$88,"&lt;="&amp;E774),MAXBED_MES,TOTAL_BEDS-B774-C774))</f>
        <v>0</v>
      </c>
      <c r="G774" s="21">
        <f>B774+C774+F774</f>
        <v>20</v>
      </c>
      <c r="H774" s="22">
        <f>IF(E774&lt;0,-999999999,B774*(PRICE_TOM-FERT_TOM)+C774*(PRICE_CAR-FERT_CAR)+F774*(PRICE_MES-FERT_MES)-(FARMER_SALARY+A774*TEMP_COST)-FIXED_COSTS)</f>
        <v>-999999999</v>
      </c>
    </row>
    <row r="775">
      <c r="A775" s="5" t="n">
        <v>1</v>
      </c>
      <c r="B775" s="5" t="n">
        <v>15</v>
      </c>
      <c r="C775" s="5" t="n">
        <v>6</v>
      </c>
      <c r="D775" s="18">
        <f>SEASON_HRS_TOM*B775*(1+DIM_TOM)^B775+SEASON_HRS_CAR*C775*(1+DIM_CAR)^C775</f>
        <v>5848.029843989456</v>
      </c>
      <c r="E775" s="18">
        <f>(FARMER_FIELD_HRS+A775*TEMP_HRS)-D775</f>
        <v>-3688.029843989456</v>
      </c>
      <c r="F775" s="21">
        <f>IF(E775&lt;0,0,MIN(COUNTIF(Labor!$C$59:$C$88,"&lt;="&amp;E775),MAXBED_MES,TOTAL_BEDS-B775-C775))</f>
        <v>0</v>
      </c>
      <c r="G775" s="21">
        <f>B775+C775+F775</f>
        <v>21</v>
      </c>
      <c r="H775" s="22">
        <f>IF(E775&lt;0,-999999999,B775*(PRICE_TOM-FERT_TOM)+C775*(PRICE_CAR-FERT_CAR)+F775*(PRICE_MES-FERT_MES)-(FARMER_SALARY+A775*TEMP_COST)-FIXED_COSTS)</f>
        <v>-999999999</v>
      </c>
    </row>
    <row r="776">
      <c r="A776" s="5" t="n">
        <v>1</v>
      </c>
      <c r="B776" s="5" t="n">
        <v>15</v>
      </c>
      <c r="C776" s="5" t="n">
        <v>7</v>
      </c>
      <c r="D776" s="18">
        <f>SEASON_HRS_TOM*B776*(1+DIM_TOM)^B776+SEASON_HRS_CAR*C776*(1+DIM_CAR)^C776</f>
        <v>5888.90903698146</v>
      </c>
      <c r="E776" s="18">
        <f>(FARMER_FIELD_HRS+A776*TEMP_HRS)-D776</f>
        <v>-3728.9090369814603</v>
      </c>
      <c r="F776" s="21">
        <f>IF(E776&lt;0,0,MIN(COUNTIF(Labor!$C$59:$C$88,"&lt;="&amp;E776),MAXBED_MES,TOTAL_BEDS-B776-C776))</f>
        <v>0</v>
      </c>
      <c r="G776" s="21">
        <f>B776+C776+F776</f>
        <v>22</v>
      </c>
      <c r="H776" s="22">
        <f>IF(E776&lt;0,-999999999,B776*(PRICE_TOM-FERT_TOM)+C776*(PRICE_CAR-FERT_CAR)+F776*(PRICE_MES-FERT_MES)-(FARMER_SALARY+A776*TEMP_COST)-FIXED_COSTS)</f>
        <v>-999999999</v>
      </c>
    </row>
    <row r="777">
      <c r="A777" s="5" t="n">
        <v>1</v>
      </c>
      <c r="B777" s="5" t="n">
        <v>15</v>
      </c>
      <c r="C777" s="5" t="n">
        <v>8</v>
      </c>
      <c r="D777" s="18">
        <f>SEASON_HRS_TOM*B777*(1+DIM_TOM)^B777+SEASON_HRS_CAR*C777*(1+DIM_CAR)^C777</f>
        <v>5931.701724113516</v>
      </c>
      <c r="E777" s="18">
        <f>(FARMER_FIELD_HRS+A777*TEMP_HRS)-D777</f>
        <v>-3771.7017241135163</v>
      </c>
      <c r="F777" s="21">
        <f>IF(E777&lt;0,0,MIN(COUNTIF(Labor!$C$59:$C$88,"&lt;="&amp;E777),MAXBED_MES,TOTAL_BEDS-B777-C777))</f>
        <v>0</v>
      </c>
      <c r="G777" s="21">
        <f>B777+C777+F777</f>
        <v>23</v>
      </c>
      <c r="H777" s="22">
        <f>IF(E777&lt;0,-999999999,B777*(PRICE_TOM-FERT_TOM)+C777*(PRICE_CAR-FERT_CAR)+F777*(PRICE_MES-FERT_MES)-(FARMER_SALARY+A777*TEMP_COST)-FIXED_COSTS)</f>
        <v>-999999999</v>
      </c>
    </row>
    <row r="778">
      <c r="A778" s="5" t="n">
        <v>1</v>
      </c>
      <c r="B778" s="5" t="n">
        <v>15</v>
      </c>
      <c r="C778" s="5" t="n">
        <v>9</v>
      </c>
      <c r="D778" s="18">
        <f>SEASON_HRS_TOM*B778*(1+DIM_TOM)^B778+SEASON_HRS_CAR*C778*(1+DIM_CAR)^C778</f>
        <v>5976.478030597005</v>
      </c>
      <c r="E778" s="18">
        <f>(FARMER_FIELD_HRS+A778*TEMP_HRS)-D778</f>
        <v>-3816.4780305970053</v>
      </c>
      <c r="F778" s="21">
        <f>IF(E778&lt;0,0,MIN(COUNTIF(Labor!$C$59:$C$88,"&lt;="&amp;E778),MAXBED_MES,TOTAL_BEDS-B778-C778))</f>
        <v>0</v>
      </c>
      <c r="G778" s="21">
        <f>B778+C778+F778</f>
        <v>24</v>
      </c>
      <c r="H778" s="22">
        <f>IF(E778&lt;0,-999999999,B778*(PRICE_TOM-FERT_TOM)+C778*(PRICE_CAR-FERT_CAR)+F778*(PRICE_MES-FERT_MES)-(FARMER_SALARY+A778*TEMP_COST)-FIXED_COSTS)</f>
        <v>-999999999</v>
      </c>
    </row>
    <row r="779">
      <c r="A779" s="5" t="n">
        <v>1</v>
      </c>
      <c r="B779" s="5" t="n">
        <v>15</v>
      </c>
      <c r="C779" s="5" t="n">
        <v>10</v>
      </c>
      <c r="D779" s="18">
        <f>SEASON_HRS_TOM*B779*(1+DIM_TOM)^B779+SEASON_HRS_CAR*C779*(1+DIM_CAR)^C779</f>
        <v>6023.310391970043</v>
      </c>
      <c r="E779" s="18">
        <f>(FARMER_FIELD_HRS+A779*TEMP_HRS)-D779</f>
        <v>-3863.3103919700434</v>
      </c>
      <c r="F779" s="21">
        <f>IF(E779&lt;0,0,MIN(COUNTIF(Labor!$C$59:$C$88,"&lt;="&amp;E779),MAXBED_MES,TOTAL_BEDS-B779-C779))</f>
        <v>0</v>
      </c>
      <c r="G779" s="21">
        <f>B779+C779+F779</f>
        <v>25</v>
      </c>
      <c r="H779" s="22">
        <f>IF(E779&lt;0,-999999999,B779*(PRICE_TOM-FERT_TOM)+C779*(PRICE_CAR-FERT_CAR)+F779*(PRICE_MES-FERT_MES)-(FARMER_SALARY+A779*TEMP_COST)-FIXED_COSTS)</f>
        <v>-999999999</v>
      </c>
    </row>
    <row r="780">
      <c r="A780" s="5" t="n">
        <v>1</v>
      </c>
      <c r="B780" s="5" t="n">
        <v>15</v>
      </c>
      <c r="C780" s="5" t="n">
        <v>11</v>
      </c>
      <c r="D780" s="18">
        <f>SEASON_HRS_TOM*B780*(1+DIM_TOM)^B780+SEASON_HRS_CAR*C780*(1+DIM_CAR)^C780</f>
        <v>6072.273625785554</v>
      </c>
      <c r="E780" s="18">
        <f>(FARMER_FIELD_HRS+A780*TEMP_HRS)-D780</f>
        <v>-3912.273625785554</v>
      </c>
      <c r="F780" s="21">
        <f>IF(E780&lt;0,0,MIN(COUNTIF(Labor!$C$59:$C$88,"&lt;="&amp;E780),MAXBED_MES,TOTAL_BEDS-B780-C780))</f>
        <v>0</v>
      </c>
      <c r="G780" s="21">
        <f>B780+C780+F780</f>
        <v>26</v>
      </c>
      <c r="H780" s="22">
        <f>IF(E780&lt;0,-999999999,B780*(PRICE_TOM-FERT_TOM)+C780*(PRICE_CAR-FERT_CAR)+F780*(PRICE_MES-FERT_MES)-(FARMER_SALARY+A780*TEMP_COST)-FIXED_COSTS)</f>
        <v>-999999999</v>
      </c>
    </row>
    <row r="781">
      <c r="A781" s="5" t="n">
        <v>1</v>
      </c>
      <c r="B781" s="5" t="n">
        <v>15</v>
      </c>
      <c r="C781" s="5" t="n">
        <v>12</v>
      </c>
      <c r="D781" s="18">
        <f>SEASON_HRS_TOM*B781*(1+DIM_TOM)^B781+SEASON_HRS_CAR*C781*(1+DIM_CAR)^C781</f>
        <v>6123.445005439803</v>
      </c>
      <c r="E781" s="18">
        <f>(FARMER_FIELD_HRS+A781*TEMP_HRS)-D781</f>
        <v>-3963.445005439803</v>
      </c>
      <c r="F781" s="21">
        <f>IF(E781&lt;0,0,MIN(COUNTIF(Labor!$C$59:$C$88,"&lt;="&amp;E781),MAXBED_MES,TOTAL_BEDS-B781-C781))</f>
        <v>0</v>
      </c>
      <c r="G781" s="21">
        <f>B781+C781+F781</f>
        <v>27</v>
      </c>
      <c r="H781" s="22">
        <f>IF(E781&lt;0,-999999999,B781*(PRICE_TOM-FERT_TOM)+C781*(PRICE_CAR-FERT_CAR)+F781*(PRICE_MES-FERT_MES)-(FARMER_SALARY+A781*TEMP_COST)-FIXED_COSTS)</f>
        <v>-999999999</v>
      </c>
    </row>
    <row r="782">
      <c r="A782" s="5" t="n">
        <v>1</v>
      </c>
      <c r="B782" s="5" t="n">
        <v>15</v>
      </c>
      <c r="C782" s="5" t="n">
        <v>13</v>
      </c>
      <c r="D782" s="18">
        <f>SEASON_HRS_TOM*B782*(1+DIM_TOM)^B782+SEASON_HRS_CAR*C782*(1+DIM_CAR)^C782</f>
        <v>6176.904336203593</v>
      </c>
      <c r="E782" s="18">
        <f>(FARMER_FIELD_HRS+A782*TEMP_HRS)-D782</f>
        <v>-4016.9043362035927</v>
      </c>
      <c r="F782" s="21">
        <f>IF(E782&lt;0,0,MIN(COUNTIF(Labor!$C$59:$C$88,"&lt;="&amp;E782),MAXBED_MES,TOTAL_BEDS-B782-C782))</f>
        <v>0</v>
      </c>
      <c r="G782" s="21">
        <f>B782+C782+F782</f>
        <v>28</v>
      </c>
      <c r="H782" s="22">
        <f>IF(E782&lt;0,-999999999,B782*(PRICE_TOM-FERT_TOM)+C782*(PRICE_CAR-FERT_CAR)+F782*(PRICE_MES-FERT_MES)-(FARMER_SALARY+A782*TEMP_COST)-FIXED_COSTS)</f>
        <v>-999999999</v>
      </c>
    </row>
    <row r="783">
      <c r="A783" s="5" t="n">
        <v>1</v>
      </c>
      <c r="B783" s="5" t="n">
        <v>15</v>
      </c>
      <c r="C783" s="5" t="n">
        <v>14</v>
      </c>
      <c r="D783" s="18">
        <f>SEASON_HRS_TOM*B783*(1+DIM_TOM)^B783+SEASON_HRS_CAR*C783*(1+DIM_CAR)^C783</f>
        <v>6232.734033520118</v>
      </c>
      <c r="E783" s="18">
        <f>(FARMER_FIELD_HRS+A783*TEMP_HRS)-D783</f>
        <v>-4072.734033520118</v>
      </c>
      <c r="F783" s="21">
        <f>IF(E783&lt;0,0,MIN(COUNTIF(Labor!$C$59:$C$88,"&lt;="&amp;E783),MAXBED_MES,TOTAL_BEDS-B783-C783))</f>
        <v>0</v>
      </c>
      <c r="G783" s="21">
        <f>B783+C783+F783</f>
        <v>29</v>
      </c>
      <c r="H783" s="22">
        <f>IF(E783&lt;0,-999999999,B783*(PRICE_TOM-FERT_TOM)+C783*(PRICE_CAR-FERT_CAR)+F783*(PRICE_MES-FERT_MES)-(FARMER_SALARY+A783*TEMP_COST)-FIXED_COSTS)</f>
        <v>-999999999</v>
      </c>
    </row>
    <row r="784">
      <c r="A784" s="5" t="n">
        <v>1</v>
      </c>
      <c r="B784" s="5" t="n">
        <v>15</v>
      </c>
      <c r="C784" s="5" t="n">
        <v>15</v>
      </c>
      <c r="D784" s="18">
        <f>SEASON_HRS_TOM*B784*(1+DIM_TOM)^B784+SEASON_HRS_CAR*C784*(1+DIM_CAR)^C784</f>
        <v>6291.0192036352855</v>
      </c>
      <c r="E784" s="18">
        <f>(FARMER_FIELD_HRS+A784*TEMP_HRS)-D784</f>
        <v>-4131.0192036352855</v>
      </c>
      <c r="F784" s="21">
        <f>IF(E784&lt;0,0,MIN(COUNTIF(Labor!$C$59:$C$88,"&lt;="&amp;E784),MAXBED_MES,TOTAL_BEDS-B784-C784))</f>
        <v>0</v>
      </c>
      <c r="G784" s="21">
        <f>B784+C784+F784</f>
        <v>30</v>
      </c>
      <c r="H784" s="22">
        <f>IF(E784&lt;0,-999999999,B784*(PRICE_TOM-FERT_TOM)+C784*(PRICE_CAR-FERT_CAR)+F784*(PRICE_MES-FERT_MES)-(FARMER_SALARY+A784*TEMP_COST)-FIXED_COSTS)</f>
        <v>-999999999</v>
      </c>
    </row>
    <row r="785">
      <c r="A785" s="5" t="n">
        <v>1</v>
      </c>
      <c r="B785" s="5" t="n">
        <v>15</v>
      </c>
      <c r="C785" s="5" t="n">
        <v>16</v>
      </c>
      <c r="D785" s="18">
        <f>SEASON_HRS_TOM*B785*(1+DIM_TOM)^B785+SEASON_HRS_CAR*C785*(1+DIM_CAR)^C785</f>
        <v>6351.847726628206</v>
      </c>
      <c r="E785" s="18">
        <f>(FARMER_FIELD_HRS+A785*TEMP_HRS)-D785</f>
        <v>-4191.847726628206</v>
      </c>
      <c r="F785" s="21">
        <f>IF(E785&lt;0,0,MIN(COUNTIF(Labor!$C$59:$C$88,"&lt;="&amp;E785),MAXBED_MES,TOTAL_BEDS-B785-C785))</f>
        <v>0</v>
      </c>
      <c r="G785" s="21">
        <f>B785+C785+F785</f>
        <v>31</v>
      </c>
      <c r="H785" s="22">
        <f>IF(E785&lt;0,-999999999,B785*(PRICE_TOM-FERT_TOM)+C785*(PRICE_CAR-FERT_CAR)+F785*(PRICE_MES-FERT_MES)-(FARMER_SALARY+A785*TEMP_COST)-FIXED_COSTS)</f>
        <v>-999999999</v>
      </c>
    </row>
    <row r="786">
      <c r="A786" s="5" t="n">
        <v>1</v>
      </c>
      <c r="B786" s="5" t="n">
        <v>15</v>
      </c>
      <c r="C786" s="5" t="n">
        <v>17</v>
      </c>
      <c r="D786" s="18">
        <f>SEASON_HRS_TOM*B786*(1+DIM_TOM)^B786+SEASON_HRS_CAR*C786*(1+DIM_CAR)^C786</f>
        <v>6415.310341911445</v>
      </c>
      <c r="E786" s="18">
        <f>(FARMER_FIELD_HRS+A786*TEMP_HRS)-D786</f>
        <v>-4255.310341911445</v>
      </c>
      <c r="F786" s="21">
        <f>IF(E786&lt;0,0,MIN(COUNTIF(Labor!$C$59:$C$88,"&lt;="&amp;E786),MAXBED_MES,TOTAL_BEDS-B786-C786))</f>
        <v>0</v>
      </c>
      <c r="G786" s="21">
        <f>B786+C786+F786</f>
        <v>32</v>
      </c>
      <c r="H786" s="22">
        <f>IF(E786&lt;0,-999999999,B786*(PRICE_TOM-FERT_TOM)+C786*(PRICE_CAR-FERT_CAR)+F786*(PRICE_MES-FERT_MES)-(FARMER_SALARY+A786*TEMP_COST)-FIXED_COSTS)</f>
        <v>-999999999</v>
      </c>
    </row>
    <row r="787">
      <c r="A787" s="5" t="n">
        <v>1</v>
      </c>
      <c r="B787" s="5" t="n">
        <v>15</v>
      </c>
      <c r="C787" s="5" t="n">
        <v>18</v>
      </c>
      <c r="D787" s="18">
        <f>SEASON_HRS_TOM*B787*(1+DIM_TOM)^B787+SEASON_HRS_CAR*C787*(1+DIM_CAR)^C787</f>
        <v>6481.500736272647</v>
      </c>
      <c r="E787" s="18">
        <f>(FARMER_FIELD_HRS+A787*TEMP_HRS)-D787</f>
        <v>-4321.500736272647</v>
      </c>
      <c r="F787" s="21">
        <f>IF(E787&lt;0,0,MIN(COUNTIF(Labor!$C$59:$C$88,"&lt;="&amp;E787),MAXBED_MES,TOTAL_BEDS-B787-C787))</f>
        <v>0</v>
      </c>
      <c r="G787" s="21">
        <f>B787+C787+F787</f>
        <v>33</v>
      </c>
      <c r="H787" s="22">
        <f>IF(E787&lt;0,-999999999,B787*(PRICE_TOM-FERT_TOM)+C787*(PRICE_CAR-FERT_CAR)+F787*(PRICE_MES-FERT_MES)-(FARMER_SALARY+A787*TEMP_COST)-FIXED_COSTS)</f>
        <v>-999999999</v>
      </c>
    </row>
    <row r="788">
      <c r="A788" s="5" t="n">
        <v>1</v>
      </c>
      <c r="B788" s="5" t="n">
        <v>15</v>
      </c>
      <c r="C788" s="5" t="n">
        <v>19</v>
      </c>
      <c r="D788" s="18">
        <f>SEASON_HRS_TOM*B788*(1+DIM_TOM)^B788+SEASON_HRS_CAR*C788*(1+DIM_CAR)^C788</f>
        <v>6550.51563453116</v>
      </c>
      <c r="E788" s="18">
        <f>(FARMER_FIELD_HRS+A788*TEMP_HRS)-D788</f>
        <v>-4390.51563453116</v>
      </c>
      <c r="F788" s="21">
        <f>IF(E788&lt;0,0,MIN(COUNTIF(Labor!$C$59:$C$88,"&lt;="&amp;E788),MAXBED_MES,TOTAL_BEDS-B788-C788))</f>
        <v>0</v>
      </c>
      <c r="G788" s="21">
        <f>B788+C788+F788</f>
        <v>34</v>
      </c>
      <c r="H788" s="22">
        <f>IF(E788&lt;0,-999999999,B788*(PRICE_TOM-FERT_TOM)+C788*(PRICE_CAR-FERT_CAR)+F788*(PRICE_MES-FERT_MES)-(FARMER_SALARY+A788*TEMP_COST)-FIXED_COSTS)</f>
        <v>-999999999</v>
      </c>
    </row>
    <row r="789">
      <c r="A789" s="5" t="n">
        <v>1</v>
      </c>
      <c r="B789" s="5" t="n">
        <v>15</v>
      </c>
      <c r="C789" s="5" t="n">
        <v>20</v>
      </c>
      <c r="D789" s="18">
        <f>SEASON_HRS_TOM*B789*(1+DIM_TOM)^B789+SEASON_HRS_CAR*C789*(1+DIM_CAR)^C789</f>
        <v>6622.454892885373</v>
      </c>
      <c r="E789" s="18">
        <f>(FARMER_FIELD_HRS+A789*TEMP_HRS)-D789</f>
        <v>-4462.454892885373</v>
      </c>
      <c r="F789" s="21">
        <f>IF(E789&lt;0,0,MIN(COUNTIF(Labor!$C$59:$C$88,"&lt;="&amp;E789),MAXBED_MES,TOTAL_BEDS-B789-C789))</f>
        <v>0</v>
      </c>
      <c r="G789" s="21">
        <f>B789+C789+F789</f>
        <v>35</v>
      </c>
      <c r="H789" s="22">
        <f>IF(E789&lt;0,-999999999,B789*(PRICE_TOM-FERT_TOM)+C789*(PRICE_CAR-FERT_CAR)+F789*(PRICE_MES-FERT_MES)-(FARMER_SALARY+A789*TEMP_COST)-FIXED_COSTS)</f>
        <v>-999999999</v>
      </c>
    </row>
    <row r="790">
      <c r="A790" s="5" t="n">
        <v>1</v>
      </c>
      <c r="B790" s="5" t="n">
        <v>16</v>
      </c>
      <c r="C790" s="5" t="n">
        <v>0</v>
      </c>
      <c r="D790" s="18">
        <f>SEASON_HRS_TOM*B790*(1+DIM_TOM)^B790+SEASON_HRS_CAR*C790*(1+DIM_CAR)^C790</f>
        <v>6616.7611003544</v>
      </c>
      <c r="E790" s="18">
        <f>(FARMER_FIELD_HRS+A790*TEMP_HRS)-D790</f>
        <v>-4456.7611003544</v>
      </c>
      <c r="F790" s="21">
        <f>IF(E790&lt;0,0,MIN(COUNTIF(Labor!$C$59:$C$88,"&lt;="&amp;E790),MAXBED_MES,TOTAL_BEDS-B790-C790))</f>
        <v>0</v>
      </c>
      <c r="G790" s="21">
        <f>B790+C790+F790</f>
        <v>16</v>
      </c>
      <c r="H790" s="22">
        <f>IF(E790&lt;0,-999999999,B790*(PRICE_TOM-FERT_TOM)+C790*(PRICE_CAR-FERT_CAR)+F790*(PRICE_MES-FERT_MES)-(FARMER_SALARY+A790*TEMP_COST)-FIXED_COSTS)</f>
        <v>-999999999</v>
      </c>
    </row>
    <row r="791">
      <c r="A791" s="5" t="n">
        <v>1</v>
      </c>
      <c r="B791" s="5" t="n">
        <v>16</v>
      </c>
      <c r="C791" s="5" t="n">
        <v>1</v>
      </c>
      <c r="D791" s="18">
        <f>SEASON_HRS_TOM*B791*(1+DIM_TOM)^B791+SEASON_HRS_CAR*C791*(1+DIM_CAR)^C791</f>
        <v>6647.5111003544</v>
      </c>
      <c r="E791" s="18">
        <f>(FARMER_FIELD_HRS+A791*TEMP_HRS)-D791</f>
        <v>-4487.5111003544</v>
      </c>
      <c r="F791" s="21">
        <f>IF(E791&lt;0,0,MIN(COUNTIF(Labor!$C$59:$C$88,"&lt;="&amp;E791),MAXBED_MES,TOTAL_BEDS-B791-C791))</f>
        <v>0</v>
      </c>
      <c r="G791" s="21">
        <f>B791+C791+F791</f>
        <v>17</v>
      </c>
      <c r="H791" s="22">
        <f>IF(E791&lt;0,-999999999,B791*(PRICE_TOM-FERT_TOM)+C791*(PRICE_CAR-FERT_CAR)+F791*(PRICE_MES-FERT_MES)-(FARMER_SALARY+A791*TEMP_COST)-FIXED_COSTS)</f>
        <v>-999999999</v>
      </c>
    </row>
    <row r="792">
      <c r="A792" s="5" t="n">
        <v>1</v>
      </c>
      <c r="B792" s="5" t="n">
        <v>16</v>
      </c>
      <c r="C792" s="5" t="n">
        <v>2</v>
      </c>
      <c r="D792" s="18">
        <f>SEASON_HRS_TOM*B792*(1+DIM_TOM)^B792+SEASON_HRS_CAR*C792*(1+DIM_CAR)^C792</f>
        <v>6679.7986003544</v>
      </c>
      <c r="E792" s="18">
        <f>(FARMER_FIELD_HRS+A792*TEMP_HRS)-D792</f>
        <v>-4519.7986003544</v>
      </c>
      <c r="F792" s="21">
        <f>IF(E792&lt;0,0,MIN(COUNTIF(Labor!$C$59:$C$88,"&lt;="&amp;E792),MAXBED_MES,TOTAL_BEDS-B792-C792))</f>
        <v>0</v>
      </c>
      <c r="G792" s="21">
        <f>B792+C792+F792</f>
        <v>18</v>
      </c>
      <c r="H792" s="22">
        <f>IF(E792&lt;0,-999999999,B792*(PRICE_TOM-FERT_TOM)+C792*(PRICE_CAR-FERT_CAR)+F792*(PRICE_MES-FERT_MES)-(FARMER_SALARY+A792*TEMP_COST)-FIXED_COSTS)</f>
        <v>-999999999</v>
      </c>
    </row>
    <row r="793">
      <c r="A793" s="5" t="n">
        <v>1</v>
      </c>
      <c r="B793" s="5" t="n">
        <v>16</v>
      </c>
      <c r="C793" s="5" t="n">
        <v>3</v>
      </c>
      <c r="D793" s="18">
        <f>SEASON_HRS_TOM*B793*(1+DIM_TOM)^B793+SEASON_HRS_CAR*C793*(1+DIM_CAR)^C793</f>
        <v>6713.6812566044</v>
      </c>
      <c r="E793" s="18">
        <f>(FARMER_FIELD_HRS+A793*TEMP_HRS)-D793</f>
        <v>-4553.6812566044</v>
      </c>
      <c r="F793" s="21">
        <f>IF(E793&lt;0,0,MIN(COUNTIF(Labor!$C$59:$C$88,"&lt;="&amp;E793),MAXBED_MES,TOTAL_BEDS-B793-C793))</f>
        <v>0</v>
      </c>
      <c r="G793" s="21">
        <f>B793+C793+F793</f>
        <v>19</v>
      </c>
      <c r="H793" s="22">
        <f>IF(E793&lt;0,-999999999,B793*(PRICE_TOM-FERT_TOM)+C793*(PRICE_CAR-FERT_CAR)+F793*(PRICE_MES-FERT_MES)-(FARMER_SALARY+A793*TEMP_COST)-FIXED_COSTS)</f>
        <v>-999999999</v>
      </c>
    </row>
    <row r="794">
      <c r="A794" s="5" t="n">
        <v>1</v>
      </c>
      <c r="B794" s="5" t="n">
        <v>16</v>
      </c>
      <c r="C794" s="5" t="n">
        <v>4</v>
      </c>
      <c r="D794" s="18">
        <f>SEASON_HRS_TOM*B794*(1+DIM_TOM)^B794+SEASON_HRS_CAR*C794*(1+DIM_CAR)^C794</f>
        <v>6749.2186472294</v>
      </c>
      <c r="E794" s="18">
        <f>(FARMER_FIELD_HRS+A794*TEMP_HRS)-D794</f>
        <v>-4589.2186472294</v>
      </c>
      <c r="F794" s="21">
        <f>IF(E794&lt;0,0,MIN(COUNTIF(Labor!$C$59:$C$88,"&lt;="&amp;E794),MAXBED_MES,TOTAL_BEDS-B794-C794))</f>
        <v>0</v>
      </c>
      <c r="G794" s="21">
        <f>B794+C794+F794</f>
        <v>20</v>
      </c>
      <c r="H794" s="22">
        <f>IF(E794&lt;0,-999999999,B794*(PRICE_TOM-FERT_TOM)+C794*(PRICE_CAR-FERT_CAR)+F794*(PRICE_MES-FERT_MES)-(FARMER_SALARY+A794*TEMP_COST)-FIXED_COSTS)</f>
        <v>-999999999</v>
      </c>
    </row>
    <row r="795">
      <c r="A795" s="5" t="n">
        <v>1</v>
      </c>
      <c r="B795" s="5" t="n">
        <v>16</v>
      </c>
      <c r="C795" s="5" t="n">
        <v>5</v>
      </c>
      <c r="D795" s="18">
        <f>SEASON_HRS_TOM*B795*(1+DIM_TOM)^B795+SEASON_HRS_CAR*C795*(1+DIM_CAR)^C795</f>
        <v>6786.472332287994</v>
      </c>
      <c r="E795" s="18">
        <f>(FARMER_FIELD_HRS+A795*TEMP_HRS)-D795</f>
        <v>-4626.472332287994</v>
      </c>
      <c r="F795" s="21">
        <f>IF(E795&lt;0,0,MIN(COUNTIF(Labor!$C$59:$C$88,"&lt;="&amp;E795),MAXBED_MES,TOTAL_BEDS-B795-C795))</f>
        <v>0</v>
      </c>
      <c r="G795" s="21">
        <f>B795+C795+F795</f>
        <v>21</v>
      </c>
      <c r="H795" s="22">
        <f>IF(E795&lt;0,-999999999,B795*(PRICE_TOM-FERT_TOM)+C795*(PRICE_CAR-FERT_CAR)+F795*(PRICE_MES-FERT_MES)-(FARMER_SALARY+A795*TEMP_COST)-FIXED_COSTS)</f>
        <v>-999999999</v>
      </c>
    </row>
    <row r="796">
      <c r="A796" s="5" t="n">
        <v>1</v>
      </c>
      <c r="B796" s="5" t="n">
        <v>16</v>
      </c>
      <c r="C796" s="5" t="n">
        <v>6</v>
      </c>
      <c r="D796" s="18">
        <f>SEASON_HRS_TOM*B796*(1+DIM_TOM)^B796+SEASON_HRS_CAR*C796*(1+DIM_CAR)^C796</f>
        <v>6825.50591563272</v>
      </c>
      <c r="E796" s="18">
        <f>(FARMER_FIELD_HRS+A796*TEMP_HRS)-D796</f>
        <v>-4665.50591563272</v>
      </c>
      <c r="F796" s="21">
        <f>IF(E796&lt;0,0,MIN(COUNTIF(Labor!$C$59:$C$88,"&lt;="&amp;E796),MAXBED_MES,TOTAL_BEDS-B796-C796))</f>
        <v>0</v>
      </c>
      <c r="G796" s="21">
        <f>B796+C796+F796</f>
        <v>22</v>
      </c>
      <c r="H796" s="22">
        <f>IF(E796&lt;0,-999999999,B796*(PRICE_TOM-FERT_TOM)+C796*(PRICE_CAR-FERT_CAR)+F796*(PRICE_MES-FERT_MES)-(FARMER_SALARY+A796*TEMP_COST)-FIXED_COSTS)</f>
        <v>-999999999</v>
      </c>
    </row>
    <row r="797">
      <c r="A797" s="5" t="n">
        <v>1</v>
      </c>
      <c r="B797" s="5" t="n">
        <v>16</v>
      </c>
      <c r="C797" s="5" t="n">
        <v>7</v>
      </c>
      <c r="D797" s="18">
        <f>SEASON_HRS_TOM*B797*(1+DIM_TOM)^B797+SEASON_HRS_CAR*C797*(1+DIM_CAR)^C797</f>
        <v>6866.385108624724</v>
      </c>
      <c r="E797" s="18">
        <f>(FARMER_FIELD_HRS+A797*TEMP_HRS)-D797</f>
        <v>-4706.385108624724</v>
      </c>
      <c r="F797" s="21">
        <f>IF(E797&lt;0,0,MIN(COUNTIF(Labor!$C$59:$C$88,"&lt;="&amp;E797),MAXBED_MES,TOTAL_BEDS-B797-C797))</f>
        <v>0</v>
      </c>
      <c r="G797" s="21">
        <f>B797+C797+F797</f>
        <v>23</v>
      </c>
      <c r="H797" s="22">
        <f>IF(E797&lt;0,-999999999,B797*(PRICE_TOM-FERT_TOM)+C797*(PRICE_CAR-FERT_CAR)+F797*(PRICE_MES-FERT_MES)-(FARMER_SALARY+A797*TEMP_COST)-FIXED_COSTS)</f>
        <v>-999999999</v>
      </c>
    </row>
    <row r="798">
      <c r="A798" s="5" t="n">
        <v>1</v>
      </c>
      <c r="B798" s="5" t="n">
        <v>16</v>
      </c>
      <c r="C798" s="5" t="n">
        <v>8</v>
      </c>
      <c r="D798" s="18">
        <f>SEASON_HRS_TOM*B798*(1+DIM_TOM)^B798+SEASON_HRS_CAR*C798*(1+DIM_CAR)^C798</f>
        <v>6909.17779575678</v>
      </c>
      <c r="E798" s="18">
        <f>(FARMER_FIELD_HRS+A798*TEMP_HRS)-D798</f>
        <v>-4749.17779575678</v>
      </c>
      <c r="F798" s="21">
        <f>IF(E798&lt;0,0,MIN(COUNTIF(Labor!$C$59:$C$88,"&lt;="&amp;E798),MAXBED_MES,TOTAL_BEDS-B798-C798))</f>
        <v>0</v>
      </c>
      <c r="G798" s="21">
        <f>B798+C798+F798</f>
        <v>24</v>
      </c>
      <c r="H798" s="22">
        <f>IF(E798&lt;0,-999999999,B798*(PRICE_TOM-FERT_TOM)+C798*(PRICE_CAR-FERT_CAR)+F798*(PRICE_MES-FERT_MES)-(FARMER_SALARY+A798*TEMP_COST)-FIXED_COSTS)</f>
        <v>-999999999</v>
      </c>
    </row>
    <row r="799">
      <c r="A799" s="5" t="n">
        <v>1</v>
      </c>
      <c r="B799" s="5" t="n">
        <v>16</v>
      </c>
      <c r="C799" s="5" t="n">
        <v>9</v>
      </c>
      <c r="D799" s="18">
        <f>SEASON_HRS_TOM*B799*(1+DIM_TOM)^B799+SEASON_HRS_CAR*C799*(1+DIM_CAR)^C799</f>
        <v>6953.954102240269</v>
      </c>
      <c r="E799" s="18">
        <f>(FARMER_FIELD_HRS+A799*TEMP_HRS)-D799</f>
        <v>-4793.954102240269</v>
      </c>
      <c r="F799" s="21">
        <f>IF(E799&lt;0,0,MIN(COUNTIF(Labor!$C$59:$C$88,"&lt;="&amp;E799),MAXBED_MES,TOTAL_BEDS-B799-C799))</f>
        <v>0</v>
      </c>
      <c r="G799" s="21">
        <f>B799+C799+F799</f>
        <v>25</v>
      </c>
      <c r="H799" s="22">
        <f>IF(E799&lt;0,-999999999,B799*(PRICE_TOM-FERT_TOM)+C799*(PRICE_CAR-FERT_CAR)+F799*(PRICE_MES-FERT_MES)-(FARMER_SALARY+A799*TEMP_COST)-FIXED_COSTS)</f>
        <v>-999999999</v>
      </c>
    </row>
    <row r="800">
      <c r="A800" s="5" t="n">
        <v>1</v>
      </c>
      <c r="B800" s="5" t="n">
        <v>16</v>
      </c>
      <c r="C800" s="5" t="n">
        <v>10</v>
      </c>
      <c r="D800" s="18">
        <f>SEASON_HRS_TOM*B800*(1+DIM_TOM)^B800+SEASON_HRS_CAR*C800*(1+DIM_CAR)^C800</f>
        <v>7000.786463613307</v>
      </c>
      <c r="E800" s="18">
        <f>(FARMER_FIELD_HRS+A800*TEMP_HRS)-D800</f>
        <v>-4840.786463613307</v>
      </c>
      <c r="F800" s="21">
        <f>IF(E800&lt;0,0,MIN(COUNTIF(Labor!$C$59:$C$88,"&lt;="&amp;E800),MAXBED_MES,TOTAL_BEDS-B800-C800))</f>
        <v>0</v>
      </c>
      <c r="G800" s="21">
        <f>B800+C800+F800</f>
        <v>26</v>
      </c>
      <c r="H800" s="22">
        <f>IF(E800&lt;0,-999999999,B800*(PRICE_TOM-FERT_TOM)+C800*(PRICE_CAR-FERT_CAR)+F800*(PRICE_MES-FERT_MES)-(FARMER_SALARY+A800*TEMP_COST)-FIXED_COSTS)</f>
        <v>-999999999</v>
      </c>
    </row>
    <row r="801">
      <c r="A801" s="5" t="n">
        <v>1</v>
      </c>
      <c r="B801" s="5" t="n">
        <v>16</v>
      </c>
      <c r="C801" s="5" t="n">
        <v>11</v>
      </c>
      <c r="D801" s="18">
        <f>SEASON_HRS_TOM*B801*(1+DIM_TOM)^B801+SEASON_HRS_CAR*C801*(1+DIM_CAR)^C801</f>
        <v>7049.749697428817</v>
      </c>
      <c r="E801" s="18">
        <f>(FARMER_FIELD_HRS+A801*TEMP_HRS)-D801</f>
        <v>-4889.749697428817</v>
      </c>
      <c r="F801" s="21">
        <f>IF(E801&lt;0,0,MIN(COUNTIF(Labor!$C$59:$C$88,"&lt;="&amp;E801),MAXBED_MES,TOTAL_BEDS-B801-C801))</f>
        <v>0</v>
      </c>
      <c r="G801" s="21">
        <f>B801+C801+F801</f>
        <v>27</v>
      </c>
      <c r="H801" s="22">
        <f>IF(E801&lt;0,-999999999,B801*(PRICE_TOM-FERT_TOM)+C801*(PRICE_CAR-FERT_CAR)+F801*(PRICE_MES-FERT_MES)-(FARMER_SALARY+A801*TEMP_COST)-FIXED_COSTS)</f>
        <v>-999999999</v>
      </c>
    </row>
    <row r="802">
      <c r="A802" s="5" t="n">
        <v>1</v>
      </c>
      <c r="B802" s="5" t="n">
        <v>16</v>
      </c>
      <c r="C802" s="5" t="n">
        <v>12</v>
      </c>
      <c r="D802" s="18">
        <f>SEASON_HRS_TOM*B802*(1+DIM_TOM)^B802+SEASON_HRS_CAR*C802*(1+DIM_CAR)^C802</f>
        <v>7100.921077083067</v>
      </c>
      <c r="E802" s="18">
        <f>(FARMER_FIELD_HRS+A802*TEMP_HRS)-D802</f>
        <v>-4940.921077083067</v>
      </c>
      <c r="F802" s="21">
        <f>IF(E802&lt;0,0,MIN(COUNTIF(Labor!$C$59:$C$88,"&lt;="&amp;E802),MAXBED_MES,TOTAL_BEDS-B802-C802))</f>
        <v>0</v>
      </c>
      <c r="G802" s="21">
        <f>B802+C802+F802</f>
        <v>28</v>
      </c>
      <c r="H802" s="22">
        <f>IF(E802&lt;0,-999999999,B802*(PRICE_TOM-FERT_TOM)+C802*(PRICE_CAR-FERT_CAR)+F802*(PRICE_MES-FERT_MES)-(FARMER_SALARY+A802*TEMP_COST)-FIXED_COSTS)</f>
        <v>-999999999</v>
      </c>
    </row>
    <row r="803">
      <c r="A803" s="5" t="n">
        <v>1</v>
      </c>
      <c r="B803" s="5" t="n">
        <v>16</v>
      </c>
      <c r="C803" s="5" t="n">
        <v>13</v>
      </c>
      <c r="D803" s="18">
        <f>SEASON_HRS_TOM*B803*(1+DIM_TOM)^B803+SEASON_HRS_CAR*C803*(1+DIM_CAR)^C803</f>
        <v>7154.3804078468565</v>
      </c>
      <c r="E803" s="18">
        <f>(FARMER_FIELD_HRS+A803*TEMP_HRS)-D803</f>
        <v>-4994.3804078468565</v>
      </c>
      <c r="F803" s="21">
        <f>IF(E803&lt;0,0,MIN(COUNTIF(Labor!$C$59:$C$88,"&lt;="&amp;E803),MAXBED_MES,TOTAL_BEDS-B803-C803))</f>
        <v>0</v>
      </c>
      <c r="G803" s="21">
        <f>B803+C803+F803</f>
        <v>29</v>
      </c>
      <c r="H803" s="22">
        <f>IF(E803&lt;0,-999999999,B803*(PRICE_TOM-FERT_TOM)+C803*(PRICE_CAR-FERT_CAR)+F803*(PRICE_MES-FERT_MES)-(FARMER_SALARY+A803*TEMP_COST)-FIXED_COSTS)</f>
        <v>-999999999</v>
      </c>
    </row>
    <row r="804">
      <c r="A804" s="5" t="n">
        <v>1</v>
      </c>
      <c r="B804" s="5" t="n">
        <v>16</v>
      </c>
      <c r="C804" s="5" t="n">
        <v>14</v>
      </c>
      <c r="D804" s="18">
        <f>SEASON_HRS_TOM*B804*(1+DIM_TOM)^B804+SEASON_HRS_CAR*C804*(1+DIM_CAR)^C804</f>
        <v>7210.210105163382</v>
      </c>
      <c r="E804" s="18">
        <f>(FARMER_FIELD_HRS+A804*TEMP_HRS)-D804</f>
        <v>-5050.210105163382</v>
      </c>
      <c r="F804" s="21">
        <f>IF(E804&lt;0,0,MIN(COUNTIF(Labor!$C$59:$C$88,"&lt;="&amp;E804),MAXBED_MES,TOTAL_BEDS-B804-C804))</f>
        <v>0</v>
      </c>
      <c r="G804" s="21">
        <f>B804+C804+F804</f>
        <v>30</v>
      </c>
      <c r="H804" s="22">
        <f>IF(E804&lt;0,-999999999,B804*(PRICE_TOM-FERT_TOM)+C804*(PRICE_CAR-FERT_CAR)+F804*(PRICE_MES-FERT_MES)-(FARMER_SALARY+A804*TEMP_COST)-FIXED_COSTS)</f>
        <v>-999999999</v>
      </c>
    </row>
    <row r="805">
      <c r="A805" s="5" t="n">
        <v>1</v>
      </c>
      <c r="B805" s="5" t="n">
        <v>16</v>
      </c>
      <c r="C805" s="5" t="n">
        <v>15</v>
      </c>
      <c r="D805" s="18">
        <f>SEASON_HRS_TOM*B805*(1+DIM_TOM)^B805+SEASON_HRS_CAR*C805*(1+DIM_CAR)^C805</f>
        <v>7268.495275278549</v>
      </c>
      <c r="E805" s="18">
        <f>(FARMER_FIELD_HRS+A805*TEMP_HRS)-D805</f>
        <v>-5108.495275278549</v>
      </c>
      <c r="F805" s="21">
        <f>IF(E805&lt;0,0,MIN(COUNTIF(Labor!$C$59:$C$88,"&lt;="&amp;E805),MAXBED_MES,TOTAL_BEDS-B805-C805))</f>
        <v>0</v>
      </c>
      <c r="G805" s="21">
        <f>B805+C805+F805</f>
        <v>31</v>
      </c>
      <c r="H805" s="22">
        <f>IF(E805&lt;0,-999999999,B805*(PRICE_TOM-FERT_TOM)+C805*(PRICE_CAR-FERT_CAR)+F805*(PRICE_MES-FERT_MES)-(FARMER_SALARY+A805*TEMP_COST)-FIXED_COSTS)</f>
        <v>-999999999</v>
      </c>
    </row>
    <row r="806">
      <c r="A806" s="5" t="n">
        <v>1</v>
      </c>
      <c r="B806" s="5" t="n">
        <v>16</v>
      </c>
      <c r="C806" s="5" t="n">
        <v>16</v>
      </c>
      <c r="D806" s="18">
        <f>SEASON_HRS_TOM*B806*(1+DIM_TOM)^B806+SEASON_HRS_CAR*C806*(1+DIM_CAR)^C806</f>
        <v>7329.32379827147</v>
      </c>
      <c r="E806" s="18">
        <f>(FARMER_FIELD_HRS+A806*TEMP_HRS)-D806</f>
        <v>-5169.32379827147</v>
      </c>
      <c r="F806" s="21">
        <f>IF(E806&lt;0,0,MIN(COUNTIF(Labor!$C$59:$C$88,"&lt;="&amp;E806),MAXBED_MES,TOTAL_BEDS-B806-C806))</f>
        <v>0</v>
      </c>
      <c r="G806" s="21">
        <f>B806+C806+F806</f>
        <v>32</v>
      </c>
      <c r="H806" s="22">
        <f>IF(E806&lt;0,-999999999,B806*(PRICE_TOM-FERT_TOM)+C806*(PRICE_CAR-FERT_CAR)+F806*(PRICE_MES-FERT_MES)-(FARMER_SALARY+A806*TEMP_COST)-FIXED_COSTS)</f>
        <v>-999999999</v>
      </c>
    </row>
    <row r="807">
      <c r="A807" s="5" t="n">
        <v>1</v>
      </c>
      <c r="B807" s="5" t="n">
        <v>16</v>
      </c>
      <c r="C807" s="5" t="n">
        <v>17</v>
      </c>
      <c r="D807" s="18">
        <f>SEASON_HRS_TOM*B807*(1+DIM_TOM)^B807+SEASON_HRS_CAR*C807*(1+DIM_CAR)^C807</f>
        <v>7392.786413554709</v>
      </c>
      <c r="E807" s="18">
        <f>(FARMER_FIELD_HRS+A807*TEMP_HRS)-D807</f>
        <v>-5232.786413554709</v>
      </c>
      <c r="F807" s="21">
        <f>IF(E807&lt;0,0,MIN(COUNTIF(Labor!$C$59:$C$88,"&lt;="&amp;E807),MAXBED_MES,TOTAL_BEDS-B807-C807))</f>
        <v>0</v>
      </c>
      <c r="G807" s="21">
        <f>B807+C807+F807</f>
        <v>33</v>
      </c>
      <c r="H807" s="22">
        <f>IF(E807&lt;0,-999999999,B807*(PRICE_TOM-FERT_TOM)+C807*(PRICE_CAR-FERT_CAR)+F807*(PRICE_MES-FERT_MES)-(FARMER_SALARY+A807*TEMP_COST)-FIXED_COSTS)</f>
        <v>-999999999</v>
      </c>
    </row>
    <row r="808">
      <c r="A808" s="5" t="n">
        <v>1</v>
      </c>
      <c r="B808" s="5" t="n">
        <v>16</v>
      </c>
      <c r="C808" s="5" t="n">
        <v>18</v>
      </c>
      <c r="D808" s="18">
        <f>SEASON_HRS_TOM*B808*(1+DIM_TOM)^B808+SEASON_HRS_CAR*C808*(1+DIM_CAR)^C808</f>
        <v>7458.976807915911</v>
      </c>
      <c r="E808" s="18">
        <f>(FARMER_FIELD_HRS+A808*TEMP_HRS)-D808</f>
        <v>-5298.976807915911</v>
      </c>
      <c r="F808" s="21">
        <f>IF(E808&lt;0,0,MIN(COUNTIF(Labor!$C$59:$C$88,"&lt;="&amp;E808),MAXBED_MES,TOTAL_BEDS-B808-C808))</f>
        <v>0</v>
      </c>
      <c r="G808" s="21">
        <f>B808+C808+F808</f>
        <v>34</v>
      </c>
      <c r="H808" s="22">
        <f>IF(E808&lt;0,-999999999,B808*(PRICE_TOM-FERT_TOM)+C808*(PRICE_CAR-FERT_CAR)+F808*(PRICE_MES-FERT_MES)-(FARMER_SALARY+A808*TEMP_COST)-FIXED_COSTS)</f>
        <v>-999999999</v>
      </c>
    </row>
    <row r="809">
      <c r="A809" s="5" t="n">
        <v>1</v>
      </c>
      <c r="B809" s="5" t="n">
        <v>16</v>
      </c>
      <c r="C809" s="5" t="n">
        <v>19</v>
      </c>
      <c r="D809" s="18">
        <f>SEASON_HRS_TOM*B809*(1+DIM_TOM)^B809+SEASON_HRS_CAR*C809*(1+DIM_CAR)^C809</f>
        <v>7527.991706174424</v>
      </c>
      <c r="E809" s="18">
        <f>(FARMER_FIELD_HRS+A809*TEMP_HRS)-D809</f>
        <v>-5367.991706174424</v>
      </c>
      <c r="F809" s="21">
        <f>IF(E809&lt;0,0,MIN(COUNTIF(Labor!$C$59:$C$88,"&lt;="&amp;E809),MAXBED_MES,TOTAL_BEDS-B809-C809))</f>
        <v>0</v>
      </c>
      <c r="G809" s="21">
        <f>B809+C809+F809</f>
        <v>35</v>
      </c>
      <c r="H809" s="22">
        <f>IF(E809&lt;0,-999999999,B809*(PRICE_TOM-FERT_TOM)+C809*(PRICE_CAR-FERT_CAR)+F809*(PRICE_MES-FERT_MES)-(FARMER_SALARY+A809*TEMP_COST)-FIXED_COSTS)</f>
        <v>-999999999</v>
      </c>
    </row>
    <row r="810">
      <c r="A810" s="5" t="n">
        <v>1</v>
      </c>
      <c r="B810" s="5" t="n">
        <v>16</v>
      </c>
      <c r="C810" s="5" t="n">
        <v>20</v>
      </c>
      <c r="D810" s="18">
        <f>SEASON_HRS_TOM*B810*(1+DIM_TOM)^B810+SEASON_HRS_CAR*C810*(1+DIM_CAR)^C810</f>
        <v>7599.930964528637</v>
      </c>
      <c r="E810" s="18">
        <f>(FARMER_FIELD_HRS+A810*TEMP_HRS)-D810</f>
        <v>-5439.930964528637</v>
      </c>
      <c r="F810" s="21">
        <f>IF(E810&lt;0,0,MIN(COUNTIF(Labor!$C$59:$C$88,"&lt;="&amp;E810),MAXBED_MES,TOTAL_BEDS-B810-C810))</f>
        <v>0</v>
      </c>
      <c r="G810" s="21">
        <f>B810+C810+F810</f>
        <v>36</v>
      </c>
      <c r="H810" s="22">
        <f>IF(E810&lt;0,-999999999,B810*(PRICE_TOM-FERT_TOM)+C810*(PRICE_CAR-FERT_CAR)+F810*(PRICE_MES-FERT_MES)-(FARMER_SALARY+A810*TEMP_COST)-FIXED_COSTS)</f>
        <v>-999999999</v>
      </c>
    </row>
    <row r="811">
      <c r="A811" s="5" t="n">
        <v>1</v>
      </c>
      <c r="B811" s="5" t="n">
        <v>17</v>
      </c>
      <c r="C811" s="5" t="n">
        <v>0</v>
      </c>
      <c r="D811" s="18">
        <f>SEASON_HRS_TOM*B811*(1+DIM_TOM)^B811+SEASON_HRS_CAR*C811*(1+DIM_CAR)^C811</f>
        <v>7733.339536039206</v>
      </c>
      <c r="E811" s="18">
        <f>(FARMER_FIELD_HRS+A811*TEMP_HRS)-D811</f>
        <v>-5573.339536039206</v>
      </c>
      <c r="F811" s="21">
        <f>IF(E811&lt;0,0,MIN(COUNTIF(Labor!$C$59:$C$88,"&lt;="&amp;E811),MAXBED_MES,TOTAL_BEDS-B811-C811))</f>
        <v>0</v>
      </c>
      <c r="G811" s="21">
        <f>B811+C811+F811</f>
        <v>17</v>
      </c>
      <c r="H811" s="22">
        <f>IF(E811&lt;0,-999999999,B811*(PRICE_TOM-FERT_TOM)+C811*(PRICE_CAR-FERT_CAR)+F811*(PRICE_MES-FERT_MES)-(FARMER_SALARY+A811*TEMP_COST)-FIXED_COSTS)</f>
        <v>-999999999</v>
      </c>
    </row>
    <row r="812">
      <c r="A812" s="5" t="n">
        <v>1</v>
      </c>
      <c r="B812" s="5" t="n">
        <v>17</v>
      </c>
      <c r="C812" s="5" t="n">
        <v>1</v>
      </c>
      <c r="D812" s="18">
        <f>SEASON_HRS_TOM*B812*(1+DIM_TOM)^B812+SEASON_HRS_CAR*C812*(1+DIM_CAR)^C812</f>
        <v>7764.089536039206</v>
      </c>
      <c r="E812" s="18">
        <f>(FARMER_FIELD_HRS+A812*TEMP_HRS)-D812</f>
        <v>-5604.089536039206</v>
      </c>
      <c r="F812" s="21">
        <f>IF(E812&lt;0,0,MIN(COUNTIF(Labor!$C$59:$C$88,"&lt;="&amp;E812),MAXBED_MES,TOTAL_BEDS-B812-C812))</f>
        <v>0</v>
      </c>
      <c r="G812" s="21">
        <f>B812+C812+F812</f>
        <v>18</v>
      </c>
      <c r="H812" s="22">
        <f>IF(E812&lt;0,-999999999,B812*(PRICE_TOM-FERT_TOM)+C812*(PRICE_CAR-FERT_CAR)+F812*(PRICE_MES-FERT_MES)-(FARMER_SALARY+A812*TEMP_COST)-FIXED_COSTS)</f>
        <v>-999999999</v>
      </c>
    </row>
    <row r="813">
      <c r="A813" s="5" t="n">
        <v>1</v>
      </c>
      <c r="B813" s="5" t="n">
        <v>17</v>
      </c>
      <c r="C813" s="5" t="n">
        <v>2</v>
      </c>
      <c r="D813" s="18">
        <f>SEASON_HRS_TOM*B813*(1+DIM_TOM)^B813+SEASON_HRS_CAR*C813*(1+DIM_CAR)^C813</f>
        <v>7796.377036039206</v>
      </c>
      <c r="E813" s="18">
        <f>(FARMER_FIELD_HRS+A813*TEMP_HRS)-D813</f>
        <v>-5636.377036039206</v>
      </c>
      <c r="F813" s="21">
        <f>IF(E813&lt;0,0,MIN(COUNTIF(Labor!$C$59:$C$88,"&lt;="&amp;E813),MAXBED_MES,TOTAL_BEDS-B813-C813))</f>
        <v>0</v>
      </c>
      <c r="G813" s="21">
        <f>B813+C813+F813</f>
        <v>19</v>
      </c>
      <c r="H813" s="22">
        <f>IF(E813&lt;0,-999999999,B813*(PRICE_TOM-FERT_TOM)+C813*(PRICE_CAR-FERT_CAR)+F813*(PRICE_MES-FERT_MES)-(FARMER_SALARY+A813*TEMP_COST)-FIXED_COSTS)</f>
        <v>-999999999</v>
      </c>
    </row>
    <row r="814">
      <c r="A814" s="5" t="n">
        <v>1</v>
      </c>
      <c r="B814" s="5" t="n">
        <v>17</v>
      </c>
      <c r="C814" s="5" t="n">
        <v>3</v>
      </c>
      <c r="D814" s="18">
        <f>SEASON_HRS_TOM*B814*(1+DIM_TOM)^B814+SEASON_HRS_CAR*C814*(1+DIM_CAR)^C814</f>
        <v>7830.259692289206</v>
      </c>
      <c r="E814" s="18">
        <f>(FARMER_FIELD_HRS+A814*TEMP_HRS)-D814</f>
        <v>-5670.259692289206</v>
      </c>
      <c r="F814" s="21">
        <f>IF(E814&lt;0,0,MIN(COUNTIF(Labor!$C$59:$C$88,"&lt;="&amp;E814),MAXBED_MES,TOTAL_BEDS-B814-C814))</f>
        <v>0</v>
      </c>
      <c r="G814" s="21">
        <f>B814+C814+F814</f>
        <v>20</v>
      </c>
      <c r="H814" s="22">
        <f>IF(E814&lt;0,-999999999,B814*(PRICE_TOM-FERT_TOM)+C814*(PRICE_CAR-FERT_CAR)+F814*(PRICE_MES-FERT_MES)-(FARMER_SALARY+A814*TEMP_COST)-FIXED_COSTS)</f>
        <v>-999999999</v>
      </c>
    </row>
    <row r="815">
      <c r="A815" s="5" t="n">
        <v>1</v>
      </c>
      <c r="B815" s="5" t="n">
        <v>17</v>
      </c>
      <c r="C815" s="5" t="n">
        <v>4</v>
      </c>
      <c r="D815" s="18">
        <f>SEASON_HRS_TOM*B815*(1+DIM_TOM)^B815+SEASON_HRS_CAR*C815*(1+DIM_CAR)^C815</f>
        <v>7865.797082914206</v>
      </c>
      <c r="E815" s="18">
        <f>(FARMER_FIELD_HRS+A815*TEMP_HRS)-D815</f>
        <v>-5705.797082914206</v>
      </c>
      <c r="F815" s="21">
        <f>IF(E815&lt;0,0,MIN(COUNTIF(Labor!$C$59:$C$88,"&lt;="&amp;E815),MAXBED_MES,TOTAL_BEDS-B815-C815))</f>
        <v>0</v>
      </c>
      <c r="G815" s="21">
        <f>B815+C815+F815</f>
        <v>21</v>
      </c>
      <c r="H815" s="22">
        <f>IF(E815&lt;0,-999999999,B815*(PRICE_TOM-FERT_TOM)+C815*(PRICE_CAR-FERT_CAR)+F815*(PRICE_MES-FERT_MES)-(FARMER_SALARY+A815*TEMP_COST)-FIXED_COSTS)</f>
        <v>-999999999</v>
      </c>
    </row>
    <row r="816">
      <c r="A816" s="5" t="n">
        <v>1</v>
      </c>
      <c r="B816" s="5" t="n">
        <v>17</v>
      </c>
      <c r="C816" s="5" t="n">
        <v>5</v>
      </c>
      <c r="D816" s="18">
        <f>SEASON_HRS_TOM*B816*(1+DIM_TOM)^B816+SEASON_HRS_CAR*C816*(1+DIM_CAR)^C816</f>
        <v>7903.0507679728</v>
      </c>
      <c r="E816" s="18">
        <f>(FARMER_FIELD_HRS+A816*TEMP_HRS)-D816</f>
        <v>-5743.0507679728</v>
      </c>
      <c r="F816" s="21">
        <f>IF(E816&lt;0,0,MIN(COUNTIF(Labor!$C$59:$C$88,"&lt;="&amp;E816),MAXBED_MES,TOTAL_BEDS-B816-C816))</f>
        <v>0</v>
      </c>
      <c r="G816" s="21">
        <f>B816+C816+F816</f>
        <v>22</v>
      </c>
      <c r="H816" s="22">
        <f>IF(E816&lt;0,-999999999,B816*(PRICE_TOM-FERT_TOM)+C816*(PRICE_CAR-FERT_CAR)+F816*(PRICE_MES-FERT_MES)-(FARMER_SALARY+A816*TEMP_COST)-FIXED_COSTS)</f>
        <v>-999999999</v>
      </c>
    </row>
    <row r="817">
      <c r="A817" s="5" t="n">
        <v>1</v>
      </c>
      <c r="B817" s="5" t="n">
        <v>17</v>
      </c>
      <c r="C817" s="5" t="n">
        <v>6</v>
      </c>
      <c r="D817" s="18">
        <f>SEASON_HRS_TOM*B817*(1+DIM_TOM)^B817+SEASON_HRS_CAR*C817*(1+DIM_CAR)^C817</f>
        <v>7942.084351317526</v>
      </c>
      <c r="E817" s="18">
        <f>(FARMER_FIELD_HRS+A817*TEMP_HRS)-D817</f>
        <v>-5782.084351317526</v>
      </c>
      <c r="F817" s="21">
        <f>IF(E817&lt;0,0,MIN(COUNTIF(Labor!$C$59:$C$88,"&lt;="&amp;E817),MAXBED_MES,TOTAL_BEDS-B817-C817))</f>
        <v>0</v>
      </c>
      <c r="G817" s="21">
        <f>B817+C817+F817</f>
        <v>23</v>
      </c>
      <c r="H817" s="22">
        <f>IF(E817&lt;0,-999999999,B817*(PRICE_TOM-FERT_TOM)+C817*(PRICE_CAR-FERT_CAR)+F817*(PRICE_MES-FERT_MES)-(FARMER_SALARY+A817*TEMP_COST)-FIXED_COSTS)</f>
        <v>-999999999</v>
      </c>
    </row>
    <row r="818">
      <c r="A818" s="5" t="n">
        <v>1</v>
      </c>
      <c r="B818" s="5" t="n">
        <v>17</v>
      </c>
      <c r="C818" s="5" t="n">
        <v>7</v>
      </c>
      <c r="D818" s="18">
        <f>SEASON_HRS_TOM*B818*(1+DIM_TOM)^B818+SEASON_HRS_CAR*C818*(1+DIM_CAR)^C818</f>
        <v>7982.96354430953</v>
      </c>
      <c r="E818" s="18">
        <f>(FARMER_FIELD_HRS+A818*TEMP_HRS)-D818</f>
        <v>-5822.96354430953</v>
      </c>
      <c r="F818" s="21">
        <f>IF(E818&lt;0,0,MIN(COUNTIF(Labor!$C$59:$C$88,"&lt;="&amp;E818),MAXBED_MES,TOTAL_BEDS-B818-C818))</f>
        <v>0</v>
      </c>
      <c r="G818" s="21">
        <f>B818+C818+F818</f>
        <v>24</v>
      </c>
      <c r="H818" s="22">
        <f>IF(E818&lt;0,-999999999,B818*(PRICE_TOM-FERT_TOM)+C818*(PRICE_CAR-FERT_CAR)+F818*(PRICE_MES-FERT_MES)-(FARMER_SALARY+A818*TEMP_COST)-FIXED_COSTS)</f>
        <v>-999999999</v>
      </c>
    </row>
    <row r="819">
      <c r="A819" s="5" t="n">
        <v>1</v>
      </c>
      <c r="B819" s="5" t="n">
        <v>17</v>
      </c>
      <c r="C819" s="5" t="n">
        <v>8</v>
      </c>
      <c r="D819" s="18">
        <f>SEASON_HRS_TOM*B819*(1+DIM_TOM)^B819+SEASON_HRS_CAR*C819*(1+DIM_CAR)^C819</f>
        <v>8025.756231441586</v>
      </c>
      <c r="E819" s="18">
        <f>(FARMER_FIELD_HRS+A819*TEMP_HRS)-D819</f>
        <v>-5865.756231441586</v>
      </c>
      <c r="F819" s="21">
        <f>IF(E819&lt;0,0,MIN(COUNTIF(Labor!$C$59:$C$88,"&lt;="&amp;E819),MAXBED_MES,TOTAL_BEDS-B819-C819))</f>
        <v>0</v>
      </c>
      <c r="G819" s="21">
        <f>B819+C819+F819</f>
        <v>25</v>
      </c>
      <c r="H819" s="22">
        <f>IF(E819&lt;0,-999999999,B819*(PRICE_TOM-FERT_TOM)+C819*(PRICE_CAR-FERT_CAR)+F819*(PRICE_MES-FERT_MES)-(FARMER_SALARY+A819*TEMP_COST)-FIXED_COSTS)</f>
        <v>-999999999</v>
      </c>
    </row>
    <row r="820">
      <c r="A820" s="5" t="n">
        <v>1</v>
      </c>
      <c r="B820" s="5" t="n">
        <v>17</v>
      </c>
      <c r="C820" s="5" t="n">
        <v>9</v>
      </c>
      <c r="D820" s="18">
        <f>SEASON_HRS_TOM*B820*(1+DIM_TOM)^B820+SEASON_HRS_CAR*C820*(1+DIM_CAR)^C820</f>
        <v>8070.532537925075</v>
      </c>
      <c r="E820" s="18">
        <f>(FARMER_FIELD_HRS+A820*TEMP_HRS)-D820</f>
        <v>-5910.532537925075</v>
      </c>
      <c r="F820" s="21">
        <f>IF(E820&lt;0,0,MIN(COUNTIF(Labor!$C$59:$C$88,"&lt;="&amp;E820),MAXBED_MES,TOTAL_BEDS-B820-C820))</f>
        <v>0</v>
      </c>
      <c r="G820" s="21">
        <f>B820+C820+F820</f>
        <v>26</v>
      </c>
      <c r="H820" s="22">
        <f>IF(E820&lt;0,-999999999,B820*(PRICE_TOM-FERT_TOM)+C820*(PRICE_CAR-FERT_CAR)+F820*(PRICE_MES-FERT_MES)-(FARMER_SALARY+A820*TEMP_COST)-FIXED_COSTS)</f>
        <v>-999999999</v>
      </c>
    </row>
    <row r="821">
      <c r="A821" s="5" t="n">
        <v>1</v>
      </c>
      <c r="B821" s="5" t="n">
        <v>17</v>
      </c>
      <c r="C821" s="5" t="n">
        <v>10</v>
      </c>
      <c r="D821" s="18">
        <f>SEASON_HRS_TOM*B821*(1+DIM_TOM)^B821+SEASON_HRS_CAR*C821*(1+DIM_CAR)^C821</f>
        <v>8117.364899298113</v>
      </c>
      <c r="E821" s="18">
        <f>(FARMER_FIELD_HRS+A821*TEMP_HRS)-D821</f>
        <v>-5957.364899298113</v>
      </c>
      <c r="F821" s="21">
        <f>IF(E821&lt;0,0,MIN(COUNTIF(Labor!$C$59:$C$88,"&lt;="&amp;E821),MAXBED_MES,TOTAL_BEDS-B821-C821))</f>
        <v>0</v>
      </c>
      <c r="G821" s="21">
        <f>B821+C821+F821</f>
        <v>27</v>
      </c>
      <c r="H821" s="22">
        <f>IF(E821&lt;0,-999999999,B821*(PRICE_TOM-FERT_TOM)+C821*(PRICE_CAR-FERT_CAR)+F821*(PRICE_MES-FERT_MES)-(FARMER_SALARY+A821*TEMP_COST)-FIXED_COSTS)</f>
        <v>-999999999</v>
      </c>
    </row>
    <row r="822">
      <c r="A822" s="5" t="n">
        <v>1</v>
      </c>
      <c r="B822" s="5" t="n">
        <v>17</v>
      </c>
      <c r="C822" s="5" t="n">
        <v>11</v>
      </c>
      <c r="D822" s="18">
        <f>SEASON_HRS_TOM*B822*(1+DIM_TOM)^B822+SEASON_HRS_CAR*C822*(1+DIM_CAR)^C822</f>
        <v>8166.328133113624</v>
      </c>
      <c r="E822" s="18">
        <f>(FARMER_FIELD_HRS+A822*TEMP_HRS)-D822</f>
        <v>-6006.328133113624</v>
      </c>
      <c r="F822" s="21">
        <f>IF(E822&lt;0,0,MIN(COUNTIF(Labor!$C$59:$C$88,"&lt;="&amp;E822),MAXBED_MES,TOTAL_BEDS-B822-C822))</f>
        <v>0</v>
      </c>
      <c r="G822" s="21">
        <f>B822+C822+F822</f>
        <v>28</v>
      </c>
      <c r="H822" s="22">
        <f>IF(E822&lt;0,-999999999,B822*(PRICE_TOM-FERT_TOM)+C822*(PRICE_CAR-FERT_CAR)+F822*(PRICE_MES-FERT_MES)-(FARMER_SALARY+A822*TEMP_COST)-FIXED_COSTS)</f>
        <v>-999999999</v>
      </c>
    </row>
    <row r="823">
      <c r="A823" s="5" t="n">
        <v>1</v>
      </c>
      <c r="B823" s="5" t="n">
        <v>17</v>
      </c>
      <c r="C823" s="5" t="n">
        <v>12</v>
      </c>
      <c r="D823" s="18">
        <f>SEASON_HRS_TOM*B823*(1+DIM_TOM)^B823+SEASON_HRS_CAR*C823*(1+DIM_CAR)^C823</f>
        <v>8217.499512767872</v>
      </c>
      <c r="E823" s="18">
        <f>(FARMER_FIELD_HRS+A823*TEMP_HRS)-D823</f>
        <v>-6057.499512767872</v>
      </c>
      <c r="F823" s="21">
        <f>IF(E823&lt;0,0,MIN(COUNTIF(Labor!$C$59:$C$88,"&lt;="&amp;E823),MAXBED_MES,TOTAL_BEDS-B823-C823))</f>
        <v>0</v>
      </c>
      <c r="G823" s="21">
        <f>B823+C823+F823</f>
        <v>29</v>
      </c>
      <c r="H823" s="22">
        <f>IF(E823&lt;0,-999999999,B823*(PRICE_TOM-FERT_TOM)+C823*(PRICE_CAR-FERT_CAR)+F823*(PRICE_MES-FERT_MES)-(FARMER_SALARY+A823*TEMP_COST)-FIXED_COSTS)</f>
        <v>-999999999</v>
      </c>
    </row>
    <row r="824">
      <c r="A824" s="5" t="n">
        <v>1</v>
      </c>
      <c r="B824" s="5" t="n">
        <v>17</v>
      </c>
      <c r="C824" s="5" t="n">
        <v>13</v>
      </c>
      <c r="D824" s="18">
        <f>SEASON_HRS_TOM*B824*(1+DIM_TOM)^B824+SEASON_HRS_CAR*C824*(1+DIM_CAR)^C824</f>
        <v>8270.958843531664</v>
      </c>
      <c r="E824" s="18">
        <f>(FARMER_FIELD_HRS+A824*TEMP_HRS)-D824</f>
        <v>-6110.958843531664</v>
      </c>
      <c r="F824" s="21">
        <f>IF(E824&lt;0,0,MIN(COUNTIF(Labor!$C$59:$C$88,"&lt;="&amp;E824),MAXBED_MES,TOTAL_BEDS-B824-C824))</f>
        <v>0</v>
      </c>
      <c r="G824" s="21">
        <f>B824+C824+F824</f>
        <v>30</v>
      </c>
      <c r="H824" s="22">
        <f>IF(E824&lt;0,-999999999,B824*(PRICE_TOM-FERT_TOM)+C824*(PRICE_CAR-FERT_CAR)+F824*(PRICE_MES-FERT_MES)-(FARMER_SALARY+A824*TEMP_COST)-FIXED_COSTS)</f>
        <v>-999999999</v>
      </c>
    </row>
    <row r="825">
      <c r="A825" s="5" t="n">
        <v>1</v>
      </c>
      <c r="B825" s="5" t="n">
        <v>17</v>
      </c>
      <c r="C825" s="5" t="n">
        <v>14</v>
      </c>
      <c r="D825" s="18">
        <f>SEASON_HRS_TOM*B825*(1+DIM_TOM)^B825+SEASON_HRS_CAR*C825*(1+DIM_CAR)^C825</f>
        <v>8326.788540848187</v>
      </c>
      <c r="E825" s="18">
        <f>(FARMER_FIELD_HRS+A825*TEMP_HRS)-D825</f>
        <v>-6166.788540848187</v>
      </c>
      <c r="F825" s="21">
        <f>IF(E825&lt;0,0,MIN(COUNTIF(Labor!$C$59:$C$88,"&lt;="&amp;E825),MAXBED_MES,TOTAL_BEDS-B825-C825))</f>
        <v>0</v>
      </c>
      <c r="G825" s="21">
        <f>B825+C825+F825</f>
        <v>31</v>
      </c>
      <c r="H825" s="22">
        <f>IF(E825&lt;0,-999999999,B825*(PRICE_TOM-FERT_TOM)+C825*(PRICE_CAR-FERT_CAR)+F825*(PRICE_MES-FERT_MES)-(FARMER_SALARY+A825*TEMP_COST)-FIXED_COSTS)</f>
        <v>-999999999</v>
      </c>
    </row>
    <row r="826">
      <c r="A826" s="5" t="n">
        <v>1</v>
      </c>
      <c r="B826" s="5" t="n">
        <v>17</v>
      </c>
      <c r="C826" s="5" t="n">
        <v>15</v>
      </c>
      <c r="D826" s="18">
        <f>SEASON_HRS_TOM*B826*(1+DIM_TOM)^B826+SEASON_HRS_CAR*C826*(1+DIM_CAR)^C826</f>
        <v>8385.073710963356</v>
      </c>
      <c r="E826" s="18">
        <f>(FARMER_FIELD_HRS+A826*TEMP_HRS)-D826</f>
        <v>-6225.073710963356</v>
      </c>
      <c r="F826" s="21">
        <f>IF(E826&lt;0,0,MIN(COUNTIF(Labor!$C$59:$C$88,"&lt;="&amp;E826),MAXBED_MES,TOTAL_BEDS-B826-C826))</f>
        <v>0</v>
      </c>
      <c r="G826" s="21">
        <f>B826+C826+F826</f>
        <v>32</v>
      </c>
      <c r="H826" s="22">
        <f>IF(E826&lt;0,-999999999,B826*(PRICE_TOM-FERT_TOM)+C826*(PRICE_CAR-FERT_CAR)+F826*(PRICE_MES-FERT_MES)-(FARMER_SALARY+A826*TEMP_COST)-FIXED_COSTS)</f>
        <v>-999999999</v>
      </c>
    </row>
    <row r="827">
      <c r="A827" s="5" t="n">
        <v>1</v>
      </c>
      <c r="B827" s="5" t="n">
        <v>17</v>
      </c>
      <c r="C827" s="5" t="n">
        <v>16</v>
      </c>
      <c r="D827" s="18">
        <f>SEASON_HRS_TOM*B827*(1+DIM_TOM)^B827+SEASON_HRS_CAR*C827*(1+DIM_CAR)^C827</f>
        <v>8445.902233956276</v>
      </c>
      <c r="E827" s="18">
        <f>(FARMER_FIELD_HRS+A827*TEMP_HRS)-D827</f>
        <v>-6285.902233956276</v>
      </c>
      <c r="F827" s="21">
        <f>IF(E827&lt;0,0,MIN(COUNTIF(Labor!$C$59:$C$88,"&lt;="&amp;E827),MAXBED_MES,TOTAL_BEDS-B827-C827))</f>
        <v>0</v>
      </c>
      <c r="G827" s="21">
        <f>B827+C827+F827</f>
        <v>33</v>
      </c>
      <c r="H827" s="22">
        <f>IF(E827&lt;0,-999999999,B827*(PRICE_TOM-FERT_TOM)+C827*(PRICE_CAR-FERT_CAR)+F827*(PRICE_MES-FERT_MES)-(FARMER_SALARY+A827*TEMP_COST)-FIXED_COSTS)</f>
        <v>-999999999</v>
      </c>
    </row>
    <row r="828">
      <c r="A828" s="5" t="n">
        <v>1</v>
      </c>
      <c r="B828" s="5" t="n">
        <v>17</v>
      </c>
      <c r="C828" s="5" t="n">
        <v>17</v>
      </c>
      <c r="D828" s="18">
        <f>SEASON_HRS_TOM*B828*(1+DIM_TOM)^B828+SEASON_HRS_CAR*C828*(1+DIM_CAR)^C828</f>
        <v>8509.364849239515</v>
      </c>
      <c r="E828" s="18">
        <f>(FARMER_FIELD_HRS+A828*TEMP_HRS)-D828</f>
        <v>-6349.364849239515</v>
      </c>
      <c r="F828" s="21">
        <f>IF(E828&lt;0,0,MIN(COUNTIF(Labor!$C$59:$C$88,"&lt;="&amp;E828),MAXBED_MES,TOTAL_BEDS-B828-C828))</f>
        <v>0</v>
      </c>
      <c r="G828" s="21">
        <f>B828+C828+F828</f>
        <v>34</v>
      </c>
      <c r="H828" s="22">
        <f>IF(E828&lt;0,-999999999,B828*(PRICE_TOM-FERT_TOM)+C828*(PRICE_CAR-FERT_CAR)+F828*(PRICE_MES-FERT_MES)-(FARMER_SALARY+A828*TEMP_COST)-FIXED_COSTS)</f>
        <v>-999999999</v>
      </c>
    </row>
    <row r="829">
      <c r="A829" s="5" t="n">
        <v>1</v>
      </c>
      <c r="B829" s="5" t="n">
        <v>17</v>
      </c>
      <c r="C829" s="5" t="n">
        <v>18</v>
      </c>
      <c r="D829" s="18">
        <f>SEASON_HRS_TOM*B829*(1+DIM_TOM)^B829+SEASON_HRS_CAR*C829*(1+DIM_CAR)^C829</f>
        <v>8575.555243600718</v>
      </c>
      <c r="E829" s="18">
        <f>(FARMER_FIELD_HRS+A829*TEMP_HRS)-D829</f>
        <v>-6415.555243600718</v>
      </c>
      <c r="F829" s="21">
        <f>IF(E829&lt;0,0,MIN(COUNTIF(Labor!$C$59:$C$88,"&lt;="&amp;E829),MAXBED_MES,TOTAL_BEDS-B829-C829))</f>
        <v>0</v>
      </c>
      <c r="G829" s="21">
        <f>B829+C829+F829</f>
        <v>35</v>
      </c>
      <c r="H829" s="22">
        <f>IF(E829&lt;0,-999999999,B829*(PRICE_TOM-FERT_TOM)+C829*(PRICE_CAR-FERT_CAR)+F829*(PRICE_MES-FERT_MES)-(FARMER_SALARY+A829*TEMP_COST)-FIXED_COSTS)</f>
        <v>-999999999</v>
      </c>
    </row>
    <row r="830">
      <c r="A830" s="5" t="n">
        <v>1</v>
      </c>
      <c r="B830" s="5" t="n">
        <v>17</v>
      </c>
      <c r="C830" s="5" t="n">
        <v>19</v>
      </c>
      <c r="D830" s="18">
        <f>SEASON_HRS_TOM*B830*(1+DIM_TOM)^B830+SEASON_HRS_CAR*C830*(1+DIM_CAR)^C830</f>
        <v>8644.57014185923</v>
      </c>
      <c r="E830" s="18">
        <f>(FARMER_FIELD_HRS+A830*TEMP_HRS)-D830</f>
        <v>-6484.570141859231</v>
      </c>
      <c r="F830" s="21">
        <f>IF(E830&lt;0,0,MIN(COUNTIF(Labor!$C$59:$C$88,"&lt;="&amp;E830),MAXBED_MES,TOTAL_BEDS-B830-C830))</f>
        <v>0</v>
      </c>
      <c r="G830" s="21">
        <f>B830+C830+F830</f>
        <v>36</v>
      </c>
      <c r="H830" s="22">
        <f>IF(E830&lt;0,-999999999,B830*(PRICE_TOM-FERT_TOM)+C830*(PRICE_CAR-FERT_CAR)+F830*(PRICE_MES-FERT_MES)-(FARMER_SALARY+A830*TEMP_COST)-FIXED_COSTS)</f>
        <v>-999999999</v>
      </c>
    </row>
    <row r="831">
      <c r="A831" s="5" t="n">
        <v>1</v>
      </c>
      <c r="B831" s="5" t="n">
        <v>17</v>
      </c>
      <c r="C831" s="5" t="n">
        <v>20</v>
      </c>
      <c r="D831" s="18">
        <f>SEASON_HRS_TOM*B831*(1+DIM_TOM)^B831+SEASON_HRS_CAR*C831*(1+DIM_CAR)^C831</f>
        <v>8716.509400213443</v>
      </c>
      <c r="E831" s="18">
        <f>(FARMER_FIELD_HRS+A831*TEMP_HRS)-D831</f>
        <v>-6556.509400213443</v>
      </c>
      <c r="F831" s="21">
        <f>IF(E831&lt;0,0,MIN(COUNTIF(Labor!$C$59:$C$88,"&lt;="&amp;E831),MAXBED_MES,TOTAL_BEDS-B831-C831))</f>
        <v>0</v>
      </c>
      <c r="G831" s="21">
        <f>B831+C831+F831</f>
        <v>37</v>
      </c>
      <c r="H831" s="22">
        <f>IF(E831&lt;0,-999999999,B831*(PRICE_TOM-FERT_TOM)+C831*(PRICE_CAR-FERT_CAR)+F831*(PRICE_MES-FERT_MES)-(FARMER_SALARY+A831*TEMP_COST)-FIXED_COSTS)</f>
        <v>-999999999</v>
      </c>
    </row>
    <row r="832">
      <c r="A832" s="5" t="n">
        <v>1</v>
      </c>
      <c r="B832" s="5" t="n">
        <v>18</v>
      </c>
      <c r="C832" s="5" t="n">
        <v>0</v>
      </c>
      <c r="D832" s="18">
        <f>SEASON_HRS_TOM*B832*(1+DIM_TOM)^B832+SEASON_HRS_CAR*C832*(1+DIM_CAR)^C832</f>
        <v>9007.066047857428</v>
      </c>
      <c r="E832" s="18">
        <f>(FARMER_FIELD_HRS+A832*TEMP_HRS)-D832</f>
        <v>-6847.066047857428</v>
      </c>
      <c r="F832" s="21">
        <f>IF(E832&lt;0,0,MIN(COUNTIF(Labor!$C$59:$C$88,"&lt;="&amp;E832),MAXBED_MES,TOTAL_BEDS-B832-C832))</f>
        <v>0</v>
      </c>
      <c r="G832" s="21">
        <f>B832+C832+F832</f>
        <v>18</v>
      </c>
      <c r="H832" s="22">
        <f>IF(E832&lt;0,-999999999,B832*(PRICE_TOM-FERT_TOM)+C832*(PRICE_CAR-FERT_CAR)+F832*(PRICE_MES-FERT_MES)-(FARMER_SALARY+A832*TEMP_COST)-FIXED_COSTS)</f>
        <v>-999999999</v>
      </c>
    </row>
    <row r="833">
      <c r="A833" s="5" t="n">
        <v>1</v>
      </c>
      <c r="B833" s="5" t="n">
        <v>18</v>
      </c>
      <c r="C833" s="5" t="n">
        <v>1</v>
      </c>
      <c r="D833" s="18">
        <f>SEASON_HRS_TOM*B833*(1+DIM_TOM)^B833+SEASON_HRS_CAR*C833*(1+DIM_CAR)^C833</f>
        <v>9037.816047857428</v>
      </c>
      <c r="E833" s="18">
        <f>(FARMER_FIELD_HRS+A833*TEMP_HRS)-D833</f>
        <v>-6877.816047857428</v>
      </c>
      <c r="F833" s="21">
        <f>IF(E833&lt;0,0,MIN(COUNTIF(Labor!$C$59:$C$88,"&lt;="&amp;E833),MAXBED_MES,TOTAL_BEDS-B833-C833))</f>
        <v>0</v>
      </c>
      <c r="G833" s="21">
        <f>B833+C833+F833</f>
        <v>19</v>
      </c>
      <c r="H833" s="22">
        <f>IF(E833&lt;0,-999999999,B833*(PRICE_TOM-FERT_TOM)+C833*(PRICE_CAR-FERT_CAR)+F833*(PRICE_MES-FERT_MES)-(FARMER_SALARY+A833*TEMP_COST)-FIXED_COSTS)</f>
        <v>-999999999</v>
      </c>
    </row>
    <row r="834">
      <c r="A834" s="5" t="n">
        <v>1</v>
      </c>
      <c r="B834" s="5" t="n">
        <v>18</v>
      </c>
      <c r="C834" s="5" t="n">
        <v>2</v>
      </c>
      <c r="D834" s="18">
        <f>SEASON_HRS_TOM*B834*(1+DIM_TOM)^B834+SEASON_HRS_CAR*C834*(1+DIM_CAR)^C834</f>
        <v>9070.103547857429</v>
      </c>
      <c r="E834" s="18">
        <f>(FARMER_FIELD_HRS+A834*TEMP_HRS)-D834</f>
        <v>-6910.103547857429</v>
      </c>
      <c r="F834" s="21">
        <f>IF(E834&lt;0,0,MIN(COUNTIF(Labor!$C$59:$C$88,"&lt;="&amp;E834),MAXBED_MES,TOTAL_BEDS-B834-C834))</f>
        <v>0</v>
      </c>
      <c r="G834" s="21">
        <f>B834+C834+F834</f>
        <v>20</v>
      </c>
      <c r="H834" s="22">
        <f>IF(E834&lt;0,-999999999,B834*(PRICE_TOM-FERT_TOM)+C834*(PRICE_CAR-FERT_CAR)+F834*(PRICE_MES-FERT_MES)-(FARMER_SALARY+A834*TEMP_COST)-FIXED_COSTS)</f>
        <v>-999999999</v>
      </c>
    </row>
    <row r="835">
      <c r="A835" s="5" t="n">
        <v>1</v>
      </c>
      <c r="B835" s="5" t="n">
        <v>18</v>
      </c>
      <c r="C835" s="5" t="n">
        <v>3</v>
      </c>
      <c r="D835" s="18">
        <f>SEASON_HRS_TOM*B835*(1+DIM_TOM)^B835+SEASON_HRS_CAR*C835*(1+DIM_CAR)^C835</f>
        <v>9103.986204107428</v>
      </c>
      <c r="E835" s="18">
        <f>(FARMER_FIELD_HRS+A835*TEMP_HRS)-D835</f>
        <v>-6943.986204107428</v>
      </c>
      <c r="F835" s="21">
        <f>IF(E835&lt;0,0,MIN(COUNTIF(Labor!$C$59:$C$88,"&lt;="&amp;E835),MAXBED_MES,TOTAL_BEDS-B835-C835))</f>
        <v>0</v>
      </c>
      <c r="G835" s="21">
        <f>B835+C835+F835</f>
        <v>21</v>
      </c>
      <c r="H835" s="22">
        <f>IF(E835&lt;0,-999999999,B835*(PRICE_TOM-FERT_TOM)+C835*(PRICE_CAR-FERT_CAR)+F835*(PRICE_MES-FERT_MES)-(FARMER_SALARY+A835*TEMP_COST)-FIXED_COSTS)</f>
        <v>-999999999</v>
      </c>
    </row>
    <row r="836">
      <c r="A836" s="5" t="n">
        <v>1</v>
      </c>
      <c r="B836" s="5" t="n">
        <v>18</v>
      </c>
      <c r="C836" s="5" t="n">
        <v>4</v>
      </c>
      <c r="D836" s="18">
        <f>SEASON_HRS_TOM*B836*(1+DIM_TOM)^B836+SEASON_HRS_CAR*C836*(1+DIM_CAR)^C836</f>
        <v>9139.523594732429</v>
      </c>
      <c r="E836" s="18">
        <f>(FARMER_FIELD_HRS+A836*TEMP_HRS)-D836</f>
        <v>-6979.523594732429</v>
      </c>
      <c r="F836" s="21">
        <f>IF(E836&lt;0,0,MIN(COUNTIF(Labor!$C$59:$C$88,"&lt;="&amp;E836),MAXBED_MES,TOTAL_BEDS-B836-C836))</f>
        <v>0</v>
      </c>
      <c r="G836" s="21">
        <f>B836+C836+F836</f>
        <v>22</v>
      </c>
      <c r="H836" s="22">
        <f>IF(E836&lt;0,-999999999,B836*(PRICE_TOM-FERT_TOM)+C836*(PRICE_CAR-FERT_CAR)+F836*(PRICE_MES-FERT_MES)-(FARMER_SALARY+A836*TEMP_COST)-FIXED_COSTS)</f>
        <v>-999999999</v>
      </c>
    </row>
    <row r="837">
      <c r="A837" s="5" t="n">
        <v>1</v>
      </c>
      <c r="B837" s="5" t="n">
        <v>18</v>
      </c>
      <c r="C837" s="5" t="n">
        <v>5</v>
      </c>
      <c r="D837" s="18">
        <f>SEASON_HRS_TOM*B837*(1+DIM_TOM)^B837+SEASON_HRS_CAR*C837*(1+DIM_CAR)^C837</f>
        <v>9176.777279791022</v>
      </c>
      <c r="E837" s="18">
        <f>(FARMER_FIELD_HRS+A837*TEMP_HRS)-D837</f>
        <v>-7016.777279791022</v>
      </c>
      <c r="F837" s="21">
        <f>IF(E837&lt;0,0,MIN(COUNTIF(Labor!$C$59:$C$88,"&lt;="&amp;E837),MAXBED_MES,TOTAL_BEDS-B837-C837))</f>
        <v>0</v>
      </c>
      <c r="G837" s="21">
        <f>B837+C837+F837</f>
        <v>23</v>
      </c>
      <c r="H837" s="22">
        <f>IF(E837&lt;0,-999999999,B837*(PRICE_TOM-FERT_TOM)+C837*(PRICE_CAR-FERT_CAR)+F837*(PRICE_MES-FERT_MES)-(FARMER_SALARY+A837*TEMP_COST)-FIXED_COSTS)</f>
        <v>-999999999</v>
      </c>
    </row>
    <row r="838">
      <c r="A838" s="5" t="n">
        <v>1</v>
      </c>
      <c r="B838" s="5" t="n">
        <v>18</v>
      </c>
      <c r="C838" s="5" t="n">
        <v>6</v>
      </c>
      <c r="D838" s="18">
        <f>SEASON_HRS_TOM*B838*(1+DIM_TOM)^B838+SEASON_HRS_CAR*C838*(1+DIM_CAR)^C838</f>
        <v>9215.810863135748</v>
      </c>
      <c r="E838" s="18">
        <f>(FARMER_FIELD_HRS+A838*TEMP_HRS)-D838</f>
        <v>-7055.810863135748</v>
      </c>
      <c r="F838" s="21">
        <f>IF(E838&lt;0,0,MIN(COUNTIF(Labor!$C$59:$C$88,"&lt;="&amp;E838),MAXBED_MES,TOTAL_BEDS-B838-C838))</f>
        <v>0</v>
      </c>
      <c r="G838" s="21">
        <f>B838+C838+F838</f>
        <v>24</v>
      </c>
      <c r="H838" s="22">
        <f>IF(E838&lt;0,-999999999,B838*(PRICE_TOM-FERT_TOM)+C838*(PRICE_CAR-FERT_CAR)+F838*(PRICE_MES-FERT_MES)-(FARMER_SALARY+A838*TEMP_COST)-FIXED_COSTS)</f>
        <v>-999999999</v>
      </c>
    </row>
    <row r="839">
      <c r="A839" s="5" t="n">
        <v>1</v>
      </c>
      <c r="B839" s="5" t="n">
        <v>18</v>
      </c>
      <c r="C839" s="5" t="n">
        <v>7</v>
      </c>
      <c r="D839" s="18">
        <f>SEASON_HRS_TOM*B839*(1+DIM_TOM)^B839+SEASON_HRS_CAR*C839*(1+DIM_CAR)^C839</f>
        <v>9256.690056127753</v>
      </c>
      <c r="E839" s="18">
        <f>(FARMER_FIELD_HRS+A839*TEMP_HRS)-D839</f>
        <v>-7096.6900561277525</v>
      </c>
      <c r="F839" s="21">
        <f>IF(E839&lt;0,0,MIN(COUNTIF(Labor!$C$59:$C$88,"&lt;="&amp;E839),MAXBED_MES,TOTAL_BEDS-B839-C839))</f>
        <v>0</v>
      </c>
      <c r="G839" s="21">
        <f>B839+C839+F839</f>
        <v>25</v>
      </c>
      <c r="H839" s="22">
        <f>IF(E839&lt;0,-999999999,B839*(PRICE_TOM-FERT_TOM)+C839*(PRICE_CAR-FERT_CAR)+F839*(PRICE_MES-FERT_MES)-(FARMER_SALARY+A839*TEMP_COST)-FIXED_COSTS)</f>
        <v>-999999999</v>
      </c>
    </row>
    <row r="840">
      <c r="A840" s="5" t="n">
        <v>1</v>
      </c>
      <c r="B840" s="5" t="n">
        <v>18</v>
      </c>
      <c r="C840" s="5" t="n">
        <v>8</v>
      </c>
      <c r="D840" s="18">
        <f>SEASON_HRS_TOM*B840*(1+DIM_TOM)^B840+SEASON_HRS_CAR*C840*(1+DIM_CAR)^C840</f>
        <v>9299.482743259809</v>
      </c>
      <c r="E840" s="18">
        <f>(FARMER_FIELD_HRS+A840*TEMP_HRS)-D840</f>
        <v>-7139.482743259809</v>
      </c>
      <c r="F840" s="21">
        <f>IF(E840&lt;0,0,MIN(COUNTIF(Labor!$C$59:$C$88,"&lt;="&amp;E840),MAXBED_MES,TOTAL_BEDS-B840-C840))</f>
        <v>0</v>
      </c>
      <c r="G840" s="21">
        <f>B840+C840+F840</f>
        <v>26</v>
      </c>
      <c r="H840" s="22">
        <f>IF(E840&lt;0,-999999999,B840*(PRICE_TOM-FERT_TOM)+C840*(PRICE_CAR-FERT_CAR)+F840*(PRICE_MES-FERT_MES)-(FARMER_SALARY+A840*TEMP_COST)-FIXED_COSTS)</f>
        <v>-999999999</v>
      </c>
    </row>
    <row r="841">
      <c r="A841" s="5" t="n">
        <v>1</v>
      </c>
      <c r="B841" s="5" t="n">
        <v>18</v>
      </c>
      <c r="C841" s="5" t="n">
        <v>9</v>
      </c>
      <c r="D841" s="18">
        <f>SEASON_HRS_TOM*B841*(1+DIM_TOM)^B841+SEASON_HRS_CAR*C841*(1+DIM_CAR)^C841</f>
        <v>9344.259049743298</v>
      </c>
      <c r="E841" s="18">
        <f>(FARMER_FIELD_HRS+A841*TEMP_HRS)-D841</f>
        <v>-7184.2590497432975</v>
      </c>
      <c r="F841" s="21">
        <f>IF(E841&lt;0,0,MIN(COUNTIF(Labor!$C$59:$C$88,"&lt;="&amp;E841),MAXBED_MES,TOTAL_BEDS-B841-C841))</f>
        <v>0</v>
      </c>
      <c r="G841" s="21">
        <f>B841+C841+F841</f>
        <v>27</v>
      </c>
      <c r="H841" s="22">
        <f>IF(E841&lt;0,-999999999,B841*(PRICE_TOM-FERT_TOM)+C841*(PRICE_CAR-FERT_CAR)+F841*(PRICE_MES-FERT_MES)-(FARMER_SALARY+A841*TEMP_COST)-FIXED_COSTS)</f>
        <v>-999999999</v>
      </c>
    </row>
    <row r="842">
      <c r="A842" s="5" t="n">
        <v>1</v>
      </c>
      <c r="B842" s="5" t="n">
        <v>18</v>
      </c>
      <c r="C842" s="5" t="n">
        <v>10</v>
      </c>
      <c r="D842" s="18">
        <f>SEASON_HRS_TOM*B842*(1+DIM_TOM)^B842+SEASON_HRS_CAR*C842*(1+DIM_CAR)^C842</f>
        <v>9391.091411116335</v>
      </c>
      <c r="E842" s="18">
        <f>(FARMER_FIELD_HRS+A842*TEMP_HRS)-D842</f>
        <v>-7231.091411116335</v>
      </c>
      <c r="F842" s="21">
        <f>IF(E842&lt;0,0,MIN(COUNTIF(Labor!$C$59:$C$88,"&lt;="&amp;E842),MAXBED_MES,TOTAL_BEDS-B842-C842))</f>
        <v>0</v>
      </c>
      <c r="G842" s="21">
        <f>B842+C842+F842</f>
        <v>28</v>
      </c>
      <c r="H842" s="22">
        <f>IF(E842&lt;0,-999999999,B842*(PRICE_TOM-FERT_TOM)+C842*(PRICE_CAR-FERT_CAR)+F842*(PRICE_MES-FERT_MES)-(FARMER_SALARY+A842*TEMP_COST)-FIXED_COSTS)</f>
        <v>-999999999</v>
      </c>
    </row>
    <row r="843">
      <c r="A843" s="5" t="n">
        <v>1</v>
      </c>
      <c r="B843" s="5" t="n">
        <v>18</v>
      </c>
      <c r="C843" s="5" t="n">
        <v>11</v>
      </c>
      <c r="D843" s="18">
        <f>SEASON_HRS_TOM*B843*(1+DIM_TOM)^B843+SEASON_HRS_CAR*C843*(1+DIM_CAR)^C843</f>
        <v>9440.054644931846</v>
      </c>
      <c r="E843" s="18">
        <f>(FARMER_FIELD_HRS+A843*TEMP_HRS)-D843</f>
        <v>-7280.054644931846</v>
      </c>
      <c r="F843" s="21">
        <f>IF(E843&lt;0,0,MIN(COUNTIF(Labor!$C$59:$C$88,"&lt;="&amp;E843),MAXBED_MES,TOTAL_BEDS-B843-C843))</f>
        <v>0</v>
      </c>
      <c r="G843" s="21">
        <f>B843+C843+F843</f>
        <v>29</v>
      </c>
      <c r="H843" s="22">
        <f>IF(E843&lt;0,-999999999,B843*(PRICE_TOM-FERT_TOM)+C843*(PRICE_CAR-FERT_CAR)+F843*(PRICE_MES-FERT_MES)-(FARMER_SALARY+A843*TEMP_COST)-FIXED_COSTS)</f>
        <v>-999999999</v>
      </c>
    </row>
    <row r="844">
      <c r="A844" s="5" t="n">
        <v>1</v>
      </c>
      <c r="B844" s="5" t="n">
        <v>18</v>
      </c>
      <c r="C844" s="5" t="n">
        <v>12</v>
      </c>
      <c r="D844" s="18">
        <f>SEASON_HRS_TOM*B844*(1+DIM_TOM)^B844+SEASON_HRS_CAR*C844*(1+DIM_CAR)^C844</f>
        <v>9491.226024586094</v>
      </c>
      <c r="E844" s="18">
        <f>(FARMER_FIELD_HRS+A844*TEMP_HRS)-D844</f>
        <v>-7331.226024586094</v>
      </c>
      <c r="F844" s="21">
        <f>IF(E844&lt;0,0,MIN(COUNTIF(Labor!$C$59:$C$88,"&lt;="&amp;E844),MAXBED_MES,TOTAL_BEDS-B844-C844))</f>
        <v>0</v>
      </c>
      <c r="G844" s="21">
        <f>B844+C844+F844</f>
        <v>30</v>
      </c>
      <c r="H844" s="22">
        <f>IF(E844&lt;0,-999999999,B844*(PRICE_TOM-FERT_TOM)+C844*(PRICE_CAR-FERT_CAR)+F844*(PRICE_MES-FERT_MES)-(FARMER_SALARY+A844*TEMP_COST)-FIXED_COSTS)</f>
        <v>-999999999</v>
      </c>
    </row>
    <row r="845">
      <c r="A845" s="5" t="n">
        <v>1</v>
      </c>
      <c r="B845" s="5" t="n">
        <v>18</v>
      </c>
      <c r="C845" s="5" t="n">
        <v>13</v>
      </c>
      <c r="D845" s="18">
        <f>SEASON_HRS_TOM*B845*(1+DIM_TOM)^B845+SEASON_HRS_CAR*C845*(1+DIM_CAR)^C845</f>
        <v>9544.685355349886</v>
      </c>
      <c r="E845" s="18">
        <f>(FARMER_FIELD_HRS+A845*TEMP_HRS)-D845</f>
        <v>-7384.685355349886</v>
      </c>
      <c r="F845" s="21">
        <f>IF(E845&lt;0,0,MIN(COUNTIF(Labor!$C$59:$C$88,"&lt;="&amp;E845),MAXBED_MES,TOTAL_BEDS-B845-C845))</f>
        <v>0</v>
      </c>
      <c r="G845" s="21">
        <f>B845+C845+F845</f>
        <v>31</v>
      </c>
      <c r="H845" s="22">
        <f>IF(E845&lt;0,-999999999,B845*(PRICE_TOM-FERT_TOM)+C845*(PRICE_CAR-FERT_CAR)+F845*(PRICE_MES-FERT_MES)-(FARMER_SALARY+A845*TEMP_COST)-FIXED_COSTS)</f>
        <v>-999999999</v>
      </c>
    </row>
    <row r="846">
      <c r="A846" s="5" t="n">
        <v>1</v>
      </c>
      <c r="B846" s="5" t="n">
        <v>18</v>
      </c>
      <c r="C846" s="5" t="n">
        <v>14</v>
      </c>
      <c r="D846" s="18">
        <f>SEASON_HRS_TOM*B846*(1+DIM_TOM)^B846+SEASON_HRS_CAR*C846*(1+DIM_CAR)^C846</f>
        <v>9600.51505266641</v>
      </c>
      <c r="E846" s="18">
        <f>(FARMER_FIELD_HRS+A846*TEMP_HRS)-D846</f>
        <v>-7440.515052666409</v>
      </c>
      <c r="F846" s="21">
        <f>IF(E846&lt;0,0,MIN(COUNTIF(Labor!$C$59:$C$88,"&lt;="&amp;E846),MAXBED_MES,TOTAL_BEDS-B846-C846))</f>
        <v>0</v>
      </c>
      <c r="G846" s="21">
        <f>B846+C846+F846</f>
        <v>32</v>
      </c>
      <c r="H846" s="22">
        <f>IF(E846&lt;0,-999999999,B846*(PRICE_TOM-FERT_TOM)+C846*(PRICE_CAR-FERT_CAR)+F846*(PRICE_MES-FERT_MES)-(FARMER_SALARY+A846*TEMP_COST)-FIXED_COSTS)</f>
        <v>-999999999</v>
      </c>
    </row>
    <row r="847">
      <c r="A847" s="5" t="n">
        <v>1</v>
      </c>
      <c r="B847" s="5" t="n">
        <v>18</v>
      </c>
      <c r="C847" s="5" t="n">
        <v>15</v>
      </c>
      <c r="D847" s="18">
        <f>SEASON_HRS_TOM*B847*(1+DIM_TOM)^B847+SEASON_HRS_CAR*C847*(1+DIM_CAR)^C847</f>
        <v>9658.800222781578</v>
      </c>
      <c r="E847" s="18">
        <f>(FARMER_FIELD_HRS+A847*TEMP_HRS)-D847</f>
        <v>-7498.800222781578</v>
      </c>
      <c r="F847" s="21">
        <f>IF(E847&lt;0,0,MIN(COUNTIF(Labor!$C$59:$C$88,"&lt;="&amp;E847),MAXBED_MES,TOTAL_BEDS-B847-C847))</f>
        <v>0</v>
      </c>
      <c r="G847" s="21">
        <f>B847+C847+F847</f>
        <v>33</v>
      </c>
      <c r="H847" s="22">
        <f>IF(E847&lt;0,-999999999,B847*(PRICE_TOM-FERT_TOM)+C847*(PRICE_CAR-FERT_CAR)+F847*(PRICE_MES-FERT_MES)-(FARMER_SALARY+A847*TEMP_COST)-FIXED_COSTS)</f>
        <v>-999999999</v>
      </c>
    </row>
    <row r="848">
      <c r="A848" s="5" t="n">
        <v>1</v>
      </c>
      <c r="B848" s="5" t="n">
        <v>18</v>
      </c>
      <c r="C848" s="5" t="n">
        <v>16</v>
      </c>
      <c r="D848" s="18">
        <f>SEASON_HRS_TOM*B848*(1+DIM_TOM)^B848+SEASON_HRS_CAR*C848*(1+DIM_CAR)^C848</f>
        <v>9719.628745774498</v>
      </c>
      <c r="E848" s="18">
        <f>(FARMER_FIELD_HRS+A848*TEMP_HRS)-D848</f>
        <v>-7559.628745774498</v>
      </c>
      <c r="F848" s="21">
        <f>IF(E848&lt;0,0,MIN(COUNTIF(Labor!$C$59:$C$88,"&lt;="&amp;E848),MAXBED_MES,TOTAL_BEDS-B848-C848))</f>
        <v>0</v>
      </c>
      <c r="G848" s="21">
        <f>B848+C848+F848</f>
        <v>34</v>
      </c>
      <c r="H848" s="22">
        <f>IF(E848&lt;0,-999999999,B848*(PRICE_TOM-FERT_TOM)+C848*(PRICE_CAR-FERT_CAR)+F848*(PRICE_MES-FERT_MES)-(FARMER_SALARY+A848*TEMP_COST)-FIXED_COSTS)</f>
        <v>-999999999</v>
      </c>
    </row>
    <row r="849">
      <c r="A849" s="5" t="n">
        <v>1</v>
      </c>
      <c r="B849" s="5" t="n">
        <v>18</v>
      </c>
      <c r="C849" s="5" t="n">
        <v>17</v>
      </c>
      <c r="D849" s="18">
        <f>SEASON_HRS_TOM*B849*(1+DIM_TOM)^B849+SEASON_HRS_CAR*C849*(1+DIM_CAR)^C849</f>
        <v>9783.091361057737</v>
      </c>
      <c r="E849" s="18">
        <f>(FARMER_FIELD_HRS+A849*TEMP_HRS)-D849</f>
        <v>-7623.091361057737</v>
      </c>
      <c r="F849" s="21">
        <f>IF(E849&lt;0,0,MIN(COUNTIF(Labor!$C$59:$C$88,"&lt;="&amp;E849),MAXBED_MES,TOTAL_BEDS-B849-C849))</f>
        <v>0</v>
      </c>
      <c r="G849" s="21">
        <f>B849+C849+F849</f>
        <v>35</v>
      </c>
      <c r="H849" s="22">
        <f>IF(E849&lt;0,-999999999,B849*(PRICE_TOM-FERT_TOM)+C849*(PRICE_CAR-FERT_CAR)+F849*(PRICE_MES-FERT_MES)-(FARMER_SALARY+A849*TEMP_COST)-FIXED_COSTS)</f>
        <v>-999999999</v>
      </c>
    </row>
    <row r="850">
      <c r="A850" s="5" t="n">
        <v>1</v>
      </c>
      <c r="B850" s="5" t="n">
        <v>18</v>
      </c>
      <c r="C850" s="5" t="n">
        <v>18</v>
      </c>
      <c r="D850" s="18">
        <f>SEASON_HRS_TOM*B850*(1+DIM_TOM)^B850+SEASON_HRS_CAR*C850*(1+DIM_CAR)^C850</f>
        <v>9849.28175541894</v>
      </c>
      <c r="E850" s="18">
        <f>(FARMER_FIELD_HRS+A850*TEMP_HRS)-D850</f>
        <v>-7689.2817554189405</v>
      </c>
      <c r="F850" s="21">
        <f>IF(E850&lt;0,0,MIN(COUNTIF(Labor!$C$59:$C$88,"&lt;="&amp;E850),MAXBED_MES,TOTAL_BEDS-B850-C850))</f>
        <v>0</v>
      </c>
      <c r="G850" s="21">
        <f>B850+C850+F850</f>
        <v>36</v>
      </c>
      <c r="H850" s="22">
        <f>IF(E850&lt;0,-999999999,B850*(PRICE_TOM-FERT_TOM)+C850*(PRICE_CAR-FERT_CAR)+F850*(PRICE_MES-FERT_MES)-(FARMER_SALARY+A850*TEMP_COST)-FIXED_COSTS)</f>
        <v>-999999999</v>
      </c>
    </row>
    <row r="851">
      <c r="A851" s="5" t="n">
        <v>1</v>
      </c>
      <c r="B851" s="5" t="n">
        <v>18</v>
      </c>
      <c r="C851" s="5" t="n">
        <v>19</v>
      </c>
      <c r="D851" s="18">
        <f>SEASON_HRS_TOM*B851*(1+DIM_TOM)^B851+SEASON_HRS_CAR*C851*(1+DIM_CAR)^C851</f>
        <v>9918.296653677453</v>
      </c>
      <c r="E851" s="18">
        <f>(FARMER_FIELD_HRS+A851*TEMP_HRS)-D851</f>
        <v>-7758.296653677453</v>
      </c>
      <c r="F851" s="21">
        <f>IF(E851&lt;0,0,MIN(COUNTIF(Labor!$C$59:$C$88,"&lt;="&amp;E851),MAXBED_MES,TOTAL_BEDS-B851-C851))</f>
        <v>0</v>
      </c>
      <c r="G851" s="21">
        <f>B851+C851+F851</f>
        <v>37</v>
      </c>
      <c r="H851" s="22">
        <f>IF(E851&lt;0,-999999999,B851*(PRICE_TOM-FERT_TOM)+C851*(PRICE_CAR-FERT_CAR)+F851*(PRICE_MES-FERT_MES)-(FARMER_SALARY+A851*TEMP_COST)-FIXED_COSTS)</f>
        <v>-999999999</v>
      </c>
    </row>
    <row r="852">
      <c r="A852" s="5" t="n">
        <v>1</v>
      </c>
      <c r="B852" s="5" t="n">
        <v>18</v>
      </c>
      <c r="C852" s="5" t="n">
        <v>20</v>
      </c>
      <c r="D852" s="18">
        <f>SEASON_HRS_TOM*B852*(1+DIM_TOM)^B852+SEASON_HRS_CAR*C852*(1+DIM_CAR)^C852</f>
        <v>9990.235912031665</v>
      </c>
      <c r="E852" s="18">
        <f>(FARMER_FIELD_HRS+A852*TEMP_HRS)-D852</f>
        <v>-7830.235912031665</v>
      </c>
      <c r="F852" s="21">
        <f>IF(E852&lt;0,0,MIN(COUNTIF(Labor!$C$59:$C$88,"&lt;="&amp;E852),MAXBED_MES,TOTAL_BEDS-B852-C852))</f>
        <v>0</v>
      </c>
      <c r="G852" s="21">
        <f>B852+C852+F852</f>
        <v>38</v>
      </c>
      <c r="H852" s="22">
        <f>IF(E852&lt;0,-999999999,B852*(PRICE_TOM-FERT_TOM)+C852*(PRICE_CAR-FERT_CAR)+F852*(PRICE_MES-FERT_MES)-(FARMER_SALARY+A852*TEMP_COST)-FIXED_COSTS)</f>
        <v>-999999999</v>
      </c>
    </row>
    <row r="853">
      <c r="A853" s="5" t="n">
        <v>1</v>
      </c>
      <c r="B853" s="5" t="n">
        <v>19</v>
      </c>
      <c r="C853" s="5" t="n">
        <v>0</v>
      </c>
      <c r="D853" s="18">
        <f>SEASON_HRS_TOM*B853*(1+DIM_TOM)^B853+SEASON_HRS_CAR*C853*(1+DIM_CAR)^C853</f>
        <v>10458.204466678904</v>
      </c>
      <c r="E853" s="18">
        <f>(FARMER_FIELD_HRS+A853*TEMP_HRS)-D853</f>
        <v>-8298.204466678904</v>
      </c>
      <c r="F853" s="21">
        <f>IF(E853&lt;0,0,MIN(COUNTIF(Labor!$C$59:$C$88,"&lt;="&amp;E853),MAXBED_MES,TOTAL_BEDS-B853-C853))</f>
        <v>0</v>
      </c>
      <c r="G853" s="21">
        <f>B853+C853+F853</f>
        <v>19</v>
      </c>
      <c r="H853" s="22">
        <f>IF(E853&lt;0,-999999999,B853*(PRICE_TOM-FERT_TOM)+C853*(PRICE_CAR-FERT_CAR)+F853*(PRICE_MES-FERT_MES)-(FARMER_SALARY+A853*TEMP_COST)-FIXED_COSTS)</f>
        <v>-999999999</v>
      </c>
    </row>
    <row r="854">
      <c r="A854" s="5" t="n">
        <v>1</v>
      </c>
      <c r="B854" s="5" t="n">
        <v>19</v>
      </c>
      <c r="C854" s="5" t="n">
        <v>1</v>
      </c>
      <c r="D854" s="18">
        <f>SEASON_HRS_TOM*B854*(1+DIM_TOM)^B854+SEASON_HRS_CAR*C854*(1+DIM_CAR)^C854</f>
        <v>10488.954466678904</v>
      </c>
      <c r="E854" s="18">
        <f>(FARMER_FIELD_HRS+A854*TEMP_HRS)-D854</f>
        <v>-8328.954466678904</v>
      </c>
      <c r="F854" s="21">
        <f>IF(E854&lt;0,0,MIN(COUNTIF(Labor!$C$59:$C$88,"&lt;="&amp;E854),MAXBED_MES,TOTAL_BEDS-B854-C854))</f>
        <v>0</v>
      </c>
      <c r="G854" s="21">
        <f>B854+C854+F854</f>
        <v>20</v>
      </c>
      <c r="H854" s="22">
        <f>IF(E854&lt;0,-999999999,B854*(PRICE_TOM-FERT_TOM)+C854*(PRICE_CAR-FERT_CAR)+F854*(PRICE_MES-FERT_MES)-(FARMER_SALARY+A854*TEMP_COST)-FIXED_COSTS)</f>
        <v>-999999999</v>
      </c>
    </row>
    <row r="855">
      <c r="A855" s="5" t="n">
        <v>1</v>
      </c>
      <c r="B855" s="5" t="n">
        <v>19</v>
      </c>
      <c r="C855" s="5" t="n">
        <v>2</v>
      </c>
      <c r="D855" s="18">
        <f>SEASON_HRS_TOM*B855*(1+DIM_TOM)^B855+SEASON_HRS_CAR*C855*(1+DIM_CAR)^C855</f>
        <v>10521.241966678905</v>
      </c>
      <c r="E855" s="18">
        <f>(FARMER_FIELD_HRS+A855*TEMP_HRS)-D855</f>
        <v>-8361.241966678905</v>
      </c>
      <c r="F855" s="21">
        <f>IF(E855&lt;0,0,MIN(COUNTIF(Labor!$C$59:$C$88,"&lt;="&amp;E855),MAXBED_MES,TOTAL_BEDS-B855-C855))</f>
        <v>0</v>
      </c>
      <c r="G855" s="21">
        <f>B855+C855+F855</f>
        <v>21</v>
      </c>
      <c r="H855" s="22">
        <f>IF(E855&lt;0,-999999999,B855*(PRICE_TOM-FERT_TOM)+C855*(PRICE_CAR-FERT_CAR)+F855*(PRICE_MES-FERT_MES)-(FARMER_SALARY+A855*TEMP_COST)-FIXED_COSTS)</f>
        <v>-999999999</v>
      </c>
    </row>
    <row r="856">
      <c r="A856" s="5" t="n">
        <v>1</v>
      </c>
      <c r="B856" s="5" t="n">
        <v>19</v>
      </c>
      <c r="C856" s="5" t="n">
        <v>3</v>
      </c>
      <c r="D856" s="18">
        <f>SEASON_HRS_TOM*B856*(1+DIM_TOM)^B856+SEASON_HRS_CAR*C856*(1+DIM_CAR)^C856</f>
        <v>10555.124622928905</v>
      </c>
      <c r="E856" s="18">
        <f>(FARMER_FIELD_HRS+A856*TEMP_HRS)-D856</f>
        <v>-8395.124622928905</v>
      </c>
      <c r="F856" s="21">
        <f>IF(E856&lt;0,0,MIN(COUNTIF(Labor!$C$59:$C$88,"&lt;="&amp;E856),MAXBED_MES,TOTAL_BEDS-B856-C856))</f>
        <v>0</v>
      </c>
      <c r="G856" s="21">
        <f>B856+C856+F856</f>
        <v>22</v>
      </c>
      <c r="H856" s="22">
        <f>IF(E856&lt;0,-999999999,B856*(PRICE_TOM-FERT_TOM)+C856*(PRICE_CAR-FERT_CAR)+F856*(PRICE_MES-FERT_MES)-(FARMER_SALARY+A856*TEMP_COST)-FIXED_COSTS)</f>
        <v>-999999999</v>
      </c>
    </row>
    <row r="857">
      <c r="A857" s="5" t="n">
        <v>1</v>
      </c>
      <c r="B857" s="5" t="n">
        <v>19</v>
      </c>
      <c r="C857" s="5" t="n">
        <v>4</v>
      </c>
      <c r="D857" s="18">
        <f>SEASON_HRS_TOM*B857*(1+DIM_TOM)^B857+SEASON_HRS_CAR*C857*(1+DIM_CAR)^C857</f>
        <v>10590.662013553905</v>
      </c>
      <c r="E857" s="18">
        <f>(FARMER_FIELD_HRS+A857*TEMP_HRS)-D857</f>
        <v>-8430.662013553905</v>
      </c>
      <c r="F857" s="21">
        <f>IF(E857&lt;0,0,MIN(COUNTIF(Labor!$C$59:$C$88,"&lt;="&amp;E857),MAXBED_MES,TOTAL_BEDS-B857-C857))</f>
        <v>0</v>
      </c>
      <c r="G857" s="21">
        <f>B857+C857+F857</f>
        <v>23</v>
      </c>
      <c r="H857" s="22">
        <f>IF(E857&lt;0,-999999999,B857*(PRICE_TOM-FERT_TOM)+C857*(PRICE_CAR-FERT_CAR)+F857*(PRICE_MES-FERT_MES)-(FARMER_SALARY+A857*TEMP_COST)-FIXED_COSTS)</f>
        <v>-999999999</v>
      </c>
    </row>
    <row r="858">
      <c r="A858" s="5" t="n">
        <v>1</v>
      </c>
      <c r="B858" s="5" t="n">
        <v>19</v>
      </c>
      <c r="C858" s="5" t="n">
        <v>5</v>
      </c>
      <c r="D858" s="18">
        <f>SEASON_HRS_TOM*B858*(1+DIM_TOM)^B858+SEASON_HRS_CAR*C858*(1+DIM_CAR)^C858</f>
        <v>10627.915698612498</v>
      </c>
      <c r="E858" s="18">
        <f>(FARMER_FIELD_HRS+A858*TEMP_HRS)-D858</f>
        <v>-8467.915698612498</v>
      </c>
      <c r="F858" s="21">
        <f>IF(E858&lt;0,0,MIN(COUNTIF(Labor!$C$59:$C$88,"&lt;="&amp;E858),MAXBED_MES,TOTAL_BEDS-B858-C858))</f>
        <v>0</v>
      </c>
      <c r="G858" s="21">
        <f>B858+C858+F858</f>
        <v>24</v>
      </c>
      <c r="H858" s="22">
        <f>IF(E858&lt;0,-999999999,B858*(PRICE_TOM-FERT_TOM)+C858*(PRICE_CAR-FERT_CAR)+F858*(PRICE_MES-FERT_MES)-(FARMER_SALARY+A858*TEMP_COST)-FIXED_COSTS)</f>
        <v>-999999999</v>
      </c>
    </row>
    <row r="859">
      <c r="A859" s="5" t="n">
        <v>1</v>
      </c>
      <c r="B859" s="5" t="n">
        <v>19</v>
      </c>
      <c r="C859" s="5" t="n">
        <v>6</v>
      </c>
      <c r="D859" s="18">
        <f>SEASON_HRS_TOM*B859*(1+DIM_TOM)^B859+SEASON_HRS_CAR*C859*(1+DIM_CAR)^C859</f>
        <v>10666.949281957224</v>
      </c>
      <c r="E859" s="18">
        <f>(FARMER_FIELD_HRS+A859*TEMP_HRS)-D859</f>
        <v>-8506.949281957224</v>
      </c>
      <c r="F859" s="21">
        <f>IF(E859&lt;0,0,MIN(COUNTIF(Labor!$C$59:$C$88,"&lt;="&amp;E859),MAXBED_MES,TOTAL_BEDS-B859-C859))</f>
        <v>0</v>
      </c>
      <c r="G859" s="21">
        <f>B859+C859+F859</f>
        <v>25</v>
      </c>
      <c r="H859" s="22">
        <f>IF(E859&lt;0,-999999999,B859*(PRICE_TOM-FERT_TOM)+C859*(PRICE_CAR-FERT_CAR)+F859*(PRICE_MES-FERT_MES)-(FARMER_SALARY+A859*TEMP_COST)-FIXED_COSTS)</f>
        <v>-999999999</v>
      </c>
    </row>
    <row r="860">
      <c r="A860" s="5" t="n">
        <v>1</v>
      </c>
      <c r="B860" s="5" t="n">
        <v>19</v>
      </c>
      <c r="C860" s="5" t="n">
        <v>7</v>
      </c>
      <c r="D860" s="18">
        <f>SEASON_HRS_TOM*B860*(1+DIM_TOM)^B860+SEASON_HRS_CAR*C860*(1+DIM_CAR)^C860</f>
        <v>10707.828474949229</v>
      </c>
      <c r="E860" s="18">
        <f>(FARMER_FIELD_HRS+A860*TEMP_HRS)-D860</f>
        <v>-8547.828474949229</v>
      </c>
      <c r="F860" s="21">
        <f>IF(E860&lt;0,0,MIN(COUNTIF(Labor!$C$59:$C$88,"&lt;="&amp;E860),MAXBED_MES,TOTAL_BEDS-B860-C860))</f>
        <v>0</v>
      </c>
      <c r="G860" s="21">
        <f>B860+C860+F860</f>
        <v>26</v>
      </c>
      <c r="H860" s="22">
        <f>IF(E860&lt;0,-999999999,B860*(PRICE_TOM-FERT_TOM)+C860*(PRICE_CAR-FERT_CAR)+F860*(PRICE_MES-FERT_MES)-(FARMER_SALARY+A860*TEMP_COST)-FIXED_COSTS)</f>
        <v>-999999999</v>
      </c>
    </row>
    <row r="861">
      <c r="A861" s="5" t="n">
        <v>1</v>
      </c>
      <c r="B861" s="5" t="n">
        <v>19</v>
      </c>
      <c r="C861" s="5" t="n">
        <v>8</v>
      </c>
      <c r="D861" s="18">
        <f>SEASON_HRS_TOM*B861*(1+DIM_TOM)^B861+SEASON_HRS_CAR*C861*(1+DIM_CAR)^C861</f>
        <v>10750.621162081285</v>
      </c>
      <c r="E861" s="18">
        <f>(FARMER_FIELD_HRS+A861*TEMP_HRS)-D861</f>
        <v>-8590.621162081285</v>
      </c>
      <c r="F861" s="21">
        <f>IF(E861&lt;0,0,MIN(COUNTIF(Labor!$C$59:$C$88,"&lt;="&amp;E861),MAXBED_MES,TOTAL_BEDS-B861-C861))</f>
        <v>0</v>
      </c>
      <c r="G861" s="21">
        <f>B861+C861+F861</f>
        <v>27</v>
      </c>
      <c r="H861" s="22">
        <f>IF(E861&lt;0,-999999999,B861*(PRICE_TOM-FERT_TOM)+C861*(PRICE_CAR-FERT_CAR)+F861*(PRICE_MES-FERT_MES)-(FARMER_SALARY+A861*TEMP_COST)-FIXED_COSTS)</f>
        <v>-999999999</v>
      </c>
    </row>
    <row r="862">
      <c r="A862" s="5" t="n">
        <v>1</v>
      </c>
      <c r="B862" s="5" t="n">
        <v>19</v>
      </c>
      <c r="C862" s="5" t="n">
        <v>9</v>
      </c>
      <c r="D862" s="18">
        <f>SEASON_HRS_TOM*B862*(1+DIM_TOM)^B862+SEASON_HRS_CAR*C862*(1+DIM_CAR)^C862</f>
        <v>10795.397468564774</v>
      </c>
      <c r="E862" s="18">
        <f>(FARMER_FIELD_HRS+A862*TEMP_HRS)-D862</f>
        <v>-8635.397468564774</v>
      </c>
      <c r="F862" s="21">
        <f>IF(E862&lt;0,0,MIN(COUNTIF(Labor!$C$59:$C$88,"&lt;="&amp;E862),MAXBED_MES,TOTAL_BEDS-B862-C862))</f>
        <v>0</v>
      </c>
      <c r="G862" s="21">
        <f>B862+C862+F862</f>
        <v>28</v>
      </c>
      <c r="H862" s="22">
        <f>IF(E862&lt;0,-999999999,B862*(PRICE_TOM-FERT_TOM)+C862*(PRICE_CAR-FERT_CAR)+F862*(PRICE_MES-FERT_MES)-(FARMER_SALARY+A862*TEMP_COST)-FIXED_COSTS)</f>
        <v>-999999999</v>
      </c>
    </row>
    <row r="863">
      <c r="A863" s="5" t="n">
        <v>1</v>
      </c>
      <c r="B863" s="5" t="n">
        <v>19</v>
      </c>
      <c r="C863" s="5" t="n">
        <v>10</v>
      </c>
      <c r="D863" s="18">
        <f>SEASON_HRS_TOM*B863*(1+DIM_TOM)^B863+SEASON_HRS_CAR*C863*(1+DIM_CAR)^C863</f>
        <v>10842.22982993781</v>
      </c>
      <c r="E863" s="18">
        <f>(FARMER_FIELD_HRS+A863*TEMP_HRS)-D863</f>
        <v>-8682.22982993781</v>
      </c>
      <c r="F863" s="21">
        <f>IF(E863&lt;0,0,MIN(COUNTIF(Labor!$C$59:$C$88,"&lt;="&amp;E863),MAXBED_MES,TOTAL_BEDS-B863-C863))</f>
        <v>0</v>
      </c>
      <c r="G863" s="21">
        <f>B863+C863+F863</f>
        <v>29</v>
      </c>
      <c r="H863" s="22">
        <f>IF(E863&lt;0,-999999999,B863*(PRICE_TOM-FERT_TOM)+C863*(PRICE_CAR-FERT_CAR)+F863*(PRICE_MES-FERT_MES)-(FARMER_SALARY+A863*TEMP_COST)-FIXED_COSTS)</f>
        <v>-999999999</v>
      </c>
    </row>
    <row r="864">
      <c r="A864" s="5" t="n">
        <v>1</v>
      </c>
      <c r="B864" s="5" t="n">
        <v>19</v>
      </c>
      <c r="C864" s="5" t="n">
        <v>11</v>
      </c>
      <c r="D864" s="18">
        <f>SEASON_HRS_TOM*B864*(1+DIM_TOM)^B864+SEASON_HRS_CAR*C864*(1+DIM_CAR)^C864</f>
        <v>10891.193063753322</v>
      </c>
      <c r="E864" s="18">
        <f>(FARMER_FIELD_HRS+A864*TEMP_HRS)-D864</f>
        <v>-8731.193063753322</v>
      </c>
      <c r="F864" s="21">
        <f>IF(E864&lt;0,0,MIN(COUNTIF(Labor!$C$59:$C$88,"&lt;="&amp;E864),MAXBED_MES,TOTAL_BEDS-B864-C864))</f>
        <v>0</v>
      </c>
      <c r="G864" s="21">
        <f>B864+C864+F864</f>
        <v>30</v>
      </c>
      <c r="H864" s="22">
        <f>IF(E864&lt;0,-999999999,B864*(PRICE_TOM-FERT_TOM)+C864*(PRICE_CAR-FERT_CAR)+F864*(PRICE_MES-FERT_MES)-(FARMER_SALARY+A864*TEMP_COST)-FIXED_COSTS)</f>
        <v>-999999999</v>
      </c>
    </row>
    <row r="865">
      <c r="A865" s="5" t="n">
        <v>1</v>
      </c>
      <c r="B865" s="5" t="n">
        <v>19</v>
      </c>
      <c r="C865" s="5" t="n">
        <v>12</v>
      </c>
      <c r="D865" s="18">
        <f>SEASON_HRS_TOM*B865*(1+DIM_TOM)^B865+SEASON_HRS_CAR*C865*(1+DIM_CAR)^C865</f>
        <v>10942.36444340757</v>
      </c>
      <c r="E865" s="18">
        <f>(FARMER_FIELD_HRS+A865*TEMP_HRS)-D865</f>
        <v>-8782.36444340757</v>
      </c>
      <c r="F865" s="21">
        <f>IF(E865&lt;0,0,MIN(COUNTIF(Labor!$C$59:$C$88,"&lt;="&amp;E865),MAXBED_MES,TOTAL_BEDS-B865-C865))</f>
        <v>0</v>
      </c>
      <c r="G865" s="21">
        <f>B865+C865+F865</f>
        <v>31</v>
      </c>
      <c r="H865" s="22">
        <f>IF(E865&lt;0,-999999999,B865*(PRICE_TOM-FERT_TOM)+C865*(PRICE_CAR-FERT_CAR)+F865*(PRICE_MES-FERT_MES)-(FARMER_SALARY+A865*TEMP_COST)-FIXED_COSTS)</f>
        <v>-999999999</v>
      </c>
    </row>
    <row r="866">
      <c r="A866" s="5" t="n">
        <v>1</v>
      </c>
      <c r="B866" s="5" t="n">
        <v>19</v>
      </c>
      <c r="C866" s="5" t="n">
        <v>13</v>
      </c>
      <c r="D866" s="18">
        <f>SEASON_HRS_TOM*B866*(1+DIM_TOM)^B866+SEASON_HRS_CAR*C866*(1+DIM_CAR)^C866</f>
        <v>10995.823774171362</v>
      </c>
      <c r="E866" s="18">
        <f>(FARMER_FIELD_HRS+A866*TEMP_HRS)-D866</f>
        <v>-8835.823774171362</v>
      </c>
      <c r="F866" s="21">
        <f>IF(E866&lt;0,0,MIN(COUNTIF(Labor!$C$59:$C$88,"&lt;="&amp;E866),MAXBED_MES,TOTAL_BEDS-B866-C866))</f>
        <v>0</v>
      </c>
      <c r="G866" s="21">
        <f>B866+C866+F866</f>
        <v>32</v>
      </c>
      <c r="H866" s="22">
        <f>IF(E866&lt;0,-999999999,B866*(PRICE_TOM-FERT_TOM)+C866*(PRICE_CAR-FERT_CAR)+F866*(PRICE_MES-FERT_MES)-(FARMER_SALARY+A866*TEMP_COST)-FIXED_COSTS)</f>
        <v>-999999999</v>
      </c>
    </row>
    <row r="867">
      <c r="A867" s="5" t="n">
        <v>1</v>
      </c>
      <c r="B867" s="5" t="n">
        <v>19</v>
      </c>
      <c r="C867" s="5" t="n">
        <v>14</v>
      </c>
      <c r="D867" s="18">
        <f>SEASON_HRS_TOM*B867*(1+DIM_TOM)^B867+SEASON_HRS_CAR*C867*(1+DIM_CAR)^C867</f>
        <v>11051.653471487885</v>
      </c>
      <c r="E867" s="18">
        <f>(FARMER_FIELD_HRS+A867*TEMP_HRS)-D867</f>
        <v>-8891.653471487885</v>
      </c>
      <c r="F867" s="21">
        <f>IF(E867&lt;0,0,MIN(COUNTIF(Labor!$C$59:$C$88,"&lt;="&amp;E867),MAXBED_MES,TOTAL_BEDS-B867-C867))</f>
        <v>0</v>
      </c>
      <c r="G867" s="21">
        <f>B867+C867+F867</f>
        <v>33</v>
      </c>
      <c r="H867" s="22">
        <f>IF(E867&lt;0,-999999999,B867*(PRICE_TOM-FERT_TOM)+C867*(PRICE_CAR-FERT_CAR)+F867*(PRICE_MES-FERT_MES)-(FARMER_SALARY+A867*TEMP_COST)-FIXED_COSTS)</f>
        <v>-999999999</v>
      </c>
    </row>
    <row r="868">
      <c r="A868" s="5" t="n">
        <v>1</v>
      </c>
      <c r="B868" s="5" t="n">
        <v>19</v>
      </c>
      <c r="C868" s="5" t="n">
        <v>15</v>
      </c>
      <c r="D868" s="18">
        <f>SEASON_HRS_TOM*B868*(1+DIM_TOM)^B868+SEASON_HRS_CAR*C868*(1+DIM_CAR)^C868</f>
        <v>11109.938641603054</v>
      </c>
      <c r="E868" s="18">
        <f>(FARMER_FIELD_HRS+A868*TEMP_HRS)-D868</f>
        <v>-8949.938641603054</v>
      </c>
      <c r="F868" s="21">
        <f>IF(E868&lt;0,0,MIN(COUNTIF(Labor!$C$59:$C$88,"&lt;="&amp;E868),MAXBED_MES,TOTAL_BEDS-B868-C868))</f>
        <v>0</v>
      </c>
      <c r="G868" s="21">
        <f>B868+C868+F868</f>
        <v>34</v>
      </c>
      <c r="H868" s="22">
        <f>IF(E868&lt;0,-999999999,B868*(PRICE_TOM-FERT_TOM)+C868*(PRICE_CAR-FERT_CAR)+F868*(PRICE_MES-FERT_MES)-(FARMER_SALARY+A868*TEMP_COST)-FIXED_COSTS)</f>
        <v>-999999999</v>
      </c>
    </row>
    <row r="869">
      <c r="A869" s="5" t="n">
        <v>1</v>
      </c>
      <c r="B869" s="5" t="n">
        <v>19</v>
      </c>
      <c r="C869" s="5" t="n">
        <v>16</v>
      </c>
      <c r="D869" s="18">
        <f>SEASON_HRS_TOM*B869*(1+DIM_TOM)^B869+SEASON_HRS_CAR*C869*(1+DIM_CAR)^C869</f>
        <v>11170.767164595974</v>
      </c>
      <c r="E869" s="18">
        <f>(FARMER_FIELD_HRS+A869*TEMP_HRS)-D869</f>
        <v>-9010.767164595974</v>
      </c>
      <c r="F869" s="21">
        <f>IF(E869&lt;0,0,MIN(COUNTIF(Labor!$C$59:$C$88,"&lt;="&amp;E869),MAXBED_MES,TOTAL_BEDS-B869-C869))</f>
        <v>0</v>
      </c>
      <c r="G869" s="21">
        <f>B869+C869+F869</f>
        <v>35</v>
      </c>
      <c r="H869" s="22">
        <f>IF(E869&lt;0,-999999999,B869*(PRICE_TOM-FERT_TOM)+C869*(PRICE_CAR-FERT_CAR)+F869*(PRICE_MES-FERT_MES)-(FARMER_SALARY+A869*TEMP_COST)-FIXED_COSTS)</f>
        <v>-999999999</v>
      </c>
    </row>
    <row r="870">
      <c r="A870" s="5" t="n">
        <v>1</v>
      </c>
      <c r="B870" s="5" t="n">
        <v>19</v>
      </c>
      <c r="C870" s="5" t="n">
        <v>17</v>
      </c>
      <c r="D870" s="18">
        <f>SEASON_HRS_TOM*B870*(1+DIM_TOM)^B870+SEASON_HRS_CAR*C870*(1+DIM_CAR)^C870</f>
        <v>11234.229779879213</v>
      </c>
      <c r="E870" s="18">
        <f>(FARMER_FIELD_HRS+A870*TEMP_HRS)-D870</f>
        <v>-9074.229779879213</v>
      </c>
      <c r="F870" s="21">
        <f>IF(E870&lt;0,0,MIN(COUNTIF(Labor!$C$59:$C$88,"&lt;="&amp;E870),MAXBED_MES,TOTAL_BEDS-B870-C870))</f>
        <v>0</v>
      </c>
      <c r="G870" s="21">
        <f>B870+C870+F870</f>
        <v>36</v>
      </c>
      <c r="H870" s="22">
        <f>IF(E870&lt;0,-999999999,B870*(PRICE_TOM-FERT_TOM)+C870*(PRICE_CAR-FERT_CAR)+F870*(PRICE_MES-FERT_MES)-(FARMER_SALARY+A870*TEMP_COST)-FIXED_COSTS)</f>
        <v>-999999999</v>
      </c>
    </row>
    <row r="871">
      <c r="A871" s="5" t="n">
        <v>1</v>
      </c>
      <c r="B871" s="5" t="n">
        <v>19</v>
      </c>
      <c r="C871" s="5" t="n">
        <v>18</v>
      </c>
      <c r="D871" s="18">
        <f>SEASON_HRS_TOM*B871*(1+DIM_TOM)^B871+SEASON_HRS_CAR*C871*(1+DIM_CAR)^C871</f>
        <v>11300.420174240417</v>
      </c>
      <c r="E871" s="18">
        <f>(FARMER_FIELD_HRS+A871*TEMP_HRS)-D871</f>
        <v>-9140.420174240417</v>
      </c>
      <c r="F871" s="21">
        <f>IF(E871&lt;0,0,MIN(COUNTIF(Labor!$C$59:$C$88,"&lt;="&amp;E871),MAXBED_MES,TOTAL_BEDS-B871-C871))</f>
        <v>0</v>
      </c>
      <c r="G871" s="21">
        <f>B871+C871+F871</f>
        <v>37</v>
      </c>
      <c r="H871" s="22">
        <f>IF(E871&lt;0,-999999999,B871*(PRICE_TOM-FERT_TOM)+C871*(PRICE_CAR-FERT_CAR)+F871*(PRICE_MES-FERT_MES)-(FARMER_SALARY+A871*TEMP_COST)-FIXED_COSTS)</f>
        <v>-999999999</v>
      </c>
    </row>
    <row r="872">
      <c r="A872" s="5" t="n">
        <v>1</v>
      </c>
      <c r="B872" s="5" t="n">
        <v>19</v>
      </c>
      <c r="C872" s="5" t="n">
        <v>19</v>
      </c>
      <c r="D872" s="18">
        <f>SEASON_HRS_TOM*B872*(1+DIM_TOM)^B872+SEASON_HRS_CAR*C872*(1+DIM_CAR)^C872</f>
        <v>11369.435072498929</v>
      </c>
      <c r="E872" s="18">
        <f>(FARMER_FIELD_HRS+A872*TEMP_HRS)-D872</f>
        <v>-9209.435072498929</v>
      </c>
      <c r="F872" s="21">
        <f>IF(E872&lt;0,0,MIN(COUNTIF(Labor!$C$59:$C$88,"&lt;="&amp;E872),MAXBED_MES,TOTAL_BEDS-B872-C872))</f>
        <v>0</v>
      </c>
      <c r="G872" s="21">
        <f>B872+C872+F872</f>
        <v>38</v>
      </c>
      <c r="H872" s="22">
        <f>IF(E872&lt;0,-999999999,B872*(PRICE_TOM-FERT_TOM)+C872*(PRICE_CAR-FERT_CAR)+F872*(PRICE_MES-FERT_MES)-(FARMER_SALARY+A872*TEMP_COST)-FIXED_COSTS)</f>
        <v>-999999999</v>
      </c>
    </row>
    <row r="873">
      <c r="A873" s="5" t="n">
        <v>1</v>
      </c>
      <c r="B873" s="5" t="n">
        <v>19</v>
      </c>
      <c r="C873" s="5" t="n">
        <v>20</v>
      </c>
      <c r="D873" s="18">
        <f>SEASON_HRS_TOM*B873*(1+DIM_TOM)^B873+SEASON_HRS_CAR*C873*(1+DIM_CAR)^C873</f>
        <v>11441.374330853141</v>
      </c>
      <c r="E873" s="18">
        <f>(FARMER_FIELD_HRS+A873*TEMP_HRS)-D873</f>
        <v>-9281.374330853141</v>
      </c>
      <c r="F873" s="21">
        <f>IF(E873&lt;0,0,MIN(COUNTIF(Labor!$C$59:$C$88,"&lt;="&amp;E873),MAXBED_MES,TOTAL_BEDS-B873-C873))</f>
        <v>0</v>
      </c>
      <c r="G873" s="21">
        <f>B873+C873+F873</f>
        <v>39</v>
      </c>
      <c r="H873" s="22">
        <f>IF(E873&lt;0,-999999999,B873*(PRICE_TOM-FERT_TOM)+C873*(PRICE_CAR-FERT_CAR)+F873*(PRICE_MES-FERT_MES)-(FARMER_SALARY+A873*TEMP_COST)-FIXED_COSTS)</f>
        <v>-999999999</v>
      </c>
    </row>
    <row r="874">
      <c r="A874" s="5" t="n">
        <v>1</v>
      </c>
      <c r="B874" s="5" t="n">
        <v>20</v>
      </c>
      <c r="C874" s="5" t="n">
        <v>0</v>
      </c>
      <c r="D874" s="18">
        <f>SEASON_HRS_TOM*B874*(1+DIM_TOM)^B874+SEASON_HRS_CAR*C874*(1+DIM_CAR)^C874</f>
        <v>12109.4999087861</v>
      </c>
      <c r="E874" s="18">
        <f>(FARMER_FIELD_HRS+A874*TEMP_HRS)-D874</f>
        <v>-9949.4999087861</v>
      </c>
      <c r="F874" s="21">
        <f>IF(E874&lt;0,0,MIN(COUNTIF(Labor!$C$59:$C$88,"&lt;="&amp;E874),MAXBED_MES,TOTAL_BEDS-B874-C874))</f>
        <v>0</v>
      </c>
      <c r="G874" s="21">
        <f>B874+C874+F874</f>
        <v>20</v>
      </c>
      <c r="H874" s="22">
        <f>IF(E874&lt;0,-999999999,B874*(PRICE_TOM-FERT_TOM)+C874*(PRICE_CAR-FERT_CAR)+F874*(PRICE_MES-FERT_MES)-(FARMER_SALARY+A874*TEMP_COST)-FIXED_COSTS)</f>
        <v>-999999999</v>
      </c>
    </row>
    <row r="875">
      <c r="A875" s="5" t="n">
        <v>1</v>
      </c>
      <c r="B875" s="5" t="n">
        <v>20</v>
      </c>
      <c r="C875" s="5" t="n">
        <v>1</v>
      </c>
      <c r="D875" s="18">
        <f>SEASON_HRS_TOM*B875*(1+DIM_TOM)^B875+SEASON_HRS_CAR*C875*(1+DIM_CAR)^C875</f>
        <v>12140.2499087861</v>
      </c>
      <c r="E875" s="18">
        <f>(FARMER_FIELD_HRS+A875*TEMP_HRS)-D875</f>
        <v>-9980.2499087861</v>
      </c>
      <c r="F875" s="21">
        <f>IF(E875&lt;0,0,MIN(COUNTIF(Labor!$C$59:$C$88,"&lt;="&amp;E875),MAXBED_MES,TOTAL_BEDS-B875-C875))</f>
        <v>0</v>
      </c>
      <c r="G875" s="21">
        <f>B875+C875+F875</f>
        <v>21</v>
      </c>
      <c r="H875" s="22">
        <f>IF(E875&lt;0,-999999999,B875*(PRICE_TOM-FERT_TOM)+C875*(PRICE_CAR-FERT_CAR)+F875*(PRICE_MES-FERT_MES)-(FARMER_SALARY+A875*TEMP_COST)-FIXED_COSTS)</f>
        <v>-999999999</v>
      </c>
    </row>
    <row r="876">
      <c r="A876" s="5" t="n">
        <v>1</v>
      </c>
      <c r="B876" s="5" t="n">
        <v>20</v>
      </c>
      <c r="C876" s="5" t="n">
        <v>2</v>
      </c>
      <c r="D876" s="18">
        <f>SEASON_HRS_TOM*B876*(1+DIM_TOM)^B876+SEASON_HRS_CAR*C876*(1+DIM_CAR)^C876</f>
        <v>12172.5374087861</v>
      </c>
      <c r="E876" s="18">
        <f>(FARMER_FIELD_HRS+A876*TEMP_HRS)-D876</f>
        <v>-10012.5374087861</v>
      </c>
      <c r="F876" s="21">
        <f>IF(E876&lt;0,0,MIN(COUNTIF(Labor!$C$59:$C$88,"&lt;="&amp;E876),MAXBED_MES,TOTAL_BEDS-B876-C876))</f>
        <v>0</v>
      </c>
      <c r="G876" s="21">
        <f>B876+C876+F876</f>
        <v>22</v>
      </c>
      <c r="H876" s="22">
        <f>IF(E876&lt;0,-999999999,B876*(PRICE_TOM-FERT_TOM)+C876*(PRICE_CAR-FERT_CAR)+F876*(PRICE_MES-FERT_MES)-(FARMER_SALARY+A876*TEMP_COST)-FIXED_COSTS)</f>
        <v>-999999999</v>
      </c>
    </row>
    <row r="877">
      <c r="A877" s="5" t="n">
        <v>1</v>
      </c>
      <c r="B877" s="5" t="n">
        <v>20</v>
      </c>
      <c r="C877" s="5" t="n">
        <v>3</v>
      </c>
      <c r="D877" s="18">
        <f>SEASON_HRS_TOM*B877*(1+DIM_TOM)^B877+SEASON_HRS_CAR*C877*(1+DIM_CAR)^C877</f>
        <v>12206.4200650361</v>
      </c>
      <c r="E877" s="18">
        <f>(FARMER_FIELD_HRS+A877*TEMP_HRS)-D877</f>
        <v>-10046.4200650361</v>
      </c>
      <c r="F877" s="21">
        <f>IF(E877&lt;0,0,MIN(COUNTIF(Labor!$C$59:$C$88,"&lt;="&amp;E877),MAXBED_MES,TOTAL_BEDS-B877-C877))</f>
        <v>0</v>
      </c>
      <c r="G877" s="21">
        <f>B877+C877+F877</f>
        <v>23</v>
      </c>
      <c r="H877" s="22">
        <f>IF(E877&lt;0,-999999999,B877*(PRICE_TOM-FERT_TOM)+C877*(PRICE_CAR-FERT_CAR)+F877*(PRICE_MES-FERT_MES)-(FARMER_SALARY+A877*TEMP_COST)-FIXED_COSTS)</f>
        <v>-999999999</v>
      </c>
    </row>
    <row r="878">
      <c r="A878" s="5" t="n">
        <v>1</v>
      </c>
      <c r="B878" s="5" t="n">
        <v>20</v>
      </c>
      <c r="C878" s="5" t="n">
        <v>4</v>
      </c>
      <c r="D878" s="18">
        <f>SEASON_HRS_TOM*B878*(1+DIM_TOM)^B878+SEASON_HRS_CAR*C878*(1+DIM_CAR)^C878</f>
        <v>12241.9574556611</v>
      </c>
      <c r="E878" s="18">
        <f>(FARMER_FIELD_HRS+A878*TEMP_HRS)-D878</f>
        <v>-10081.9574556611</v>
      </c>
      <c r="F878" s="21">
        <f>IF(E878&lt;0,0,MIN(COUNTIF(Labor!$C$59:$C$88,"&lt;="&amp;E878),MAXBED_MES,TOTAL_BEDS-B878-C878))</f>
        <v>0</v>
      </c>
      <c r="G878" s="21">
        <f>B878+C878+F878</f>
        <v>24</v>
      </c>
      <c r="H878" s="22">
        <f>IF(E878&lt;0,-999999999,B878*(PRICE_TOM-FERT_TOM)+C878*(PRICE_CAR-FERT_CAR)+F878*(PRICE_MES-FERT_MES)-(FARMER_SALARY+A878*TEMP_COST)-FIXED_COSTS)</f>
        <v>-999999999</v>
      </c>
    </row>
    <row r="879">
      <c r="A879" s="5" t="n">
        <v>1</v>
      </c>
      <c r="B879" s="5" t="n">
        <v>20</v>
      </c>
      <c r="C879" s="5" t="n">
        <v>5</v>
      </c>
      <c r="D879" s="18">
        <f>SEASON_HRS_TOM*B879*(1+DIM_TOM)^B879+SEASON_HRS_CAR*C879*(1+DIM_CAR)^C879</f>
        <v>12279.211140719694</v>
      </c>
      <c r="E879" s="18">
        <f>(FARMER_FIELD_HRS+A879*TEMP_HRS)-D879</f>
        <v>-10119.211140719694</v>
      </c>
      <c r="F879" s="21">
        <f>IF(E879&lt;0,0,MIN(COUNTIF(Labor!$C$59:$C$88,"&lt;="&amp;E879),MAXBED_MES,TOTAL_BEDS-B879-C879))</f>
        <v>0</v>
      </c>
      <c r="G879" s="21">
        <f>B879+C879+F879</f>
        <v>25</v>
      </c>
      <c r="H879" s="22">
        <f>IF(E879&lt;0,-999999999,B879*(PRICE_TOM-FERT_TOM)+C879*(PRICE_CAR-FERT_CAR)+F879*(PRICE_MES-FERT_MES)-(FARMER_SALARY+A879*TEMP_COST)-FIXED_COSTS)</f>
        <v>-999999999</v>
      </c>
    </row>
    <row r="880">
      <c r="A880" s="5" t="n">
        <v>1</v>
      </c>
      <c r="B880" s="5" t="n">
        <v>20</v>
      </c>
      <c r="C880" s="5" t="n">
        <v>6</v>
      </c>
      <c r="D880" s="18">
        <f>SEASON_HRS_TOM*B880*(1+DIM_TOM)^B880+SEASON_HRS_CAR*C880*(1+DIM_CAR)^C880</f>
        <v>12318.24472406442</v>
      </c>
      <c r="E880" s="18">
        <f>(FARMER_FIELD_HRS+A880*TEMP_HRS)-D880</f>
        <v>-10158.24472406442</v>
      </c>
      <c r="F880" s="21">
        <f>IF(E880&lt;0,0,MIN(COUNTIF(Labor!$C$59:$C$88,"&lt;="&amp;E880),MAXBED_MES,TOTAL_BEDS-B880-C880))</f>
        <v>0</v>
      </c>
      <c r="G880" s="21">
        <f>B880+C880+F880</f>
        <v>26</v>
      </c>
      <c r="H880" s="22">
        <f>IF(E880&lt;0,-999999999,B880*(PRICE_TOM-FERT_TOM)+C880*(PRICE_CAR-FERT_CAR)+F880*(PRICE_MES-FERT_MES)-(FARMER_SALARY+A880*TEMP_COST)-FIXED_COSTS)</f>
        <v>-999999999</v>
      </c>
    </row>
    <row r="881">
      <c r="A881" s="5" t="n">
        <v>1</v>
      </c>
      <c r="B881" s="5" t="n">
        <v>20</v>
      </c>
      <c r="C881" s="5" t="n">
        <v>7</v>
      </c>
      <c r="D881" s="18">
        <f>SEASON_HRS_TOM*B881*(1+DIM_TOM)^B881+SEASON_HRS_CAR*C881*(1+DIM_CAR)^C881</f>
        <v>12359.123917056424</v>
      </c>
      <c r="E881" s="18">
        <f>(FARMER_FIELD_HRS+A881*TEMP_HRS)-D881</f>
        <v>-10199.123917056424</v>
      </c>
      <c r="F881" s="21">
        <f>IF(E881&lt;0,0,MIN(COUNTIF(Labor!$C$59:$C$88,"&lt;="&amp;E881),MAXBED_MES,TOTAL_BEDS-B881-C881))</f>
        <v>0</v>
      </c>
      <c r="G881" s="21">
        <f>B881+C881+F881</f>
        <v>27</v>
      </c>
      <c r="H881" s="22">
        <f>IF(E881&lt;0,-999999999,B881*(PRICE_TOM-FERT_TOM)+C881*(PRICE_CAR-FERT_CAR)+F881*(PRICE_MES-FERT_MES)-(FARMER_SALARY+A881*TEMP_COST)-FIXED_COSTS)</f>
        <v>-999999999</v>
      </c>
    </row>
    <row r="882">
      <c r="A882" s="5" t="n">
        <v>1</v>
      </c>
      <c r="B882" s="5" t="n">
        <v>20</v>
      </c>
      <c r="C882" s="5" t="n">
        <v>8</v>
      </c>
      <c r="D882" s="18">
        <f>SEASON_HRS_TOM*B882*(1+DIM_TOM)^B882+SEASON_HRS_CAR*C882*(1+DIM_CAR)^C882</f>
        <v>12401.91660418848</v>
      </c>
      <c r="E882" s="18">
        <f>(FARMER_FIELD_HRS+A882*TEMP_HRS)-D882</f>
        <v>-10241.91660418848</v>
      </c>
      <c r="F882" s="21">
        <f>IF(E882&lt;0,0,MIN(COUNTIF(Labor!$C$59:$C$88,"&lt;="&amp;E882),MAXBED_MES,TOTAL_BEDS-B882-C882))</f>
        <v>0</v>
      </c>
      <c r="G882" s="21">
        <f>B882+C882+F882</f>
        <v>28</v>
      </c>
      <c r="H882" s="22">
        <f>IF(E882&lt;0,-999999999,B882*(PRICE_TOM-FERT_TOM)+C882*(PRICE_CAR-FERT_CAR)+F882*(PRICE_MES-FERT_MES)-(FARMER_SALARY+A882*TEMP_COST)-FIXED_COSTS)</f>
        <v>-999999999</v>
      </c>
    </row>
    <row r="883">
      <c r="A883" s="5" t="n">
        <v>1</v>
      </c>
      <c r="B883" s="5" t="n">
        <v>20</v>
      </c>
      <c r="C883" s="5" t="n">
        <v>9</v>
      </c>
      <c r="D883" s="18">
        <f>SEASON_HRS_TOM*B883*(1+DIM_TOM)^B883+SEASON_HRS_CAR*C883*(1+DIM_CAR)^C883</f>
        <v>12446.692910671969</v>
      </c>
      <c r="E883" s="18">
        <f>(FARMER_FIELD_HRS+A883*TEMP_HRS)-D883</f>
        <v>-10286.692910671969</v>
      </c>
      <c r="F883" s="21">
        <f>IF(E883&lt;0,0,MIN(COUNTIF(Labor!$C$59:$C$88,"&lt;="&amp;E883),MAXBED_MES,TOTAL_BEDS-B883-C883))</f>
        <v>0</v>
      </c>
      <c r="G883" s="21">
        <f>B883+C883+F883</f>
        <v>29</v>
      </c>
      <c r="H883" s="22">
        <f>IF(E883&lt;0,-999999999,B883*(PRICE_TOM-FERT_TOM)+C883*(PRICE_CAR-FERT_CAR)+F883*(PRICE_MES-FERT_MES)-(FARMER_SALARY+A883*TEMP_COST)-FIXED_COSTS)</f>
        <v>-999999999</v>
      </c>
    </row>
    <row r="884">
      <c r="A884" s="5" t="n">
        <v>1</v>
      </c>
      <c r="B884" s="5" t="n">
        <v>20</v>
      </c>
      <c r="C884" s="5" t="n">
        <v>10</v>
      </c>
      <c r="D884" s="18">
        <f>SEASON_HRS_TOM*B884*(1+DIM_TOM)^B884+SEASON_HRS_CAR*C884*(1+DIM_CAR)^C884</f>
        <v>12493.525272045006</v>
      </c>
      <c r="E884" s="18">
        <f>(FARMER_FIELD_HRS+A884*TEMP_HRS)-D884</f>
        <v>-10333.525272045006</v>
      </c>
      <c r="F884" s="21">
        <f>IF(E884&lt;0,0,MIN(COUNTIF(Labor!$C$59:$C$88,"&lt;="&amp;E884),MAXBED_MES,TOTAL_BEDS-B884-C884))</f>
        <v>0</v>
      </c>
      <c r="G884" s="21">
        <f>B884+C884+F884</f>
        <v>30</v>
      </c>
      <c r="H884" s="22">
        <f>IF(E884&lt;0,-999999999,B884*(PRICE_TOM-FERT_TOM)+C884*(PRICE_CAR-FERT_CAR)+F884*(PRICE_MES-FERT_MES)-(FARMER_SALARY+A884*TEMP_COST)-FIXED_COSTS)</f>
        <v>-999999999</v>
      </c>
    </row>
    <row r="885">
      <c r="A885" s="5" t="n">
        <v>1</v>
      </c>
      <c r="B885" s="5" t="n">
        <v>20</v>
      </c>
      <c r="C885" s="5" t="n">
        <v>11</v>
      </c>
      <c r="D885" s="18">
        <f>SEASON_HRS_TOM*B885*(1+DIM_TOM)^B885+SEASON_HRS_CAR*C885*(1+DIM_CAR)^C885</f>
        <v>12542.488505860518</v>
      </c>
      <c r="E885" s="18">
        <f>(FARMER_FIELD_HRS+A885*TEMP_HRS)-D885</f>
        <v>-10382.488505860518</v>
      </c>
      <c r="F885" s="21">
        <f>IF(E885&lt;0,0,MIN(COUNTIF(Labor!$C$59:$C$88,"&lt;="&amp;E885),MAXBED_MES,TOTAL_BEDS-B885-C885))</f>
        <v>0</v>
      </c>
      <c r="G885" s="21">
        <f>B885+C885+F885</f>
        <v>31</v>
      </c>
      <c r="H885" s="22">
        <f>IF(E885&lt;0,-999999999,B885*(PRICE_TOM-FERT_TOM)+C885*(PRICE_CAR-FERT_CAR)+F885*(PRICE_MES-FERT_MES)-(FARMER_SALARY+A885*TEMP_COST)-FIXED_COSTS)</f>
        <v>-999999999</v>
      </c>
    </row>
    <row r="886">
      <c r="A886" s="5" t="n">
        <v>1</v>
      </c>
      <c r="B886" s="5" t="n">
        <v>20</v>
      </c>
      <c r="C886" s="5" t="n">
        <v>12</v>
      </c>
      <c r="D886" s="18">
        <f>SEASON_HRS_TOM*B886*(1+DIM_TOM)^B886+SEASON_HRS_CAR*C886*(1+DIM_CAR)^C886</f>
        <v>12593.659885514766</v>
      </c>
      <c r="E886" s="18">
        <f>(FARMER_FIELD_HRS+A886*TEMP_HRS)-D886</f>
        <v>-10433.659885514766</v>
      </c>
      <c r="F886" s="21">
        <f>IF(E886&lt;0,0,MIN(COUNTIF(Labor!$C$59:$C$88,"&lt;="&amp;E886),MAXBED_MES,TOTAL_BEDS-B886-C886))</f>
        <v>0</v>
      </c>
      <c r="G886" s="21">
        <f>B886+C886+F886</f>
        <v>32</v>
      </c>
      <c r="H886" s="22">
        <f>IF(E886&lt;0,-999999999,B886*(PRICE_TOM-FERT_TOM)+C886*(PRICE_CAR-FERT_CAR)+F886*(PRICE_MES-FERT_MES)-(FARMER_SALARY+A886*TEMP_COST)-FIXED_COSTS)</f>
        <v>-999999999</v>
      </c>
    </row>
    <row r="887">
      <c r="A887" s="5" t="n">
        <v>1</v>
      </c>
      <c r="B887" s="5" t="n">
        <v>20</v>
      </c>
      <c r="C887" s="5" t="n">
        <v>13</v>
      </c>
      <c r="D887" s="18">
        <f>SEASON_HRS_TOM*B887*(1+DIM_TOM)^B887+SEASON_HRS_CAR*C887*(1+DIM_CAR)^C887</f>
        <v>12647.119216278557</v>
      </c>
      <c r="E887" s="18">
        <f>(FARMER_FIELD_HRS+A887*TEMP_HRS)-D887</f>
        <v>-10487.119216278557</v>
      </c>
      <c r="F887" s="21">
        <f>IF(E887&lt;0,0,MIN(COUNTIF(Labor!$C$59:$C$88,"&lt;="&amp;E887),MAXBED_MES,TOTAL_BEDS-B887-C887))</f>
        <v>0</v>
      </c>
      <c r="G887" s="21">
        <f>B887+C887+F887</f>
        <v>33</v>
      </c>
      <c r="H887" s="22">
        <f>IF(E887&lt;0,-999999999,B887*(PRICE_TOM-FERT_TOM)+C887*(PRICE_CAR-FERT_CAR)+F887*(PRICE_MES-FERT_MES)-(FARMER_SALARY+A887*TEMP_COST)-FIXED_COSTS)</f>
        <v>-999999999</v>
      </c>
    </row>
    <row r="888">
      <c r="A888" s="5" t="n">
        <v>1</v>
      </c>
      <c r="B888" s="5" t="n">
        <v>20</v>
      </c>
      <c r="C888" s="5" t="n">
        <v>14</v>
      </c>
      <c r="D888" s="18">
        <f>SEASON_HRS_TOM*B888*(1+DIM_TOM)^B888+SEASON_HRS_CAR*C888*(1+DIM_CAR)^C888</f>
        <v>12702.94891359508</v>
      </c>
      <c r="E888" s="18">
        <f>(FARMER_FIELD_HRS+A888*TEMP_HRS)-D888</f>
        <v>-10542.94891359508</v>
      </c>
      <c r="F888" s="21">
        <f>IF(E888&lt;0,0,MIN(COUNTIF(Labor!$C$59:$C$88,"&lt;="&amp;E888),MAXBED_MES,TOTAL_BEDS-B888-C888))</f>
        <v>0</v>
      </c>
      <c r="G888" s="21">
        <f>B888+C888+F888</f>
        <v>34</v>
      </c>
      <c r="H888" s="22">
        <f>IF(E888&lt;0,-999999999,B888*(PRICE_TOM-FERT_TOM)+C888*(PRICE_CAR-FERT_CAR)+F888*(PRICE_MES-FERT_MES)-(FARMER_SALARY+A888*TEMP_COST)-FIXED_COSTS)</f>
        <v>-999999999</v>
      </c>
    </row>
    <row r="889">
      <c r="A889" s="5" t="n">
        <v>1</v>
      </c>
      <c r="B889" s="5" t="n">
        <v>20</v>
      </c>
      <c r="C889" s="5" t="n">
        <v>15</v>
      </c>
      <c r="D889" s="18">
        <f>SEASON_HRS_TOM*B889*(1+DIM_TOM)^B889+SEASON_HRS_CAR*C889*(1+DIM_CAR)^C889</f>
        <v>12761.23408371025</v>
      </c>
      <c r="E889" s="18">
        <f>(FARMER_FIELD_HRS+A889*TEMP_HRS)-D889</f>
        <v>-10601.23408371025</v>
      </c>
      <c r="F889" s="21">
        <f>IF(E889&lt;0,0,MIN(COUNTIF(Labor!$C$59:$C$88,"&lt;="&amp;E889),MAXBED_MES,TOTAL_BEDS-B889-C889))</f>
        <v>0</v>
      </c>
      <c r="G889" s="21">
        <f>B889+C889+F889</f>
        <v>35</v>
      </c>
      <c r="H889" s="22">
        <f>IF(E889&lt;0,-999999999,B889*(PRICE_TOM-FERT_TOM)+C889*(PRICE_CAR-FERT_CAR)+F889*(PRICE_MES-FERT_MES)-(FARMER_SALARY+A889*TEMP_COST)-FIXED_COSTS)</f>
        <v>-999999999</v>
      </c>
    </row>
    <row r="890">
      <c r="A890" s="5" t="n">
        <v>1</v>
      </c>
      <c r="B890" s="5" t="n">
        <v>20</v>
      </c>
      <c r="C890" s="5" t="n">
        <v>16</v>
      </c>
      <c r="D890" s="18">
        <f>SEASON_HRS_TOM*B890*(1+DIM_TOM)^B890+SEASON_HRS_CAR*C890*(1+DIM_CAR)^C890</f>
        <v>12822.06260670317</v>
      </c>
      <c r="E890" s="18">
        <f>(FARMER_FIELD_HRS+A890*TEMP_HRS)-D890</f>
        <v>-10662.06260670317</v>
      </c>
      <c r="F890" s="21">
        <f>IF(E890&lt;0,0,MIN(COUNTIF(Labor!$C$59:$C$88,"&lt;="&amp;E890),MAXBED_MES,TOTAL_BEDS-B890-C890))</f>
        <v>0</v>
      </c>
      <c r="G890" s="21">
        <f>B890+C890+F890</f>
        <v>36</v>
      </c>
      <c r="H890" s="22">
        <f>IF(E890&lt;0,-999999999,B890*(PRICE_TOM-FERT_TOM)+C890*(PRICE_CAR-FERT_CAR)+F890*(PRICE_MES-FERT_MES)-(FARMER_SALARY+A890*TEMP_COST)-FIXED_COSTS)</f>
        <v>-999999999</v>
      </c>
    </row>
    <row r="891">
      <c r="A891" s="5" t="n">
        <v>1</v>
      </c>
      <c r="B891" s="5" t="n">
        <v>20</v>
      </c>
      <c r="C891" s="5" t="n">
        <v>17</v>
      </c>
      <c r="D891" s="18">
        <f>SEASON_HRS_TOM*B891*(1+DIM_TOM)^B891+SEASON_HRS_CAR*C891*(1+DIM_CAR)^C891</f>
        <v>12885.525221986409</v>
      </c>
      <c r="E891" s="18">
        <f>(FARMER_FIELD_HRS+A891*TEMP_HRS)-D891</f>
        <v>-10725.525221986409</v>
      </c>
      <c r="F891" s="21">
        <f>IF(E891&lt;0,0,MIN(COUNTIF(Labor!$C$59:$C$88,"&lt;="&amp;E891),MAXBED_MES,TOTAL_BEDS-B891-C891))</f>
        <v>0</v>
      </c>
      <c r="G891" s="21">
        <f>B891+C891+F891</f>
        <v>37</v>
      </c>
      <c r="H891" s="22">
        <f>IF(E891&lt;0,-999999999,B891*(PRICE_TOM-FERT_TOM)+C891*(PRICE_CAR-FERT_CAR)+F891*(PRICE_MES-FERT_MES)-(FARMER_SALARY+A891*TEMP_COST)-FIXED_COSTS)</f>
        <v>-999999999</v>
      </c>
    </row>
    <row r="892">
      <c r="A892" s="5" t="n">
        <v>1</v>
      </c>
      <c r="B892" s="5" t="n">
        <v>20</v>
      </c>
      <c r="C892" s="5" t="n">
        <v>18</v>
      </c>
      <c r="D892" s="18">
        <f>SEASON_HRS_TOM*B892*(1+DIM_TOM)^B892+SEASON_HRS_CAR*C892*(1+DIM_CAR)^C892</f>
        <v>12951.715616347612</v>
      </c>
      <c r="E892" s="18">
        <f>(FARMER_FIELD_HRS+A892*TEMP_HRS)-D892</f>
        <v>-10791.715616347612</v>
      </c>
      <c r="F892" s="21">
        <f>IF(E892&lt;0,0,MIN(COUNTIF(Labor!$C$59:$C$88,"&lt;="&amp;E892),MAXBED_MES,TOTAL_BEDS-B892-C892))</f>
        <v>0</v>
      </c>
      <c r="G892" s="21">
        <f>B892+C892+F892</f>
        <v>38</v>
      </c>
      <c r="H892" s="22">
        <f>IF(E892&lt;0,-999999999,B892*(PRICE_TOM-FERT_TOM)+C892*(PRICE_CAR-FERT_CAR)+F892*(PRICE_MES-FERT_MES)-(FARMER_SALARY+A892*TEMP_COST)-FIXED_COSTS)</f>
        <v>-999999999</v>
      </c>
    </row>
    <row r="893">
      <c r="A893" s="5" t="n">
        <v>1</v>
      </c>
      <c r="B893" s="5" t="n">
        <v>20</v>
      </c>
      <c r="C893" s="5" t="n">
        <v>19</v>
      </c>
      <c r="D893" s="18">
        <f>SEASON_HRS_TOM*B893*(1+DIM_TOM)^B893+SEASON_HRS_CAR*C893*(1+DIM_CAR)^C893</f>
        <v>13020.730514606124</v>
      </c>
      <c r="E893" s="18">
        <f>(FARMER_FIELD_HRS+A893*TEMP_HRS)-D893</f>
        <v>-10860.730514606124</v>
      </c>
      <c r="F893" s="21">
        <f>IF(E893&lt;0,0,MIN(COUNTIF(Labor!$C$59:$C$88,"&lt;="&amp;E893),MAXBED_MES,TOTAL_BEDS-B893-C893))</f>
        <v>0</v>
      </c>
      <c r="G893" s="21">
        <f>B893+C893+F893</f>
        <v>39</v>
      </c>
      <c r="H893" s="22">
        <f>IF(E893&lt;0,-999999999,B893*(PRICE_TOM-FERT_TOM)+C893*(PRICE_CAR-FERT_CAR)+F893*(PRICE_MES-FERT_MES)-(FARMER_SALARY+A893*TEMP_COST)-FIXED_COSTS)</f>
        <v>-999999999</v>
      </c>
    </row>
    <row r="894">
      <c r="A894" s="5" t="n">
        <v>1</v>
      </c>
      <c r="B894" s="5" t="n">
        <v>20</v>
      </c>
      <c r="C894" s="5" t="n">
        <v>20</v>
      </c>
      <c r="D894" s="18">
        <f>SEASON_HRS_TOM*B894*(1+DIM_TOM)^B894+SEASON_HRS_CAR*C894*(1+DIM_CAR)^C894</f>
        <v>13092.669772960337</v>
      </c>
      <c r="E894" s="18">
        <f>(FARMER_FIELD_HRS+A894*TEMP_HRS)-D894</f>
        <v>-10932.669772960337</v>
      </c>
      <c r="F894" s="21">
        <f>IF(E894&lt;0,0,MIN(COUNTIF(Labor!$C$59:$C$88,"&lt;="&amp;E894),MAXBED_MES,TOTAL_BEDS-B894-C894))</f>
        <v>0</v>
      </c>
      <c r="G894" s="21">
        <f>B894+C894+F894</f>
        <v>40</v>
      </c>
      <c r="H894" s="22">
        <f>IF(E894&lt;0,-999999999,B894*(PRICE_TOM-FERT_TOM)+C894*(PRICE_CAR-FERT_CAR)+F894*(PRICE_MES-FERT_MES)-(FARMER_SALARY+A894*TEMP_COST)-FIXED_COSTS)</f>
        <v>-999999999</v>
      </c>
    </row>
    <row r="895">
      <c r="A895" s="5" t="n">
        <v>2</v>
      </c>
      <c r="B895" s="5" t="n">
        <v>0</v>
      </c>
      <c r="C895" s="5" t="n">
        <v>0</v>
      </c>
      <c r="D895" s="18">
        <f>SEASON_HRS_TOM*B895*(1+DIM_TOM)^B895+SEASON_HRS_CAR*C895*(1+DIM_CAR)^C895</f>
        <v>0</v>
      </c>
      <c r="E895" s="18">
        <f>(FARMER_FIELD_HRS+A895*TEMP_HRS)-D895</f>
        <v>3600</v>
      </c>
      <c r="F895" s="21">
        <f>IF(E895&lt;0,0,MIN(COUNTIF(Labor!$C$59:$C$88,"&lt;="&amp;E895),MAXBED_MES,TOTAL_BEDS-B895-C895))</f>
        <v>30</v>
      </c>
      <c r="G895" s="21">
        <f>B895+C895+F895</f>
        <v>30</v>
      </c>
      <c r="H895" s="22">
        <f>IF(E895&lt;0,-999999999,B895*(PRICE_TOM-FERT_TOM)+C895*(PRICE_CAR-FERT_CAR)+F895*(PRICE_MES-FERT_MES)-(FARMER_SALARY+A895*TEMP_COST)-FIXED_COSTS)</f>
        <v>-65400</v>
      </c>
    </row>
    <row r="896">
      <c r="A896" s="5" t="n">
        <v>2</v>
      </c>
      <c r="B896" s="5" t="n">
        <v>0</v>
      </c>
      <c r="C896" s="5" t="n">
        <v>1</v>
      </c>
      <c r="D896" s="18">
        <f>SEASON_HRS_TOM*B896*(1+DIM_TOM)^B896+SEASON_HRS_CAR*C896*(1+DIM_CAR)^C896</f>
        <v>30.749999999999996</v>
      </c>
      <c r="E896" s="18">
        <f>(FARMER_FIELD_HRS+A896*TEMP_HRS)-D896</f>
        <v>3569.25</v>
      </c>
      <c r="F896" s="21">
        <f>IF(E896&lt;0,0,MIN(COUNTIF(Labor!$C$59:$C$88,"&lt;="&amp;E896),MAXBED_MES,TOTAL_BEDS-B896-C896))</f>
        <v>30</v>
      </c>
      <c r="G896" s="21">
        <f>B896+C896+F896</f>
        <v>31</v>
      </c>
      <c r="H896" s="22">
        <f>IF(E896&lt;0,-999999999,B896*(PRICE_TOM-FERT_TOM)+C896*(PRICE_CAR-FERT_CAR)+F896*(PRICE_MES-FERT_MES)-(FARMER_SALARY+A896*TEMP_COST)-FIXED_COSTS)</f>
        <v>-63746</v>
      </c>
    </row>
    <row r="897">
      <c r="A897" s="5" t="n">
        <v>2</v>
      </c>
      <c r="B897" s="5" t="n">
        <v>0</v>
      </c>
      <c r="C897" s="5" t="n">
        <v>2</v>
      </c>
      <c r="D897" s="18">
        <f>SEASON_HRS_TOM*B897*(1+DIM_TOM)^B897+SEASON_HRS_CAR*C897*(1+DIM_CAR)^C897</f>
        <v>63.037499999999994</v>
      </c>
      <c r="E897" s="18">
        <f>(FARMER_FIELD_HRS+A897*TEMP_HRS)-D897</f>
        <v>3536.9625</v>
      </c>
      <c r="F897" s="21">
        <f>IF(E897&lt;0,0,MIN(COUNTIF(Labor!$C$59:$C$88,"&lt;="&amp;E897),MAXBED_MES,TOTAL_BEDS-B897-C897))</f>
        <v>30</v>
      </c>
      <c r="G897" s="21">
        <f>B897+C897+F897</f>
        <v>32</v>
      </c>
      <c r="H897" s="22">
        <f>IF(E897&lt;0,-999999999,B897*(PRICE_TOM-FERT_TOM)+C897*(PRICE_CAR-FERT_CAR)+F897*(PRICE_MES-FERT_MES)-(FARMER_SALARY+A897*TEMP_COST)-FIXED_COSTS)</f>
        <v>-62092</v>
      </c>
    </row>
    <row r="898">
      <c r="A898" s="5" t="n">
        <v>2</v>
      </c>
      <c r="B898" s="5" t="n">
        <v>0</v>
      </c>
      <c r="C898" s="5" t="n">
        <v>3</v>
      </c>
      <c r="D898" s="18">
        <f>SEASON_HRS_TOM*B898*(1+DIM_TOM)^B898+SEASON_HRS_CAR*C898*(1+DIM_CAR)^C898</f>
        <v>96.92015624999996</v>
      </c>
      <c r="E898" s="18">
        <f>(FARMER_FIELD_HRS+A898*TEMP_HRS)-D898</f>
        <v>3503.0798437500002</v>
      </c>
      <c r="F898" s="21">
        <f>IF(E898&lt;0,0,MIN(COUNTIF(Labor!$C$59:$C$88,"&lt;="&amp;E898),MAXBED_MES,TOTAL_BEDS-B898-C898))</f>
        <v>30</v>
      </c>
      <c r="G898" s="21">
        <f>B898+C898+F898</f>
        <v>33</v>
      </c>
      <c r="H898" s="22">
        <f>IF(E898&lt;0,-999999999,B898*(PRICE_TOM-FERT_TOM)+C898*(PRICE_CAR-FERT_CAR)+F898*(PRICE_MES-FERT_MES)-(FARMER_SALARY+A898*TEMP_COST)-FIXED_COSTS)</f>
        <v>-60438</v>
      </c>
    </row>
    <row r="899">
      <c r="A899" s="5" t="n">
        <v>2</v>
      </c>
      <c r="B899" s="5" t="n">
        <v>0</v>
      </c>
      <c r="C899" s="5" t="n">
        <v>4</v>
      </c>
      <c r="D899" s="18">
        <f>SEASON_HRS_TOM*B899*(1+DIM_TOM)^B899+SEASON_HRS_CAR*C899*(1+DIM_CAR)^C899</f>
        <v>132.45754687499993</v>
      </c>
      <c r="E899" s="18">
        <f>(FARMER_FIELD_HRS+A899*TEMP_HRS)-D899</f>
        <v>3467.542453125</v>
      </c>
      <c r="F899" s="21">
        <f>IF(E899&lt;0,0,MIN(COUNTIF(Labor!$C$59:$C$88,"&lt;="&amp;E899),MAXBED_MES,TOTAL_BEDS-B899-C899))</f>
        <v>30</v>
      </c>
      <c r="G899" s="21">
        <f>B899+C899+F899</f>
        <v>34</v>
      </c>
      <c r="H899" s="22">
        <f>IF(E899&lt;0,-999999999,B899*(PRICE_TOM-FERT_TOM)+C899*(PRICE_CAR-FERT_CAR)+F899*(PRICE_MES-FERT_MES)-(FARMER_SALARY+A899*TEMP_COST)-FIXED_COSTS)</f>
        <v>-58784</v>
      </c>
    </row>
    <row r="900">
      <c r="A900" s="5" t="n">
        <v>2</v>
      </c>
      <c r="B900" s="5" t="n">
        <v>0</v>
      </c>
      <c r="C900" s="5" t="n">
        <v>5</v>
      </c>
      <c r="D900" s="18">
        <f>SEASON_HRS_TOM*B900*(1+DIM_TOM)^B900+SEASON_HRS_CAR*C900*(1+DIM_CAR)^C900</f>
        <v>169.71123193359367</v>
      </c>
      <c r="E900" s="18">
        <f>(FARMER_FIELD_HRS+A900*TEMP_HRS)-D900</f>
        <v>3430.288768066406</v>
      </c>
      <c r="F900" s="21">
        <f>IF(E900&lt;0,0,MIN(COUNTIF(Labor!$C$59:$C$88,"&lt;="&amp;E900),MAXBED_MES,TOTAL_BEDS-B900-C900))</f>
        <v>30</v>
      </c>
      <c r="G900" s="21">
        <f>B900+C900+F900</f>
        <v>35</v>
      </c>
      <c r="H900" s="22">
        <f>IF(E900&lt;0,-999999999,B900*(PRICE_TOM-FERT_TOM)+C900*(PRICE_CAR-FERT_CAR)+F900*(PRICE_MES-FERT_MES)-(FARMER_SALARY+A900*TEMP_COST)-FIXED_COSTS)</f>
        <v>-57130</v>
      </c>
    </row>
    <row r="901">
      <c r="A901" s="5" t="n">
        <v>2</v>
      </c>
      <c r="B901" s="5" t="n">
        <v>0</v>
      </c>
      <c r="C901" s="5" t="n">
        <v>6</v>
      </c>
      <c r="D901" s="18">
        <f>SEASON_HRS_TOM*B901*(1+DIM_TOM)^B901+SEASON_HRS_CAR*C901*(1+DIM_CAR)^C901</f>
        <v>208.7448152783202</v>
      </c>
      <c r="E901" s="18">
        <f>(FARMER_FIELD_HRS+A901*TEMP_HRS)-D901</f>
        <v>3391.2551847216796</v>
      </c>
      <c r="F901" s="21">
        <f>IF(E901&lt;0,0,MIN(COUNTIF(Labor!$C$59:$C$88,"&lt;="&amp;E901),MAXBED_MES,TOTAL_BEDS-B901-C901))</f>
        <v>30</v>
      </c>
      <c r="G901" s="21">
        <f>B901+C901+F901</f>
        <v>36</v>
      </c>
      <c r="H901" s="22">
        <f>IF(E901&lt;0,-999999999,B901*(PRICE_TOM-FERT_TOM)+C901*(PRICE_CAR-FERT_CAR)+F901*(PRICE_MES-FERT_MES)-(FARMER_SALARY+A901*TEMP_COST)-FIXED_COSTS)</f>
        <v>-55476</v>
      </c>
    </row>
    <row r="902">
      <c r="A902" s="5" t="n">
        <v>2</v>
      </c>
      <c r="B902" s="5" t="n">
        <v>0</v>
      </c>
      <c r="C902" s="5" t="n">
        <v>7</v>
      </c>
      <c r="D902" s="18">
        <f>SEASON_HRS_TOM*B902*(1+DIM_TOM)^B902+SEASON_HRS_CAR*C902*(1+DIM_CAR)^C902</f>
        <v>249.62400827032457</v>
      </c>
      <c r="E902" s="18">
        <f>(FARMER_FIELD_HRS+A902*TEMP_HRS)-D902</f>
        <v>3350.3759917296757</v>
      </c>
      <c r="F902" s="21">
        <f>IF(E902&lt;0,0,MIN(COUNTIF(Labor!$C$59:$C$88,"&lt;="&amp;E902),MAXBED_MES,TOTAL_BEDS-B902-C902))</f>
        <v>30</v>
      </c>
      <c r="G902" s="21">
        <f>B902+C902+F902</f>
        <v>37</v>
      </c>
      <c r="H902" s="22">
        <f>IF(E902&lt;0,-999999999,B902*(PRICE_TOM-FERT_TOM)+C902*(PRICE_CAR-FERT_CAR)+F902*(PRICE_MES-FERT_MES)-(FARMER_SALARY+A902*TEMP_COST)-FIXED_COSTS)</f>
        <v>-53822</v>
      </c>
    </row>
    <row r="903">
      <c r="A903" s="5" t="n">
        <v>2</v>
      </c>
      <c r="B903" s="5" t="n">
        <v>0</v>
      </c>
      <c r="C903" s="5" t="n">
        <v>8</v>
      </c>
      <c r="D903" s="18">
        <f>SEASON_HRS_TOM*B903*(1+DIM_TOM)^B903+SEASON_HRS_CAR*C903*(1+DIM_CAR)^C903</f>
        <v>292.4166954023801</v>
      </c>
      <c r="E903" s="18">
        <f>(FARMER_FIELD_HRS+A903*TEMP_HRS)-D903</f>
        <v>3307.5833045976196</v>
      </c>
      <c r="F903" s="21">
        <f>IF(E903&lt;0,0,MIN(COUNTIF(Labor!$C$59:$C$88,"&lt;="&amp;E903),MAXBED_MES,TOTAL_BEDS-B903-C903))</f>
        <v>30</v>
      </c>
      <c r="G903" s="21">
        <f>B903+C903+F903</f>
        <v>38</v>
      </c>
      <c r="H903" s="22">
        <f>IF(E903&lt;0,-999999999,B903*(PRICE_TOM-FERT_TOM)+C903*(PRICE_CAR-FERT_CAR)+F903*(PRICE_MES-FERT_MES)-(FARMER_SALARY+A903*TEMP_COST)-FIXED_COSTS)</f>
        <v>-52168</v>
      </c>
    </row>
    <row r="904">
      <c r="A904" s="5" t="n">
        <v>2</v>
      </c>
      <c r="B904" s="5" t="n">
        <v>0</v>
      </c>
      <c r="C904" s="5" t="n">
        <v>9</v>
      </c>
      <c r="D904" s="18">
        <f>SEASON_HRS_TOM*B904*(1+DIM_TOM)^B904+SEASON_HRS_CAR*C904*(1+DIM_CAR)^C904</f>
        <v>337.1930018858696</v>
      </c>
      <c r="E904" s="18">
        <f>(FARMER_FIELD_HRS+A904*TEMP_HRS)-D904</f>
        <v>3262.8069981141302</v>
      </c>
      <c r="F904" s="21">
        <f>IF(E904&lt;0,0,MIN(COUNTIF(Labor!$C$59:$C$88,"&lt;="&amp;E904),MAXBED_MES,TOTAL_BEDS-B904-C904))</f>
        <v>30</v>
      </c>
      <c r="G904" s="21">
        <f>B904+C904+F904</f>
        <v>39</v>
      </c>
      <c r="H904" s="22">
        <f>IF(E904&lt;0,-999999999,B904*(PRICE_TOM-FERT_TOM)+C904*(PRICE_CAR-FERT_CAR)+F904*(PRICE_MES-FERT_MES)-(FARMER_SALARY+A904*TEMP_COST)-FIXED_COSTS)</f>
        <v>-50514</v>
      </c>
    </row>
    <row r="905">
      <c r="A905" s="5" t="n">
        <v>2</v>
      </c>
      <c r="B905" s="5" t="n">
        <v>0</v>
      </c>
      <c r="C905" s="5" t="n">
        <v>10</v>
      </c>
      <c r="D905" s="18">
        <f>SEASON_HRS_TOM*B905*(1+DIM_TOM)^B905+SEASON_HRS_CAR*C905*(1+DIM_CAR)^C905</f>
        <v>384.025363258907</v>
      </c>
      <c r="E905" s="18">
        <f>(FARMER_FIELD_HRS+A905*TEMP_HRS)-D905</f>
        <v>3215.974636741093</v>
      </c>
      <c r="F905" s="21">
        <f>IF(E905&lt;0,0,MIN(COUNTIF(Labor!$C$59:$C$88,"&lt;="&amp;E905),MAXBED_MES,TOTAL_BEDS-B905-C905))</f>
        <v>30</v>
      </c>
      <c r="G905" s="21">
        <f>B905+C905+F905</f>
        <v>40</v>
      </c>
      <c r="H905" s="22">
        <f>IF(E905&lt;0,-999999999,B905*(PRICE_TOM-FERT_TOM)+C905*(PRICE_CAR-FERT_CAR)+F905*(PRICE_MES-FERT_MES)-(FARMER_SALARY+A905*TEMP_COST)-FIXED_COSTS)</f>
        <v>-48860</v>
      </c>
    </row>
    <row r="906">
      <c r="A906" s="5" t="n">
        <v>2</v>
      </c>
      <c r="B906" s="5" t="n">
        <v>0</v>
      </c>
      <c r="C906" s="5" t="n">
        <v>11</v>
      </c>
      <c r="D906" s="18">
        <f>SEASON_HRS_TOM*B906*(1+DIM_TOM)^B906+SEASON_HRS_CAR*C906*(1+DIM_CAR)^C906</f>
        <v>432.9885970744176</v>
      </c>
      <c r="E906" s="18">
        <f>(FARMER_FIELD_HRS+A906*TEMP_HRS)-D906</f>
        <v>3167.0114029255824</v>
      </c>
      <c r="F906" s="21">
        <f>IF(E906&lt;0,0,MIN(COUNTIF(Labor!$C$59:$C$88,"&lt;="&amp;E906),MAXBED_MES,TOTAL_BEDS-B906-C906))</f>
        <v>30</v>
      </c>
      <c r="G906" s="21">
        <f>B906+C906+F906</f>
        <v>41</v>
      </c>
      <c r="H906" s="22">
        <f>IF(E906&lt;0,-999999999,B906*(PRICE_TOM-FERT_TOM)+C906*(PRICE_CAR-FERT_CAR)+F906*(PRICE_MES-FERT_MES)-(FARMER_SALARY+A906*TEMP_COST)-FIXED_COSTS)</f>
        <v>-47206</v>
      </c>
    </row>
    <row r="907">
      <c r="A907" s="5" t="n">
        <v>2</v>
      </c>
      <c r="B907" s="5" t="n">
        <v>0</v>
      </c>
      <c r="C907" s="5" t="n">
        <v>12</v>
      </c>
      <c r="D907" s="18">
        <f>SEASON_HRS_TOM*B907*(1+DIM_TOM)^B907+SEASON_HRS_CAR*C907*(1+DIM_CAR)^C907</f>
        <v>484.15997672866695</v>
      </c>
      <c r="E907" s="18">
        <f>(FARMER_FIELD_HRS+A907*TEMP_HRS)-D907</f>
        <v>3115.840023271333</v>
      </c>
      <c r="F907" s="21">
        <f>IF(E907&lt;0,0,MIN(COUNTIF(Labor!$C$59:$C$88,"&lt;="&amp;E907),MAXBED_MES,TOTAL_BEDS-B907-C907))</f>
        <v>30</v>
      </c>
      <c r="G907" s="21">
        <f>B907+C907+F907</f>
        <v>42</v>
      </c>
      <c r="H907" s="22">
        <f>IF(E907&lt;0,-999999999,B907*(PRICE_TOM-FERT_TOM)+C907*(PRICE_CAR-FERT_CAR)+F907*(PRICE_MES-FERT_MES)-(FARMER_SALARY+A907*TEMP_COST)-FIXED_COSTS)</f>
        <v>-45552</v>
      </c>
    </row>
    <row r="908">
      <c r="A908" s="5" t="n">
        <v>2</v>
      </c>
      <c r="B908" s="5" t="n">
        <v>0</v>
      </c>
      <c r="C908" s="5" t="n">
        <v>13</v>
      </c>
      <c r="D908" s="18">
        <f>SEASON_HRS_TOM*B908*(1+DIM_TOM)^B908+SEASON_HRS_CAR*C908*(1+DIM_CAR)^C908</f>
        <v>537.6193074924571</v>
      </c>
      <c r="E908" s="18">
        <f>(FARMER_FIELD_HRS+A908*TEMP_HRS)-D908</f>
        <v>3062.380692507543</v>
      </c>
      <c r="F908" s="21">
        <f>IF(E908&lt;0,0,MIN(COUNTIF(Labor!$C$59:$C$88,"&lt;="&amp;E908),MAXBED_MES,TOTAL_BEDS-B908-C908))</f>
        <v>30</v>
      </c>
      <c r="G908" s="21">
        <f>B908+C908+F908</f>
        <v>43</v>
      </c>
      <c r="H908" s="22">
        <f>IF(E908&lt;0,-999999999,B908*(PRICE_TOM-FERT_TOM)+C908*(PRICE_CAR-FERT_CAR)+F908*(PRICE_MES-FERT_MES)-(FARMER_SALARY+A908*TEMP_COST)-FIXED_COSTS)</f>
        <v>-43898</v>
      </c>
    </row>
    <row r="909">
      <c r="A909" s="5" t="n">
        <v>2</v>
      </c>
      <c r="B909" s="5" t="n">
        <v>0</v>
      </c>
      <c r="C909" s="5" t="n">
        <v>14</v>
      </c>
      <c r="D909" s="18">
        <f>SEASON_HRS_TOM*B909*(1+DIM_TOM)^B909+SEASON_HRS_CAR*C909*(1+DIM_CAR)^C909</f>
        <v>593.4490048089816</v>
      </c>
      <c r="E909" s="18">
        <f>(FARMER_FIELD_HRS+A909*TEMP_HRS)-D909</f>
        <v>3006.5509951910185</v>
      </c>
      <c r="F909" s="21">
        <f>IF(E909&lt;0,0,MIN(COUNTIF(Labor!$C$59:$C$88,"&lt;="&amp;E909),MAXBED_MES,TOTAL_BEDS-B909-C909))</f>
        <v>30</v>
      </c>
      <c r="G909" s="21">
        <f>B909+C909+F909</f>
        <v>44</v>
      </c>
      <c r="H909" s="22">
        <f>IF(E909&lt;0,-999999999,B909*(PRICE_TOM-FERT_TOM)+C909*(PRICE_CAR-FERT_CAR)+F909*(PRICE_MES-FERT_MES)-(FARMER_SALARY+A909*TEMP_COST)-FIXED_COSTS)</f>
        <v>-42244</v>
      </c>
    </row>
    <row r="910">
      <c r="A910" s="5" t="n">
        <v>2</v>
      </c>
      <c r="B910" s="5" t="n">
        <v>0</v>
      </c>
      <c r="C910" s="5" t="n">
        <v>15</v>
      </c>
      <c r="D910" s="18">
        <f>SEASON_HRS_TOM*B910*(1+DIM_TOM)^B910+SEASON_HRS_CAR*C910*(1+DIM_CAR)^C910</f>
        <v>651.7341749241493</v>
      </c>
      <c r="E910" s="18">
        <f>(FARMER_FIELD_HRS+A910*TEMP_HRS)-D910</f>
        <v>2948.2658250758504</v>
      </c>
      <c r="F910" s="21">
        <f>IF(E910&lt;0,0,MIN(COUNTIF(Labor!$C$59:$C$88,"&lt;="&amp;E910),MAXBED_MES,TOTAL_BEDS-B910-C910))</f>
        <v>30</v>
      </c>
      <c r="G910" s="21">
        <f>B910+C910+F910</f>
        <v>45</v>
      </c>
      <c r="H910" s="22">
        <f>IF(E910&lt;0,-999999999,B910*(PRICE_TOM-FERT_TOM)+C910*(PRICE_CAR-FERT_CAR)+F910*(PRICE_MES-FERT_MES)-(FARMER_SALARY+A910*TEMP_COST)-FIXED_COSTS)</f>
        <v>-40590</v>
      </c>
    </row>
    <row r="911">
      <c r="A911" s="5" t="n">
        <v>2</v>
      </c>
      <c r="B911" s="5" t="n">
        <v>0</v>
      </c>
      <c r="C911" s="5" t="n">
        <v>16</v>
      </c>
      <c r="D911" s="18">
        <f>SEASON_HRS_TOM*B911*(1+DIM_TOM)^B911+SEASON_HRS_CAR*C911*(1+DIM_CAR)^C911</f>
        <v>712.5626979170698</v>
      </c>
      <c r="E911" s="18">
        <f>(FARMER_FIELD_HRS+A911*TEMP_HRS)-D911</f>
        <v>2887.4373020829303</v>
      </c>
      <c r="F911" s="21">
        <f>IF(E911&lt;0,0,MIN(COUNTIF(Labor!$C$59:$C$88,"&lt;="&amp;E911),MAXBED_MES,TOTAL_BEDS-B911-C911))</f>
        <v>30</v>
      </c>
      <c r="G911" s="21">
        <f>B911+C911+F911</f>
        <v>46</v>
      </c>
      <c r="H911" s="22">
        <f>IF(E911&lt;0,-999999999,B911*(PRICE_TOM-FERT_TOM)+C911*(PRICE_CAR-FERT_CAR)+F911*(PRICE_MES-FERT_MES)-(FARMER_SALARY+A911*TEMP_COST)-FIXED_COSTS)</f>
        <v>-38936</v>
      </c>
    </row>
    <row r="912">
      <c r="A912" s="5" t="n">
        <v>2</v>
      </c>
      <c r="B912" s="5" t="n">
        <v>0</v>
      </c>
      <c r="C912" s="5" t="n">
        <v>17</v>
      </c>
      <c r="D912" s="18">
        <f>SEASON_HRS_TOM*B912*(1+DIM_TOM)^B912+SEASON_HRS_CAR*C912*(1+DIM_CAR)^C912</f>
        <v>776.0253132003088</v>
      </c>
      <c r="E912" s="18">
        <f>(FARMER_FIELD_HRS+A912*TEMP_HRS)-D912</f>
        <v>2823.974686799691</v>
      </c>
      <c r="F912" s="21">
        <f>IF(E912&lt;0,0,MIN(COUNTIF(Labor!$C$59:$C$88,"&lt;="&amp;E912),MAXBED_MES,TOTAL_BEDS-B912-C912))</f>
        <v>30</v>
      </c>
      <c r="G912" s="21">
        <f>B912+C912+F912</f>
        <v>47</v>
      </c>
      <c r="H912" s="22">
        <f>IF(E912&lt;0,-999999999,B912*(PRICE_TOM-FERT_TOM)+C912*(PRICE_CAR-FERT_CAR)+F912*(PRICE_MES-FERT_MES)-(FARMER_SALARY+A912*TEMP_COST)-FIXED_COSTS)</f>
        <v>-37282</v>
      </c>
    </row>
    <row r="913">
      <c r="A913" s="5" t="n">
        <v>2</v>
      </c>
      <c r="B913" s="5" t="n">
        <v>0</v>
      </c>
      <c r="C913" s="5" t="n">
        <v>18</v>
      </c>
      <c r="D913" s="18">
        <f>SEASON_HRS_TOM*B913*(1+DIM_TOM)^B913+SEASON_HRS_CAR*C913*(1+DIM_CAR)^C913</f>
        <v>842.2157075615115</v>
      </c>
      <c r="E913" s="18">
        <f>(FARMER_FIELD_HRS+A913*TEMP_HRS)-D913</f>
        <v>2757.7842924384886</v>
      </c>
      <c r="F913" s="21">
        <f>IF(E913&lt;0,0,MIN(COUNTIF(Labor!$C$59:$C$88,"&lt;="&amp;E913),MAXBED_MES,TOTAL_BEDS-B913-C913))</f>
        <v>30</v>
      </c>
      <c r="G913" s="21">
        <f>B913+C913+F913</f>
        <v>48</v>
      </c>
      <c r="H913" s="22">
        <f>IF(E913&lt;0,-999999999,B913*(PRICE_TOM-FERT_TOM)+C913*(PRICE_CAR-FERT_CAR)+F913*(PRICE_MES-FERT_MES)-(FARMER_SALARY+A913*TEMP_COST)-FIXED_COSTS)</f>
        <v>-35628</v>
      </c>
    </row>
    <row r="914">
      <c r="A914" s="5" t="n">
        <v>2</v>
      </c>
      <c r="B914" s="5" t="n">
        <v>0</v>
      </c>
      <c r="C914" s="5" t="n">
        <v>19</v>
      </c>
      <c r="D914" s="18">
        <f>SEASON_HRS_TOM*B914*(1+DIM_TOM)^B914+SEASON_HRS_CAR*C914*(1+DIM_CAR)^C914</f>
        <v>911.2306058200242</v>
      </c>
      <c r="E914" s="18">
        <f>(FARMER_FIELD_HRS+A914*TEMP_HRS)-D914</f>
        <v>2688.7693941799757</v>
      </c>
      <c r="F914" s="21">
        <f>IF(E914&lt;0,0,MIN(COUNTIF(Labor!$C$59:$C$88,"&lt;="&amp;E914),MAXBED_MES,TOTAL_BEDS-B914-C914))</f>
        <v>30</v>
      </c>
      <c r="G914" s="21">
        <f>B914+C914+F914</f>
        <v>49</v>
      </c>
      <c r="H914" s="22">
        <f>IF(E914&lt;0,-999999999,B914*(PRICE_TOM-FERT_TOM)+C914*(PRICE_CAR-FERT_CAR)+F914*(PRICE_MES-FERT_MES)-(FARMER_SALARY+A914*TEMP_COST)-FIXED_COSTS)</f>
        <v>-33974</v>
      </c>
    </row>
    <row r="915">
      <c r="A915" s="5" t="n">
        <v>2</v>
      </c>
      <c r="B915" s="5" t="n">
        <v>0</v>
      </c>
      <c r="C915" s="5" t="n">
        <v>20</v>
      </c>
      <c r="D915" s="18">
        <f>SEASON_HRS_TOM*B915*(1+DIM_TOM)^B915+SEASON_HRS_CAR*C915*(1+DIM_CAR)^C915</f>
        <v>983.1698641742365</v>
      </c>
      <c r="E915" s="18">
        <f>(FARMER_FIELD_HRS+A915*TEMP_HRS)-D915</f>
        <v>2616.8301358257636</v>
      </c>
      <c r="F915" s="21">
        <f>IF(E915&lt;0,0,MIN(COUNTIF(Labor!$C$59:$C$88,"&lt;="&amp;E915),MAXBED_MES,TOTAL_BEDS-B915-C915))</f>
        <v>30</v>
      </c>
      <c r="G915" s="21">
        <f>B915+C915+F915</f>
        <v>50</v>
      </c>
      <c r="H915" s="22">
        <f>IF(E915&lt;0,-999999999,B915*(PRICE_TOM-FERT_TOM)+C915*(PRICE_CAR-FERT_CAR)+F915*(PRICE_MES-FERT_MES)-(FARMER_SALARY+A915*TEMP_COST)-FIXED_COSTS)</f>
        <v>-32320</v>
      </c>
    </row>
    <row r="916">
      <c r="A916" s="5" t="n">
        <v>2</v>
      </c>
      <c r="B916" s="5" t="n">
        <v>1</v>
      </c>
      <c r="C916" s="5" t="n">
        <v>0</v>
      </c>
      <c r="D916" s="18">
        <f>SEASON_HRS_TOM*B916*(1+DIM_TOM)^B916+SEASON_HRS_CAR*C916*(1+DIM_CAR)^C916</f>
        <v>99.00000000000001</v>
      </c>
      <c r="E916" s="18">
        <f>(FARMER_FIELD_HRS+A916*TEMP_HRS)-D916</f>
        <v>3501</v>
      </c>
      <c r="F916" s="21">
        <f>IF(E916&lt;0,0,MIN(COUNTIF(Labor!$C$59:$C$88,"&lt;="&amp;E916),MAXBED_MES,TOTAL_BEDS-B916-C916))</f>
        <v>30</v>
      </c>
      <c r="G916" s="21">
        <f>B916+C916+F916</f>
        <v>31</v>
      </c>
      <c r="H916" s="22">
        <f>IF(E916&lt;0,-999999999,B916*(PRICE_TOM-FERT_TOM)+C916*(PRICE_CAR-FERT_CAR)+F916*(PRICE_MES-FERT_MES)-(FARMER_SALARY+A916*TEMP_COST)-FIXED_COSTS)</f>
        <v>-57480</v>
      </c>
    </row>
    <row r="917">
      <c r="A917" s="5" t="n">
        <v>2</v>
      </c>
      <c r="B917" s="5" t="n">
        <v>1</v>
      </c>
      <c r="C917" s="5" t="n">
        <v>1</v>
      </c>
      <c r="D917" s="18">
        <f>SEASON_HRS_TOM*B917*(1+DIM_TOM)^B917+SEASON_HRS_CAR*C917*(1+DIM_CAR)^C917</f>
        <v>129.75</v>
      </c>
      <c r="E917" s="18">
        <f>(FARMER_FIELD_HRS+A917*TEMP_HRS)-D917</f>
        <v>3470.25</v>
      </c>
      <c r="F917" s="21">
        <f>IF(E917&lt;0,0,MIN(COUNTIF(Labor!$C$59:$C$88,"&lt;="&amp;E917),MAXBED_MES,TOTAL_BEDS-B917-C917))</f>
        <v>30</v>
      </c>
      <c r="G917" s="21">
        <f>B917+C917+F917</f>
        <v>32</v>
      </c>
      <c r="H917" s="22">
        <f>IF(E917&lt;0,-999999999,B917*(PRICE_TOM-FERT_TOM)+C917*(PRICE_CAR-FERT_CAR)+F917*(PRICE_MES-FERT_MES)-(FARMER_SALARY+A917*TEMP_COST)-FIXED_COSTS)</f>
        <v>-55826</v>
      </c>
    </row>
    <row r="918">
      <c r="A918" s="5" t="n">
        <v>2</v>
      </c>
      <c r="B918" s="5" t="n">
        <v>1</v>
      </c>
      <c r="C918" s="5" t="n">
        <v>2</v>
      </c>
      <c r="D918" s="18">
        <f>SEASON_HRS_TOM*B918*(1+DIM_TOM)^B918+SEASON_HRS_CAR*C918*(1+DIM_CAR)^C918</f>
        <v>162.03750000000002</v>
      </c>
      <c r="E918" s="18">
        <f>(FARMER_FIELD_HRS+A918*TEMP_HRS)-D918</f>
        <v>3437.9625</v>
      </c>
      <c r="F918" s="21">
        <f>IF(E918&lt;0,0,MIN(COUNTIF(Labor!$C$59:$C$88,"&lt;="&amp;E918),MAXBED_MES,TOTAL_BEDS-B918-C918))</f>
        <v>30</v>
      </c>
      <c r="G918" s="21">
        <f>B918+C918+F918</f>
        <v>33</v>
      </c>
      <c r="H918" s="22">
        <f>IF(E918&lt;0,-999999999,B918*(PRICE_TOM-FERT_TOM)+C918*(PRICE_CAR-FERT_CAR)+F918*(PRICE_MES-FERT_MES)-(FARMER_SALARY+A918*TEMP_COST)-FIXED_COSTS)</f>
        <v>-54172</v>
      </c>
    </row>
    <row r="919">
      <c r="A919" s="5" t="n">
        <v>2</v>
      </c>
      <c r="B919" s="5" t="n">
        <v>1</v>
      </c>
      <c r="C919" s="5" t="n">
        <v>3</v>
      </c>
      <c r="D919" s="18">
        <f>SEASON_HRS_TOM*B919*(1+DIM_TOM)^B919+SEASON_HRS_CAR*C919*(1+DIM_CAR)^C919</f>
        <v>195.92015625</v>
      </c>
      <c r="E919" s="18">
        <f>(FARMER_FIELD_HRS+A919*TEMP_HRS)-D919</f>
        <v>3404.07984375</v>
      </c>
      <c r="F919" s="21">
        <f>IF(E919&lt;0,0,MIN(COUNTIF(Labor!$C$59:$C$88,"&lt;="&amp;E919),MAXBED_MES,TOTAL_BEDS-B919-C919))</f>
        <v>30</v>
      </c>
      <c r="G919" s="21">
        <f>B919+C919+F919</f>
        <v>34</v>
      </c>
      <c r="H919" s="22">
        <f>IF(E919&lt;0,-999999999,B919*(PRICE_TOM-FERT_TOM)+C919*(PRICE_CAR-FERT_CAR)+F919*(PRICE_MES-FERT_MES)-(FARMER_SALARY+A919*TEMP_COST)-FIXED_COSTS)</f>
        <v>-52518</v>
      </c>
    </row>
    <row r="920">
      <c r="A920" s="5" t="n">
        <v>2</v>
      </c>
      <c r="B920" s="5" t="n">
        <v>1</v>
      </c>
      <c r="C920" s="5" t="n">
        <v>4</v>
      </c>
      <c r="D920" s="18">
        <f>SEASON_HRS_TOM*B920*(1+DIM_TOM)^B920+SEASON_HRS_CAR*C920*(1+DIM_CAR)^C920</f>
        <v>231.45754687499993</v>
      </c>
      <c r="E920" s="18">
        <f>(FARMER_FIELD_HRS+A920*TEMP_HRS)-D920</f>
        <v>3368.542453125</v>
      </c>
      <c r="F920" s="21">
        <f>IF(E920&lt;0,0,MIN(COUNTIF(Labor!$C$59:$C$88,"&lt;="&amp;E920),MAXBED_MES,TOTAL_BEDS-B920-C920))</f>
        <v>30</v>
      </c>
      <c r="G920" s="21">
        <f>B920+C920+F920</f>
        <v>35</v>
      </c>
      <c r="H920" s="22">
        <f>IF(E920&lt;0,-999999999,B920*(PRICE_TOM-FERT_TOM)+C920*(PRICE_CAR-FERT_CAR)+F920*(PRICE_MES-FERT_MES)-(FARMER_SALARY+A920*TEMP_COST)-FIXED_COSTS)</f>
        <v>-50864</v>
      </c>
    </row>
    <row r="921">
      <c r="A921" s="5" t="n">
        <v>2</v>
      </c>
      <c r="B921" s="5" t="n">
        <v>1</v>
      </c>
      <c r="C921" s="5" t="n">
        <v>5</v>
      </c>
      <c r="D921" s="18">
        <f>SEASON_HRS_TOM*B921*(1+DIM_TOM)^B921+SEASON_HRS_CAR*C921*(1+DIM_CAR)^C921</f>
        <v>268.7112319335937</v>
      </c>
      <c r="E921" s="18">
        <f>(FARMER_FIELD_HRS+A921*TEMP_HRS)-D921</f>
        <v>3331.288768066406</v>
      </c>
      <c r="F921" s="21">
        <f>IF(E921&lt;0,0,MIN(COUNTIF(Labor!$C$59:$C$88,"&lt;="&amp;E921),MAXBED_MES,TOTAL_BEDS-B921-C921))</f>
        <v>30</v>
      </c>
      <c r="G921" s="21">
        <f>B921+C921+F921</f>
        <v>36</v>
      </c>
      <c r="H921" s="22">
        <f>IF(E921&lt;0,-999999999,B921*(PRICE_TOM-FERT_TOM)+C921*(PRICE_CAR-FERT_CAR)+F921*(PRICE_MES-FERT_MES)-(FARMER_SALARY+A921*TEMP_COST)-FIXED_COSTS)</f>
        <v>-49210</v>
      </c>
    </row>
    <row r="922">
      <c r="A922" s="5" t="n">
        <v>2</v>
      </c>
      <c r="B922" s="5" t="n">
        <v>1</v>
      </c>
      <c r="C922" s="5" t="n">
        <v>6</v>
      </c>
      <c r="D922" s="18">
        <f>SEASON_HRS_TOM*B922*(1+DIM_TOM)^B922+SEASON_HRS_CAR*C922*(1+DIM_CAR)^C922</f>
        <v>307.74481527832023</v>
      </c>
      <c r="E922" s="18">
        <f>(FARMER_FIELD_HRS+A922*TEMP_HRS)-D922</f>
        <v>3292.2551847216796</v>
      </c>
      <c r="F922" s="21">
        <f>IF(E922&lt;0,0,MIN(COUNTIF(Labor!$C$59:$C$88,"&lt;="&amp;E922),MAXBED_MES,TOTAL_BEDS-B922-C922))</f>
        <v>30</v>
      </c>
      <c r="G922" s="21">
        <f>B922+C922+F922</f>
        <v>37</v>
      </c>
      <c r="H922" s="22">
        <f>IF(E922&lt;0,-999999999,B922*(PRICE_TOM-FERT_TOM)+C922*(PRICE_CAR-FERT_CAR)+F922*(PRICE_MES-FERT_MES)-(FARMER_SALARY+A922*TEMP_COST)-FIXED_COSTS)</f>
        <v>-47556</v>
      </c>
    </row>
    <row r="923">
      <c r="A923" s="5" t="n">
        <v>2</v>
      </c>
      <c r="B923" s="5" t="n">
        <v>1</v>
      </c>
      <c r="C923" s="5" t="n">
        <v>7</v>
      </c>
      <c r="D923" s="18">
        <f>SEASON_HRS_TOM*B923*(1+DIM_TOM)^B923+SEASON_HRS_CAR*C923*(1+DIM_CAR)^C923</f>
        <v>348.62400827032457</v>
      </c>
      <c r="E923" s="18">
        <f>(FARMER_FIELD_HRS+A923*TEMP_HRS)-D923</f>
        <v>3251.3759917296757</v>
      </c>
      <c r="F923" s="21">
        <f>IF(E923&lt;0,0,MIN(COUNTIF(Labor!$C$59:$C$88,"&lt;="&amp;E923),MAXBED_MES,TOTAL_BEDS-B923-C923))</f>
        <v>30</v>
      </c>
      <c r="G923" s="21">
        <f>B923+C923+F923</f>
        <v>38</v>
      </c>
      <c r="H923" s="22">
        <f>IF(E923&lt;0,-999999999,B923*(PRICE_TOM-FERT_TOM)+C923*(PRICE_CAR-FERT_CAR)+F923*(PRICE_MES-FERT_MES)-(FARMER_SALARY+A923*TEMP_COST)-FIXED_COSTS)</f>
        <v>-45902</v>
      </c>
    </row>
    <row r="924">
      <c r="A924" s="5" t="n">
        <v>2</v>
      </c>
      <c r="B924" s="5" t="n">
        <v>1</v>
      </c>
      <c r="C924" s="5" t="n">
        <v>8</v>
      </c>
      <c r="D924" s="18">
        <f>SEASON_HRS_TOM*B924*(1+DIM_TOM)^B924+SEASON_HRS_CAR*C924*(1+DIM_CAR)^C924</f>
        <v>391.4166954023801</v>
      </c>
      <c r="E924" s="18">
        <f>(FARMER_FIELD_HRS+A924*TEMP_HRS)-D924</f>
        <v>3208.5833045976196</v>
      </c>
      <c r="F924" s="21">
        <f>IF(E924&lt;0,0,MIN(COUNTIF(Labor!$C$59:$C$88,"&lt;="&amp;E924),MAXBED_MES,TOTAL_BEDS-B924-C924))</f>
        <v>30</v>
      </c>
      <c r="G924" s="21">
        <f>B924+C924+F924</f>
        <v>39</v>
      </c>
      <c r="H924" s="22">
        <f>IF(E924&lt;0,-999999999,B924*(PRICE_TOM-FERT_TOM)+C924*(PRICE_CAR-FERT_CAR)+F924*(PRICE_MES-FERT_MES)-(FARMER_SALARY+A924*TEMP_COST)-FIXED_COSTS)</f>
        <v>-44248</v>
      </c>
    </row>
    <row r="925">
      <c r="A925" s="5" t="n">
        <v>2</v>
      </c>
      <c r="B925" s="5" t="n">
        <v>1</v>
      </c>
      <c r="C925" s="5" t="n">
        <v>9</v>
      </c>
      <c r="D925" s="18">
        <f>SEASON_HRS_TOM*B925*(1+DIM_TOM)^B925+SEASON_HRS_CAR*C925*(1+DIM_CAR)^C925</f>
        <v>436.1930018858696</v>
      </c>
      <c r="E925" s="18">
        <f>(FARMER_FIELD_HRS+A925*TEMP_HRS)-D925</f>
        <v>3163.8069981141302</v>
      </c>
      <c r="F925" s="21">
        <f>IF(E925&lt;0,0,MIN(COUNTIF(Labor!$C$59:$C$88,"&lt;="&amp;E925),MAXBED_MES,TOTAL_BEDS-B925-C925))</f>
        <v>30</v>
      </c>
      <c r="G925" s="21">
        <f>B925+C925+F925</f>
        <v>40</v>
      </c>
      <c r="H925" s="22">
        <f>IF(E925&lt;0,-999999999,B925*(PRICE_TOM-FERT_TOM)+C925*(PRICE_CAR-FERT_CAR)+F925*(PRICE_MES-FERT_MES)-(FARMER_SALARY+A925*TEMP_COST)-FIXED_COSTS)</f>
        <v>-42594</v>
      </c>
    </row>
    <row r="926">
      <c r="A926" s="5" t="n">
        <v>2</v>
      </c>
      <c r="B926" s="5" t="n">
        <v>1</v>
      </c>
      <c r="C926" s="5" t="n">
        <v>10</v>
      </c>
      <c r="D926" s="18">
        <f>SEASON_HRS_TOM*B926*(1+DIM_TOM)^B926+SEASON_HRS_CAR*C926*(1+DIM_CAR)^C926</f>
        <v>483.025363258907</v>
      </c>
      <c r="E926" s="18">
        <f>(FARMER_FIELD_HRS+A926*TEMP_HRS)-D926</f>
        <v>3116.974636741093</v>
      </c>
      <c r="F926" s="21">
        <f>IF(E926&lt;0,0,MIN(COUNTIF(Labor!$C$59:$C$88,"&lt;="&amp;E926),MAXBED_MES,TOTAL_BEDS-B926-C926))</f>
        <v>30</v>
      </c>
      <c r="G926" s="21">
        <f>B926+C926+F926</f>
        <v>41</v>
      </c>
      <c r="H926" s="22">
        <f>IF(E926&lt;0,-999999999,B926*(PRICE_TOM-FERT_TOM)+C926*(PRICE_CAR-FERT_CAR)+F926*(PRICE_MES-FERT_MES)-(FARMER_SALARY+A926*TEMP_COST)-FIXED_COSTS)</f>
        <v>-40940</v>
      </c>
    </row>
    <row r="927">
      <c r="A927" s="5" t="n">
        <v>2</v>
      </c>
      <c r="B927" s="5" t="n">
        <v>1</v>
      </c>
      <c r="C927" s="5" t="n">
        <v>11</v>
      </c>
      <c r="D927" s="18">
        <f>SEASON_HRS_TOM*B927*(1+DIM_TOM)^B927+SEASON_HRS_CAR*C927*(1+DIM_CAR)^C927</f>
        <v>531.9885970744176</v>
      </c>
      <c r="E927" s="18">
        <f>(FARMER_FIELD_HRS+A927*TEMP_HRS)-D927</f>
        <v>3068.0114029255824</v>
      </c>
      <c r="F927" s="21">
        <f>IF(E927&lt;0,0,MIN(COUNTIF(Labor!$C$59:$C$88,"&lt;="&amp;E927),MAXBED_MES,TOTAL_BEDS-B927-C927))</f>
        <v>30</v>
      </c>
      <c r="G927" s="21">
        <f>B927+C927+F927</f>
        <v>42</v>
      </c>
      <c r="H927" s="22">
        <f>IF(E927&lt;0,-999999999,B927*(PRICE_TOM-FERT_TOM)+C927*(PRICE_CAR-FERT_CAR)+F927*(PRICE_MES-FERT_MES)-(FARMER_SALARY+A927*TEMP_COST)-FIXED_COSTS)</f>
        <v>-39286</v>
      </c>
    </row>
    <row r="928">
      <c r="A928" s="5" t="n">
        <v>2</v>
      </c>
      <c r="B928" s="5" t="n">
        <v>1</v>
      </c>
      <c r="C928" s="5" t="n">
        <v>12</v>
      </c>
      <c r="D928" s="18">
        <f>SEASON_HRS_TOM*B928*(1+DIM_TOM)^B928+SEASON_HRS_CAR*C928*(1+DIM_CAR)^C928</f>
        <v>583.159976728667</v>
      </c>
      <c r="E928" s="18">
        <f>(FARMER_FIELD_HRS+A928*TEMP_HRS)-D928</f>
        <v>3016.840023271333</v>
      </c>
      <c r="F928" s="21">
        <f>IF(E928&lt;0,0,MIN(COUNTIF(Labor!$C$59:$C$88,"&lt;="&amp;E928),MAXBED_MES,TOTAL_BEDS-B928-C928))</f>
        <v>30</v>
      </c>
      <c r="G928" s="21">
        <f>B928+C928+F928</f>
        <v>43</v>
      </c>
      <c r="H928" s="22">
        <f>IF(E928&lt;0,-999999999,B928*(PRICE_TOM-FERT_TOM)+C928*(PRICE_CAR-FERT_CAR)+F928*(PRICE_MES-FERT_MES)-(FARMER_SALARY+A928*TEMP_COST)-FIXED_COSTS)</f>
        <v>-37632</v>
      </c>
    </row>
    <row r="929">
      <c r="A929" s="5" t="n">
        <v>2</v>
      </c>
      <c r="B929" s="5" t="n">
        <v>1</v>
      </c>
      <c r="C929" s="5" t="n">
        <v>13</v>
      </c>
      <c r="D929" s="18">
        <f>SEASON_HRS_TOM*B929*(1+DIM_TOM)^B929+SEASON_HRS_CAR*C929*(1+DIM_CAR)^C929</f>
        <v>636.6193074924571</v>
      </c>
      <c r="E929" s="18">
        <f>(FARMER_FIELD_HRS+A929*TEMP_HRS)-D929</f>
        <v>2963.380692507543</v>
      </c>
      <c r="F929" s="21">
        <f>IF(E929&lt;0,0,MIN(COUNTIF(Labor!$C$59:$C$88,"&lt;="&amp;E929),MAXBED_MES,TOTAL_BEDS-B929-C929))</f>
        <v>30</v>
      </c>
      <c r="G929" s="21">
        <f>B929+C929+F929</f>
        <v>44</v>
      </c>
      <c r="H929" s="22">
        <f>IF(E929&lt;0,-999999999,B929*(PRICE_TOM-FERT_TOM)+C929*(PRICE_CAR-FERT_CAR)+F929*(PRICE_MES-FERT_MES)-(FARMER_SALARY+A929*TEMP_COST)-FIXED_COSTS)</f>
        <v>-35978</v>
      </c>
    </row>
    <row r="930">
      <c r="A930" s="5" t="n">
        <v>2</v>
      </c>
      <c r="B930" s="5" t="n">
        <v>1</v>
      </c>
      <c r="C930" s="5" t="n">
        <v>14</v>
      </c>
      <c r="D930" s="18">
        <f>SEASON_HRS_TOM*B930*(1+DIM_TOM)^B930+SEASON_HRS_CAR*C930*(1+DIM_CAR)^C930</f>
        <v>692.4490048089816</v>
      </c>
      <c r="E930" s="18">
        <f>(FARMER_FIELD_HRS+A930*TEMP_HRS)-D930</f>
        <v>2907.5509951910185</v>
      </c>
      <c r="F930" s="21">
        <f>IF(E930&lt;0,0,MIN(COUNTIF(Labor!$C$59:$C$88,"&lt;="&amp;E930),MAXBED_MES,TOTAL_BEDS-B930-C930))</f>
        <v>30</v>
      </c>
      <c r="G930" s="21">
        <f>B930+C930+F930</f>
        <v>45</v>
      </c>
      <c r="H930" s="22">
        <f>IF(E930&lt;0,-999999999,B930*(PRICE_TOM-FERT_TOM)+C930*(PRICE_CAR-FERT_CAR)+F930*(PRICE_MES-FERT_MES)-(FARMER_SALARY+A930*TEMP_COST)-FIXED_COSTS)</f>
        <v>-34324</v>
      </c>
    </row>
    <row r="931">
      <c r="A931" s="5" t="n">
        <v>2</v>
      </c>
      <c r="B931" s="5" t="n">
        <v>1</v>
      </c>
      <c r="C931" s="5" t="n">
        <v>15</v>
      </c>
      <c r="D931" s="18">
        <f>SEASON_HRS_TOM*B931*(1+DIM_TOM)^B931+SEASON_HRS_CAR*C931*(1+DIM_CAR)^C931</f>
        <v>750.7341749241493</v>
      </c>
      <c r="E931" s="18">
        <f>(FARMER_FIELD_HRS+A931*TEMP_HRS)-D931</f>
        <v>2849.2658250758504</v>
      </c>
      <c r="F931" s="21">
        <f>IF(E931&lt;0,0,MIN(COUNTIF(Labor!$C$59:$C$88,"&lt;="&amp;E931),MAXBED_MES,TOTAL_BEDS-B931-C931))</f>
        <v>30</v>
      </c>
      <c r="G931" s="21">
        <f>B931+C931+F931</f>
        <v>46</v>
      </c>
      <c r="H931" s="22">
        <f>IF(E931&lt;0,-999999999,B931*(PRICE_TOM-FERT_TOM)+C931*(PRICE_CAR-FERT_CAR)+F931*(PRICE_MES-FERT_MES)-(FARMER_SALARY+A931*TEMP_COST)-FIXED_COSTS)</f>
        <v>-32670</v>
      </c>
    </row>
    <row r="932">
      <c r="A932" s="5" t="n">
        <v>2</v>
      </c>
      <c r="B932" s="5" t="n">
        <v>1</v>
      </c>
      <c r="C932" s="5" t="n">
        <v>16</v>
      </c>
      <c r="D932" s="18">
        <f>SEASON_HRS_TOM*B932*(1+DIM_TOM)^B932+SEASON_HRS_CAR*C932*(1+DIM_CAR)^C932</f>
        <v>811.5626979170698</v>
      </c>
      <c r="E932" s="18">
        <f>(FARMER_FIELD_HRS+A932*TEMP_HRS)-D932</f>
        <v>2788.4373020829303</v>
      </c>
      <c r="F932" s="21">
        <f>IF(E932&lt;0,0,MIN(COUNTIF(Labor!$C$59:$C$88,"&lt;="&amp;E932),MAXBED_MES,TOTAL_BEDS-B932-C932))</f>
        <v>30</v>
      </c>
      <c r="G932" s="21">
        <f>B932+C932+F932</f>
        <v>47</v>
      </c>
      <c r="H932" s="22">
        <f>IF(E932&lt;0,-999999999,B932*(PRICE_TOM-FERT_TOM)+C932*(PRICE_CAR-FERT_CAR)+F932*(PRICE_MES-FERT_MES)-(FARMER_SALARY+A932*TEMP_COST)-FIXED_COSTS)</f>
        <v>-31016</v>
      </c>
    </row>
    <row r="933">
      <c r="A933" s="5" t="n">
        <v>2</v>
      </c>
      <c r="B933" s="5" t="n">
        <v>1</v>
      </c>
      <c r="C933" s="5" t="n">
        <v>17</v>
      </c>
      <c r="D933" s="18">
        <f>SEASON_HRS_TOM*B933*(1+DIM_TOM)^B933+SEASON_HRS_CAR*C933*(1+DIM_CAR)^C933</f>
        <v>875.0253132003088</v>
      </c>
      <c r="E933" s="18">
        <f>(FARMER_FIELD_HRS+A933*TEMP_HRS)-D933</f>
        <v>2724.974686799691</v>
      </c>
      <c r="F933" s="21">
        <f>IF(E933&lt;0,0,MIN(COUNTIF(Labor!$C$59:$C$88,"&lt;="&amp;E933),MAXBED_MES,TOTAL_BEDS-B933-C933))</f>
        <v>30</v>
      </c>
      <c r="G933" s="21">
        <f>B933+C933+F933</f>
        <v>48</v>
      </c>
      <c r="H933" s="22">
        <f>IF(E933&lt;0,-999999999,B933*(PRICE_TOM-FERT_TOM)+C933*(PRICE_CAR-FERT_CAR)+F933*(PRICE_MES-FERT_MES)-(FARMER_SALARY+A933*TEMP_COST)-FIXED_COSTS)</f>
        <v>-29362</v>
      </c>
    </row>
    <row r="934">
      <c r="A934" s="5" t="n">
        <v>2</v>
      </c>
      <c r="B934" s="5" t="n">
        <v>1</v>
      </c>
      <c r="C934" s="5" t="n">
        <v>18</v>
      </c>
      <c r="D934" s="18">
        <f>SEASON_HRS_TOM*B934*(1+DIM_TOM)^B934+SEASON_HRS_CAR*C934*(1+DIM_CAR)^C934</f>
        <v>941.2157075615115</v>
      </c>
      <c r="E934" s="18">
        <f>(FARMER_FIELD_HRS+A934*TEMP_HRS)-D934</f>
        <v>2658.7842924384886</v>
      </c>
      <c r="F934" s="21">
        <f>IF(E934&lt;0,0,MIN(COUNTIF(Labor!$C$59:$C$88,"&lt;="&amp;E934),MAXBED_MES,TOTAL_BEDS-B934-C934))</f>
        <v>30</v>
      </c>
      <c r="G934" s="21">
        <f>B934+C934+F934</f>
        <v>49</v>
      </c>
      <c r="H934" s="22">
        <f>IF(E934&lt;0,-999999999,B934*(PRICE_TOM-FERT_TOM)+C934*(PRICE_CAR-FERT_CAR)+F934*(PRICE_MES-FERT_MES)-(FARMER_SALARY+A934*TEMP_COST)-FIXED_COSTS)</f>
        <v>-27708</v>
      </c>
    </row>
    <row r="935">
      <c r="A935" s="5" t="n">
        <v>2</v>
      </c>
      <c r="B935" s="5" t="n">
        <v>1</v>
      </c>
      <c r="C935" s="5" t="n">
        <v>19</v>
      </c>
      <c r="D935" s="18">
        <f>SEASON_HRS_TOM*B935*(1+DIM_TOM)^B935+SEASON_HRS_CAR*C935*(1+DIM_CAR)^C935</f>
        <v>1010.2306058200242</v>
      </c>
      <c r="E935" s="18">
        <f>(FARMER_FIELD_HRS+A935*TEMP_HRS)-D935</f>
        <v>2589.7693941799757</v>
      </c>
      <c r="F935" s="21">
        <f>IF(E935&lt;0,0,MIN(COUNTIF(Labor!$C$59:$C$88,"&lt;="&amp;E935),MAXBED_MES,TOTAL_BEDS-B935-C935))</f>
        <v>30</v>
      </c>
      <c r="G935" s="21">
        <f>B935+C935+F935</f>
        <v>50</v>
      </c>
      <c r="H935" s="22">
        <f>IF(E935&lt;0,-999999999,B935*(PRICE_TOM-FERT_TOM)+C935*(PRICE_CAR-FERT_CAR)+F935*(PRICE_MES-FERT_MES)-(FARMER_SALARY+A935*TEMP_COST)-FIXED_COSTS)</f>
        <v>-26054</v>
      </c>
    </row>
    <row r="936">
      <c r="A936" s="5" t="n">
        <v>2</v>
      </c>
      <c r="B936" s="5" t="n">
        <v>1</v>
      </c>
      <c r="C936" s="5" t="n">
        <v>20</v>
      </c>
      <c r="D936" s="18">
        <f>SEASON_HRS_TOM*B936*(1+DIM_TOM)^B936+SEASON_HRS_CAR*C936*(1+DIM_CAR)^C936</f>
        <v>1082.1698641742366</v>
      </c>
      <c r="E936" s="18">
        <f>(FARMER_FIELD_HRS+A936*TEMP_HRS)-D936</f>
        <v>2517.830135825763</v>
      </c>
      <c r="F936" s="21">
        <f>IF(E936&lt;0,0,MIN(COUNTIF(Labor!$C$59:$C$88,"&lt;="&amp;E936),MAXBED_MES,TOTAL_BEDS-B936-C936))</f>
        <v>30</v>
      </c>
      <c r="G936" s="21">
        <f>B936+C936+F936</f>
        <v>51</v>
      </c>
      <c r="H936" s="22">
        <f>IF(E936&lt;0,-999999999,B936*(PRICE_TOM-FERT_TOM)+C936*(PRICE_CAR-FERT_CAR)+F936*(PRICE_MES-FERT_MES)-(FARMER_SALARY+A936*TEMP_COST)-FIXED_COSTS)</f>
        <v>-24400</v>
      </c>
    </row>
    <row r="937">
      <c r="A937" s="5" t="n">
        <v>2</v>
      </c>
      <c r="B937" s="5" t="n">
        <v>2</v>
      </c>
      <c r="C937" s="5" t="n">
        <v>0</v>
      </c>
      <c r="D937" s="18">
        <f>SEASON_HRS_TOM*B937*(1+DIM_TOM)^B937+SEASON_HRS_CAR*C937*(1+DIM_CAR)^C937</f>
        <v>217.80000000000004</v>
      </c>
      <c r="E937" s="18">
        <f>(FARMER_FIELD_HRS+A937*TEMP_HRS)-D937</f>
        <v>3382.2</v>
      </c>
      <c r="F937" s="21">
        <f>IF(E937&lt;0,0,MIN(COUNTIF(Labor!$C$59:$C$88,"&lt;="&amp;E937),MAXBED_MES,TOTAL_BEDS-B937-C937))</f>
        <v>30</v>
      </c>
      <c r="G937" s="21">
        <f>B937+C937+F937</f>
        <v>32</v>
      </c>
      <c r="H937" s="22">
        <f>IF(E937&lt;0,-999999999,B937*(PRICE_TOM-FERT_TOM)+C937*(PRICE_CAR-FERT_CAR)+F937*(PRICE_MES-FERT_MES)-(FARMER_SALARY+A937*TEMP_COST)-FIXED_COSTS)</f>
        <v>-49560</v>
      </c>
    </row>
    <row r="938">
      <c r="A938" s="5" t="n">
        <v>2</v>
      </c>
      <c r="B938" s="5" t="n">
        <v>2</v>
      </c>
      <c r="C938" s="5" t="n">
        <v>1</v>
      </c>
      <c r="D938" s="18">
        <f>SEASON_HRS_TOM*B938*(1+DIM_TOM)^B938+SEASON_HRS_CAR*C938*(1+DIM_CAR)^C938</f>
        <v>248.55000000000004</v>
      </c>
      <c r="E938" s="18">
        <f>(FARMER_FIELD_HRS+A938*TEMP_HRS)-D938</f>
        <v>3351.45</v>
      </c>
      <c r="F938" s="21">
        <f>IF(E938&lt;0,0,MIN(COUNTIF(Labor!$C$59:$C$88,"&lt;="&amp;E938),MAXBED_MES,TOTAL_BEDS-B938-C938))</f>
        <v>30</v>
      </c>
      <c r="G938" s="21">
        <f>B938+C938+F938</f>
        <v>33</v>
      </c>
      <c r="H938" s="22">
        <f>IF(E938&lt;0,-999999999,B938*(PRICE_TOM-FERT_TOM)+C938*(PRICE_CAR-FERT_CAR)+F938*(PRICE_MES-FERT_MES)-(FARMER_SALARY+A938*TEMP_COST)-FIXED_COSTS)</f>
        <v>-47906</v>
      </c>
    </row>
    <row r="939">
      <c r="A939" s="5" t="n">
        <v>2</v>
      </c>
      <c r="B939" s="5" t="n">
        <v>2</v>
      </c>
      <c r="C939" s="5" t="n">
        <v>2</v>
      </c>
      <c r="D939" s="18">
        <f>SEASON_HRS_TOM*B939*(1+DIM_TOM)^B939+SEASON_HRS_CAR*C939*(1+DIM_CAR)^C939</f>
        <v>280.83750000000003</v>
      </c>
      <c r="E939" s="18">
        <f>(FARMER_FIELD_HRS+A939*TEMP_HRS)-D939</f>
        <v>3319.1625</v>
      </c>
      <c r="F939" s="21">
        <f>IF(E939&lt;0,0,MIN(COUNTIF(Labor!$C$59:$C$88,"&lt;="&amp;E939),MAXBED_MES,TOTAL_BEDS-B939-C939))</f>
        <v>30</v>
      </c>
      <c r="G939" s="21">
        <f>B939+C939+F939</f>
        <v>34</v>
      </c>
      <c r="H939" s="22">
        <f>IF(E939&lt;0,-999999999,B939*(PRICE_TOM-FERT_TOM)+C939*(PRICE_CAR-FERT_CAR)+F939*(PRICE_MES-FERT_MES)-(FARMER_SALARY+A939*TEMP_COST)-FIXED_COSTS)</f>
        <v>-46252</v>
      </c>
    </row>
    <row r="940">
      <c r="A940" s="5" t="n">
        <v>2</v>
      </c>
      <c r="B940" s="5" t="n">
        <v>2</v>
      </c>
      <c r="C940" s="5" t="n">
        <v>3</v>
      </c>
      <c r="D940" s="18">
        <f>SEASON_HRS_TOM*B940*(1+DIM_TOM)^B940+SEASON_HRS_CAR*C940*(1+DIM_CAR)^C940</f>
        <v>314.72015625</v>
      </c>
      <c r="E940" s="18">
        <f>(FARMER_FIELD_HRS+A940*TEMP_HRS)-D940</f>
        <v>3285.27984375</v>
      </c>
      <c r="F940" s="21">
        <f>IF(E940&lt;0,0,MIN(COUNTIF(Labor!$C$59:$C$88,"&lt;="&amp;E940),MAXBED_MES,TOTAL_BEDS-B940-C940))</f>
        <v>30</v>
      </c>
      <c r="G940" s="21">
        <f>B940+C940+F940</f>
        <v>35</v>
      </c>
      <c r="H940" s="22">
        <f>IF(E940&lt;0,-999999999,B940*(PRICE_TOM-FERT_TOM)+C940*(PRICE_CAR-FERT_CAR)+F940*(PRICE_MES-FERT_MES)-(FARMER_SALARY+A940*TEMP_COST)-FIXED_COSTS)</f>
        <v>-44598</v>
      </c>
    </row>
    <row r="941">
      <c r="A941" s="5" t="n">
        <v>2</v>
      </c>
      <c r="B941" s="5" t="n">
        <v>2</v>
      </c>
      <c r="C941" s="5" t="n">
        <v>4</v>
      </c>
      <c r="D941" s="18">
        <f>SEASON_HRS_TOM*B941*(1+DIM_TOM)^B941+SEASON_HRS_CAR*C941*(1+DIM_CAR)^C941</f>
        <v>350.257546875</v>
      </c>
      <c r="E941" s="18">
        <f>(FARMER_FIELD_HRS+A941*TEMP_HRS)-D941</f>
        <v>3249.742453125</v>
      </c>
      <c r="F941" s="21">
        <f>IF(E941&lt;0,0,MIN(COUNTIF(Labor!$C$59:$C$88,"&lt;="&amp;E941),MAXBED_MES,TOTAL_BEDS-B941-C941))</f>
        <v>30</v>
      </c>
      <c r="G941" s="21">
        <f>B941+C941+F941</f>
        <v>36</v>
      </c>
      <c r="H941" s="22">
        <f>IF(E941&lt;0,-999999999,B941*(PRICE_TOM-FERT_TOM)+C941*(PRICE_CAR-FERT_CAR)+F941*(PRICE_MES-FERT_MES)-(FARMER_SALARY+A941*TEMP_COST)-FIXED_COSTS)</f>
        <v>-42944</v>
      </c>
    </row>
    <row r="942">
      <c r="A942" s="5" t="n">
        <v>2</v>
      </c>
      <c r="B942" s="5" t="n">
        <v>2</v>
      </c>
      <c r="C942" s="5" t="n">
        <v>5</v>
      </c>
      <c r="D942" s="18">
        <f>SEASON_HRS_TOM*B942*(1+DIM_TOM)^B942+SEASON_HRS_CAR*C942*(1+DIM_CAR)^C942</f>
        <v>387.5112319335937</v>
      </c>
      <c r="E942" s="18">
        <f>(FARMER_FIELD_HRS+A942*TEMP_HRS)-D942</f>
        <v>3212.4887680664065</v>
      </c>
      <c r="F942" s="21">
        <f>IF(E942&lt;0,0,MIN(COUNTIF(Labor!$C$59:$C$88,"&lt;="&amp;E942),MAXBED_MES,TOTAL_BEDS-B942-C942))</f>
        <v>30</v>
      </c>
      <c r="G942" s="21">
        <f>B942+C942+F942</f>
        <v>37</v>
      </c>
      <c r="H942" s="22">
        <f>IF(E942&lt;0,-999999999,B942*(PRICE_TOM-FERT_TOM)+C942*(PRICE_CAR-FERT_CAR)+F942*(PRICE_MES-FERT_MES)-(FARMER_SALARY+A942*TEMP_COST)-FIXED_COSTS)</f>
        <v>-41290</v>
      </c>
    </row>
    <row r="943">
      <c r="A943" s="5" t="n">
        <v>2</v>
      </c>
      <c r="B943" s="5" t="n">
        <v>2</v>
      </c>
      <c r="C943" s="5" t="n">
        <v>6</v>
      </c>
      <c r="D943" s="18">
        <f>SEASON_HRS_TOM*B943*(1+DIM_TOM)^B943+SEASON_HRS_CAR*C943*(1+DIM_CAR)^C943</f>
        <v>426.54481527832024</v>
      </c>
      <c r="E943" s="18">
        <f>(FARMER_FIELD_HRS+A943*TEMP_HRS)-D943</f>
        <v>3173.45518472168</v>
      </c>
      <c r="F943" s="21">
        <f>IF(E943&lt;0,0,MIN(COUNTIF(Labor!$C$59:$C$88,"&lt;="&amp;E943),MAXBED_MES,TOTAL_BEDS-B943-C943))</f>
        <v>30</v>
      </c>
      <c r="G943" s="21">
        <f>B943+C943+F943</f>
        <v>38</v>
      </c>
      <c r="H943" s="22">
        <f>IF(E943&lt;0,-999999999,B943*(PRICE_TOM-FERT_TOM)+C943*(PRICE_CAR-FERT_CAR)+F943*(PRICE_MES-FERT_MES)-(FARMER_SALARY+A943*TEMP_COST)-FIXED_COSTS)</f>
        <v>-39636</v>
      </c>
    </row>
    <row r="944">
      <c r="A944" s="5" t="n">
        <v>2</v>
      </c>
      <c r="B944" s="5" t="n">
        <v>2</v>
      </c>
      <c r="C944" s="5" t="n">
        <v>7</v>
      </c>
      <c r="D944" s="18">
        <f>SEASON_HRS_TOM*B944*(1+DIM_TOM)^B944+SEASON_HRS_CAR*C944*(1+DIM_CAR)^C944</f>
        <v>467.42400827032463</v>
      </c>
      <c r="E944" s="18">
        <f>(FARMER_FIELD_HRS+A944*TEMP_HRS)-D944</f>
        <v>3132.5759917296755</v>
      </c>
      <c r="F944" s="21">
        <f>IF(E944&lt;0,0,MIN(COUNTIF(Labor!$C$59:$C$88,"&lt;="&amp;E944),MAXBED_MES,TOTAL_BEDS-B944-C944))</f>
        <v>30</v>
      </c>
      <c r="G944" s="21">
        <f>B944+C944+F944</f>
        <v>39</v>
      </c>
      <c r="H944" s="22">
        <f>IF(E944&lt;0,-999999999,B944*(PRICE_TOM-FERT_TOM)+C944*(PRICE_CAR-FERT_CAR)+F944*(PRICE_MES-FERT_MES)-(FARMER_SALARY+A944*TEMP_COST)-FIXED_COSTS)</f>
        <v>-37982</v>
      </c>
    </row>
    <row r="945">
      <c r="A945" s="5" t="n">
        <v>2</v>
      </c>
      <c r="B945" s="5" t="n">
        <v>2</v>
      </c>
      <c r="C945" s="5" t="n">
        <v>8</v>
      </c>
      <c r="D945" s="18">
        <f>SEASON_HRS_TOM*B945*(1+DIM_TOM)^B945+SEASON_HRS_CAR*C945*(1+DIM_CAR)^C945</f>
        <v>510.2166954023802</v>
      </c>
      <c r="E945" s="18">
        <f>(FARMER_FIELD_HRS+A945*TEMP_HRS)-D945</f>
        <v>3089.78330459762</v>
      </c>
      <c r="F945" s="21">
        <f>IF(E945&lt;0,0,MIN(COUNTIF(Labor!$C$59:$C$88,"&lt;="&amp;E945),MAXBED_MES,TOTAL_BEDS-B945-C945))</f>
        <v>30</v>
      </c>
      <c r="G945" s="21">
        <f>B945+C945+F945</f>
        <v>40</v>
      </c>
      <c r="H945" s="22">
        <f>IF(E945&lt;0,-999999999,B945*(PRICE_TOM-FERT_TOM)+C945*(PRICE_CAR-FERT_CAR)+F945*(PRICE_MES-FERT_MES)-(FARMER_SALARY+A945*TEMP_COST)-FIXED_COSTS)</f>
        <v>-36328</v>
      </c>
    </row>
    <row r="946">
      <c r="A946" s="5" t="n">
        <v>2</v>
      </c>
      <c r="B946" s="5" t="n">
        <v>2</v>
      </c>
      <c r="C946" s="5" t="n">
        <v>9</v>
      </c>
      <c r="D946" s="18">
        <f>SEASON_HRS_TOM*B946*(1+DIM_TOM)^B946+SEASON_HRS_CAR*C946*(1+DIM_CAR)^C946</f>
        <v>554.9930018858696</v>
      </c>
      <c r="E946" s="18">
        <f>(FARMER_FIELD_HRS+A946*TEMP_HRS)-D946</f>
        <v>3045.0069981141305</v>
      </c>
      <c r="F946" s="21">
        <f>IF(E946&lt;0,0,MIN(COUNTIF(Labor!$C$59:$C$88,"&lt;="&amp;E946),MAXBED_MES,TOTAL_BEDS-B946-C946))</f>
        <v>30</v>
      </c>
      <c r="G946" s="21">
        <f>B946+C946+F946</f>
        <v>41</v>
      </c>
      <c r="H946" s="22">
        <f>IF(E946&lt;0,-999999999,B946*(PRICE_TOM-FERT_TOM)+C946*(PRICE_CAR-FERT_CAR)+F946*(PRICE_MES-FERT_MES)-(FARMER_SALARY+A946*TEMP_COST)-FIXED_COSTS)</f>
        <v>-34674</v>
      </c>
    </row>
    <row r="947">
      <c r="A947" s="5" t="n">
        <v>2</v>
      </c>
      <c r="B947" s="5" t="n">
        <v>2</v>
      </c>
      <c r="C947" s="5" t="n">
        <v>10</v>
      </c>
      <c r="D947" s="18">
        <f>SEASON_HRS_TOM*B947*(1+DIM_TOM)^B947+SEASON_HRS_CAR*C947*(1+DIM_CAR)^C947</f>
        <v>601.825363258907</v>
      </c>
      <c r="E947" s="18">
        <f>(FARMER_FIELD_HRS+A947*TEMP_HRS)-D947</f>
        <v>2998.174636741093</v>
      </c>
      <c r="F947" s="21">
        <f>IF(E947&lt;0,0,MIN(COUNTIF(Labor!$C$59:$C$88,"&lt;="&amp;E947),MAXBED_MES,TOTAL_BEDS-B947-C947))</f>
        <v>30</v>
      </c>
      <c r="G947" s="21">
        <f>B947+C947+F947</f>
        <v>42</v>
      </c>
      <c r="H947" s="22">
        <f>IF(E947&lt;0,-999999999,B947*(PRICE_TOM-FERT_TOM)+C947*(PRICE_CAR-FERT_CAR)+F947*(PRICE_MES-FERT_MES)-(FARMER_SALARY+A947*TEMP_COST)-FIXED_COSTS)</f>
        <v>-33020</v>
      </c>
    </row>
    <row r="948">
      <c r="A948" s="5" t="n">
        <v>2</v>
      </c>
      <c r="B948" s="5" t="n">
        <v>2</v>
      </c>
      <c r="C948" s="5" t="n">
        <v>11</v>
      </c>
      <c r="D948" s="18">
        <f>SEASON_HRS_TOM*B948*(1+DIM_TOM)^B948+SEASON_HRS_CAR*C948*(1+DIM_CAR)^C948</f>
        <v>650.7885970744177</v>
      </c>
      <c r="E948" s="18">
        <f>(FARMER_FIELD_HRS+A948*TEMP_HRS)-D948</f>
        <v>2949.211402925582</v>
      </c>
      <c r="F948" s="21">
        <f>IF(E948&lt;0,0,MIN(COUNTIF(Labor!$C$59:$C$88,"&lt;="&amp;E948),MAXBED_MES,TOTAL_BEDS-B948-C948))</f>
        <v>30</v>
      </c>
      <c r="G948" s="21">
        <f>B948+C948+F948</f>
        <v>43</v>
      </c>
      <c r="H948" s="22">
        <f>IF(E948&lt;0,-999999999,B948*(PRICE_TOM-FERT_TOM)+C948*(PRICE_CAR-FERT_CAR)+F948*(PRICE_MES-FERT_MES)-(FARMER_SALARY+A948*TEMP_COST)-FIXED_COSTS)</f>
        <v>-31366</v>
      </c>
    </row>
    <row r="949">
      <c r="A949" s="5" t="n">
        <v>2</v>
      </c>
      <c r="B949" s="5" t="n">
        <v>2</v>
      </c>
      <c r="C949" s="5" t="n">
        <v>12</v>
      </c>
      <c r="D949" s="18">
        <f>SEASON_HRS_TOM*B949*(1+DIM_TOM)^B949+SEASON_HRS_CAR*C949*(1+DIM_CAR)^C949</f>
        <v>701.959976728667</v>
      </c>
      <c r="E949" s="18">
        <f>(FARMER_FIELD_HRS+A949*TEMP_HRS)-D949</f>
        <v>2898.0400232713328</v>
      </c>
      <c r="F949" s="21">
        <f>IF(E949&lt;0,0,MIN(COUNTIF(Labor!$C$59:$C$88,"&lt;="&amp;E949),MAXBED_MES,TOTAL_BEDS-B949-C949))</f>
        <v>30</v>
      </c>
      <c r="G949" s="21">
        <f>B949+C949+F949</f>
        <v>44</v>
      </c>
      <c r="H949" s="22">
        <f>IF(E949&lt;0,-999999999,B949*(PRICE_TOM-FERT_TOM)+C949*(PRICE_CAR-FERT_CAR)+F949*(PRICE_MES-FERT_MES)-(FARMER_SALARY+A949*TEMP_COST)-FIXED_COSTS)</f>
        <v>-29712</v>
      </c>
    </row>
    <row r="950">
      <c r="A950" s="5" t="n">
        <v>2</v>
      </c>
      <c r="B950" s="5" t="n">
        <v>2</v>
      </c>
      <c r="C950" s="5" t="n">
        <v>13</v>
      </c>
      <c r="D950" s="18">
        <f>SEASON_HRS_TOM*B950*(1+DIM_TOM)^B950+SEASON_HRS_CAR*C950*(1+DIM_CAR)^C950</f>
        <v>755.4193074924572</v>
      </c>
      <c r="E950" s="18">
        <f>(FARMER_FIELD_HRS+A950*TEMP_HRS)-D950</f>
        <v>2844.580692507543</v>
      </c>
      <c r="F950" s="21">
        <f>IF(E950&lt;0,0,MIN(COUNTIF(Labor!$C$59:$C$88,"&lt;="&amp;E950),MAXBED_MES,TOTAL_BEDS-B950-C950))</f>
        <v>30</v>
      </c>
      <c r="G950" s="21">
        <f>B950+C950+F950</f>
        <v>45</v>
      </c>
      <c r="H950" s="22">
        <f>IF(E950&lt;0,-999999999,B950*(PRICE_TOM-FERT_TOM)+C950*(PRICE_CAR-FERT_CAR)+F950*(PRICE_MES-FERT_MES)-(FARMER_SALARY+A950*TEMP_COST)-FIXED_COSTS)</f>
        <v>-28058</v>
      </c>
    </row>
    <row r="951">
      <c r="A951" s="5" t="n">
        <v>2</v>
      </c>
      <c r="B951" s="5" t="n">
        <v>2</v>
      </c>
      <c r="C951" s="5" t="n">
        <v>14</v>
      </c>
      <c r="D951" s="18">
        <f>SEASON_HRS_TOM*B951*(1+DIM_TOM)^B951+SEASON_HRS_CAR*C951*(1+DIM_CAR)^C951</f>
        <v>811.2490048089817</v>
      </c>
      <c r="E951" s="18">
        <f>(FARMER_FIELD_HRS+A951*TEMP_HRS)-D951</f>
        <v>2788.7509951910183</v>
      </c>
      <c r="F951" s="21">
        <f>IF(E951&lt;0,0,MIN(COUNTIF(Labor!$C$59:$C$88,"&lt;="&amp;E951),MAXBED_MES,TOTAL_BEDS-B951-C951))</f>
        <v>30</v>
      </c>
      <c r="G951" s="21">
        <f>B951+C951+F951</f>
        <v>46</v>
      </c>
      <c r="H951" s="22">
        <f>IF(E951&lt;0,-999999999,B951*(PRICE_TOM-FERT_TOM)+C951*(PRICE_CAR-FERT_CAR)+F951*(PRICE_MES-FERT_MES)-(FARMER_SALARY+A951*TEMP_COST)-FIXED_COSTS)</f>
        <v>-26404</v>
      </c>
    </row>
    <row r="952">
      <c r="A952" s="5" t="n">
        <v>2</v>
      </c>
      <c r="B952" s="5" t="n">
        <v>2</v>
      </c>
      <c r="C952" s="5" t="n">
        <v>15</v>
      </c>
      <c r="D952" s="18">
        <f>SEASON_HRS_TOM*B952*(1+DIM_TOM)^B952+SEASON_HRS_CAR*C952*(1+DIM_CAR)^C952</f>
        <v>869.5341749241494</v>
      </c>
      <c r="E952" s="18">
        <f>(FARMER_FIELD_HRS+A952*TEMP_HRS)-D952</f>
        <v>2730.4658250758507</v>
      </c>
      <c r="F952" s="21">
        <f>IF(E952&lt;0,0,MIN(COUNTIF(Labor!$C$59:$C$88,"&lt;="&amp;E952),MAXBED_MES,TOTAL_BEDS-B952-C952))</f>
        <v>30</v>
      </c>
      <c r="G952" s="21">
        <f>B952+C952+F952</f>
        <v>47</v>
      </c>
      <c r="H952" s="22">
        <f>IF(E952&lt;0,-999999999,B952*(PRICE_TOM-FERT_TOM)+C952*(PRICE_CAR-FERT_CAR)+F952*(PRICE_MES-FERT_MES)-(FARMER_SALARY+A952*TEMP_COST)-FIXED_COSTS)</f>
        <v>-24750</v>
      </c>
    </row>
    <row r="953">
      <c r="A953" s="5" t="n">
        <v>2</v>
      </c>
      <c r="B953" s="5" t="n">
        <v>2</v>
      </c>
      <c r="C953" s="5" t="n">
        <v>16</v>
      </c>
      <c r="D953" s="18">
        <f>SEASON_HRS_TOM*B953*(1+DIM_TOM)^B953+SEASON_HRS_CAR*C953*(1+DIM_CAR)^C953</f>
        <v>930.3626979170699</v>
      </c>
      <c r="E953" s="18">
        <f>(FARMER_FIELD_HRS+A953*TEMP_HRS)-D953</f>
        <v>2669.63730208293</v>
      </c>
      <c r="F953" s="21">
        <f>IF(E953&lt;0,0,MIN(COUNTIF(Labor!$C$59:$C$88,"&lt;="&amp;E953),MAXBED_MES,TOTAL_BEDS-B953-C953))</f>
        <v>30</v>
      </c>
      <c r="G953" s="21">
        <f>B953+C953+F953</f>
        <v>48</v>
      </c>
      <c r="H953" s="22">
        <f>IF(E953&lt;0,-999999999,B953*(PRICE_TOM-FERT_TOM)+C953*(PRICE_CAR-FERT_CAR)+F953*(PRICE_MES-FERT_MES)-(FARMER_SALARY+A953*TEMP_COST)-FIXED_COSTS)</f>
        <v>-23096</v>
      </c>
    </row>
    <row r="954">
      <c r="A954" s="5" t="n">
        <v>2</v>
      </c>
      <c r="B954" s="5" t="n">
        <v>2</v>
      </c>
      <c r="C954" s="5" t="n">
        <v>17</v>
      </c>
      <c r="D954" s="18">
        <f>SEASON_HRS_TOM*B954*(1+DIM_TOM)^B954+SEASON_HRS_CAR*C954*(1+DIM_CAR)^C954</f>
        <v>993.8253132003089</v>
      </c>
      <c r="E954" s="18">
        <f>(FARMER_FIELD_HRS+A954*TEMP_HRS)-D954</f>
        <v>2606.1746867996912</v>
      </c>
      <c r="F954" s="21">
        <f>IF(E954&lt;0,0,MIN(COUNTIF(Labor!$C$59:$C$88,"&lt;="&amp;E954),MAXBED_MES,TOTAL_BEDS-B954-C954))</f>
        <v>30</v>
      </c>
      <c r="G954" s="21">
        <f>B954+C954+F954</f>
        <v>49</v>
      </c>
      <c r="H954" s="22">
        <f>IF(E954&lt;0,-999999999,B954*(PRICE_TOM-FERT_TOM)+C954*(PRICE_CAR-FERT_CAR)+F954*(PRICE_MES-FERT_MES)-(FARMER_SALARY+A954*TEMP_COST)-FIXED_COSTS)</f>
        <v>-21442</v>
      </c>
    </row>
    <row r="955">
      <c r="A955" s="5" t="n">
        <v>2</v>
      </c>
      <c r="B955" s="5" t="n">
        <v>2</v>
      </c>
      <c r="C955" s="5" t="n">
        <v>18</v>
      </c>
      <c r="D955" s="18">
        <f>SEASON_HRS_TOM*B955*(1+DIM_TOM)^B955+SEASON_HRS_CAR*C955*(1+DIM_CAR)^C955</f>
        <v>1060.0157075615116</v>
      </c>
      <c r="E955" s="18">
        <f>(FARMER_FIELD_HRS+A955*TEMP_HRS)-D955</f>
        <v>2539.9842924384884</v>
      </c>
      <c r="F955" s="21">
        <f>IF(E955&lt;0,0,MIN(COUNTIF(Labor!$C$59:$C$88,"&lt;="&amp;E955),MAXBED_MES,TOTAL_BEDS-B955-C955))</f>
        <v>30</v>
      </c>
      <c r="G955" s="21">
        <f>B955+C955+F955</f>
        <v>50</v>
      </c>
      <c r="H955" s="22">
        <f>IF(E955&lt;0,-999999999,B955*(PRICE_TOM-FERT_TOM)+C955*(PRICE_CAR-FERT_CAR)+F955*(PRICE_MES-FERT_MES)-(FARMER_SALARY+A955*TEMP_COST)-FIXED_COSTS)</f>
        <v>-19788</v>
      </c>
    </row>
    <row r="956">
      <c r="A956" s="5" t="n">
        <v>2</v>
      </c>
      <c r="B956" s="5" t="n">
        <v>2</v>
      </c>
      <c r="C956" s="5" t="n">
        <v>19</v>
      </c>
      <c r="D956" s="18">
        <f>SEASON_HRS_TOM*B956*(1+DIM_TOM)^B956+SEASON_HRS_CAR*C956*(1+DIM_CAR)^C956</f>
        <v>1129.0306058200242</v>
      </c>
      <c r="E956" s="18">
        <f>(FARMER_FIELD_HRS+A956*TEMP_HRS)-D956</f>
        <v>2470.969394179976</v>
      </c>
      <c r="F956" s="21">
        <f>IF(E956&lt;0,0,MIN(COUNTIF(Labor!$C$59:$C$88,"&lt;="&amp;E956),MAXBED_MES,TOTAL_BEDS-B956-C956))</f>
        <v>30</v>
      </c>
      <c r="G956" s="21">
        <f>B956+C956+F956</f>
        <v>51</v>
      </c>
      <c r="H956" s="22">
        <f>IF(E956&lt;0,-999999999,B956*(PRICE_TOM-FERT_TOM)+C956*(PRICE_CAR-FERT_CAR)+F956*(PRICE_MES-FERT_MES)-(FARMER_SALARY+A956*TEMP_COST)-FIXED_COSTS)</f>
        <v>-18134</v>
      </c>
    </row>
    <row r="957">
      <c r="A957" s="5" t="n">
        <v>2</v>
      </c>
      <c r="B957" s="5" t="n">
        <v>2</v>
      </c>
      <c r="C957" s="5" t="n">
        <v>20</v>
      </c>
      <c r="D957" s="18">
        <f>SEASON_HRS_TOM*B957*(1+DIM_TOM)^B957+SEASON_HRS_CAR*C957*(1+DIM_CAR)^C957</f>
        <v>1200.9698641742366</v>
      </c>
      <c r="E957" s="18">
        <f>(FARMER_FIELD_HRS+A957*TEMP_HRS)-D957</f>
        <v>2399.0301358257634</v>
      </c>
      <c r="F957" s="21">
        <f>IF(E957&lt;0,0,MIN(COUNTIF(Labor!$C$59:$C$88,"&lt;="&amp;E957),MAXBED_MES,TOTAL_BEDS-B957-C957))</f>
        <v>30</v>
      </c>
      <c r="G957" s="21">
        <f>B957+C957+F957</f>
        <v>52</v>
      </c>
      <c r="H957" s="22">
        <f>IF(E957&lt;0,-999999999,B957*(PRICE_TOM-FERT_TOM)+C957*(PRICE_CAR-FERT_CAR)+F957*(PRICE_MES-FERT_MES)-(FARMER_SALARY+A957*TEMP_COST)-FIXED_COSTS)</f>
        <v>-16480</v>
      </c>
    </row>
    <row r="958">
      <c r="A958" s="5" t="n">
        <v>2</v>
      </c>
      <c r="B958" s="5" t="n">
        <v>3</v>
      </c>
      <c r="C958" s="5" t="n">
        <v>0</v>
      </c>
      <c r="D958" s="18">
        <f>SEASON_HRS_TOM*B958*(1+DIM_TOM)^B958+SEASON_HRS_CAR*C958*(1+DIM_CAR)^C958</f>
        <v>359.3700000000001</v>
      </c>
      <c r="E958" s="18">
        <f>(FARMER_FIELD_HRS+A958*TEMP_HRS)-D958</f>
        <v>3240.63</v>
      </c>
      <c r="F958" s="21">
        <f>IF(E958&lt;0,0,MIN(COUNTIF(Labor!$C$59:$C$88,"&lt;="&amp;E958),MAXBED_MES,TOTAL_BEDS-B958-C958))</f>
        <v>30</v>
      </c>
      <c r="G958" s="21">
        <f>B958+C958+F958</f>
        <v>33</v>
      </c>
      <c r="H958" s="22">
        <f>IF(E958&lt;0,-999999999,B958*(PRICE_TOM-FERT_TOM)+C958*(PRICE_CAR-FERT_CAR)+F958*(PRICE_MES-FERT_MES)-(FARMER_SALARY+A958*TEMP_COST)-FIXED_COSTS)</f>
        <v>-41640</v>
      </c>
    </row>
    <row r="959">
      <c r="A959" s="5" t="n">
        <v>2</v>
      </c>
      <c r="B959" s="5" t="n">
        <v>3</v>
      </c>
      <c r="C959" s="5" t="n">
        <v>1</v>
      </c>
      <c r="D959" s="18">
        <f>SEASON_HRS_TOM*B959*(1+DIM_TOM)^B959+SEASON_HRS_CAR*C959*(1+DIM_CAR)^C959</f>
        <v>390.1200000000001</v>
      </c>
      <c r="E959" s="18">
        <f>(FARMER_FIELD_HRS+A959*TEMP_HRS)-D959</f>
        <v>3209.88</v>
      </c>
      <c r="F959" s="21">
        <f>IF(E959&lt;0,0,MIN(COUNTIF(Labor!$C$59:$C$88,"&lt;="&amp;E959),MAXBED_MES,TOTAL_BEDS-B959-C959))</f>
        <v>30</v>
      </c>
      <c r="G959" s="21">
        <f>B959+C959+F959</f>
        <v>34</v>
      </c>
      <c r="H959" s="22">
        <f>IF(E959&lt;0,-999999999,B959*(PRICE_TOM-FERT_TOM)+C959*(PRICE_CAR-FERT_CAR)+F959*(PRICE_MES-FERT_MES)-(FARMER_SALARY+A959*TEMP_COST)-FIXED_COSTS)</f>
        <v>-39986</v>
      </c>
    </row>
    <row r="960">
      <c r="A960" s="5" t="n">
        <v>2</v>
      </c>
      <c r="B960" s="5" t="n">
        <v>3</v>
      </c>
      <c r="C960" s="5" t="n">
        <v>2</v>
      </c>
      <c r="D960" s="18">
        <f>SEASON_HRS_TOM*B960*(1+DIM_TOM)^B960+SEASON_HRS_CAR*C960*(1+DIM_CAR)^C960</f>
        <v>422.40750000000014</v>
      </c>
      <c r="E960" s="18">
        <f>(FARMER_FIELD_HRS+A960*TEMP_HRS)-D960</f>
        <v>3177.5924999999997</v>
      </c>
      <c r="F960" s="21">
        <f>IF(E960&lt;0,0,MIN(COUNTIF(Labor!$C$59:$C$88,"&lt;="&amp;E960),MAXBED_MES,TOTAL_BEDS-B960-C960))</f>
        <v>30</v>
      </c>
      <c r="G960" s="21">
        <f>B960+C960+F960</f>
        <v>35</v>
      </c>
      <c r="H960" s="22">
        <f>IF(E960&lt;0,-999999999,B960*(PRICE_TOM-FERT_TOM)+C960*(PRICE_CAR-FERT_CAR)+F960*(PRICE_MES-FERT_MES)-(FARMER_SALARY+A960*TEMP_COST)-FIXED_COSTS)</f>
        <v>-38332</v>
      </c>
    </row>
    <row r="961">
      <c r="A961" s="5" t="n">
        <v>2</v>
      </c>
      <c r="B961" s="5" t="n">
        <v>3</v>
      </c>
      <c r="C961" s="5" t="n">
        <v>3</v>
      </c>
      <c r="D961" s="18">
        <f>SEASON_HRS_TOM*B961*(1+DIM_TOM)^B961+SEASON_HRS_CAR*C961*(1+DIM_CAR)^C961</f>
        <v>456.2901562500001</v>
      </c>
      <c r="E961" s="18">
        <f>(FARMER_FIELD_HRS+A961*TEMP_HRS)-D961</f>
        <v>3143.70984375</v>
      </c>
      <c r="F961" s="21">
        <f>IF(E961&lt;0,0,MIN(COUNTIF(Labor!$C$59:$C$88,"&lt;="&amp;E961),MAXBED_MES,TOTAL_BEDS-B961-C961))</f>
        <v>30</v>
      </c>
      <c r="G961" s="21">
        <f>B961+C961+F961</f>
        <v>36</v>
      </c>
      <c r="H961" s="22">
        <f>IF(E961&lt;0,-999999999,B961*(PRICE_TOM-FERT_TOM)+C961*(PRICE_CAR-FERT_CAR)+F961*(PRICE_MES-FERT_MES)-(FARMER_SALARY+A961*TEMP_COST)-FIXED_COSTS)</f>
        <v>-36678</v>
      </c>
    </row>
    <row r="962">
      <c r="A962" s="5" t="n">
        <v>2</v>
      </c>
      <c r="B962" s="5" t="n">
        <v>3</v>
      </c>
      <c r="C962" s="5" t="n">
        <v>4</v>
      </c>
      <c r="D962" s="18">
        <f>SEASON_HRS_TOM*B962*(1+DIM_TOM)^B962+SEASON_HRS_CAR*C962*(1+DIM_CAR)^C962</f>
        <v>491.82754687500005</v>
      </c>
      <c r="E962" s="18">
        <f>(FARMER_FIELD_HRS+A962*TEMP_HRS)-D962</f>
        <v>3108.172453125</v>
      </c>
      <c r="F962" s="21">
        <f>IF(E962&lt;0,0,MIN(COUNTIF(Labor!$C$59:$C$88,"&lt;="&amp;E962),MAXBED_MES,TOTAL_BEDS-B962-C962))</f>
        <v>30</v>
      </c>
      <c r="G962" s="21">
        <f>B962+C962+F962</f>
        <v>37</v>
      </c>
      <c r="H962" s="22">
        <f>IF(E962&lt;0,-999999999,B962*(PRICE_TOM-FERT_TOM)+C962*(PRICE_CAR-FERT_CAR)+F962*(PRICE_MES-FERT_MES)-(FARMER_SALARY+A962*TEMP_COST)-FIXED_COSTS)</f>
        <v>-35024</v>
      </c>
    </row>
    <row r="963">
      <c r="A963" s="5" t="n">
        <v>2</v>
      </c>
      <c r="B963" s="5" t="n">
        <v>3</v>
      </c>
      <c r="C963" s="5" t="n">
        <v>5</v>
      </c>
      <c r="D963" s="18">
        <f>SEASON_HRS_TOM*B963*(1+DIM_TOM)^B963+SEASON_HRS_CAR*C963*(1+DIM_CAR)^C963</f>
        <v>529.0812319335938</v>
      </c>
      <c r="E963" s="18">
        <f>(FARMER_FIELD_HRS+A963*TEMP_HRS)-D963</f>
        <v>3070.9187680664063</v>
      </c>
      <c r="F963" s="21">
        <f>IF(E963&lt;0,0,MIN(COUNTIF(Labor!$C$59:$C$88,"&lt;="&amp;E963),MAXBED_MES,TOTAL_BEDS-B963-C963))</f>
        <v>30</v>
      </c>
      <c r="G963" s="21">
        <f>B963+C963+F963</f>
        <v>38</v>
      </c>
      <c r="H963" s="22">
        <f>IF(E963&lt;0,-999999999,B963*(PRICE_TOM-FERT_TOM)+C963*(PRICE_CAR-FERT_CAR)+F963*(PRICE_MES-FERT_MES)-(FARMER_SALARY+A963*TEMP_COST)-FIXED_COSTS)</f>
        <v>-33370</v>
      </c>
    </row>
    <row r="964">
      <c r="A964" s="5" t="n">
        <v>2</v>
      </c>
      <c r="B964" s="5" t="n">
        <v>3</v>
      </c>
      <c r="C964" s="5" t="n">
        <v>6</v>
      </c>
      <c r="D964" s="18">
        <f>SEASON_HRS_TOM*B964*(1+DIM_TOM)^B964+SEASON_HRS_CAR*C964*(1+DIM_CAR)^C964</f>
        <v>568.1148152783203</v>
      </c>
      <c r="E964" s="18">
        <f>(FARMER_FIELD_HRS+A964*TEMP_HRS)-D964</f>
        <v>3031.8851847216797</v>
      </c>
      <c r="F964" s="21">
        <f>IF(E964&lt;0,0,MIN(COUNTIF(Labor!$C$59:$C$88,"&lt;="&amp;E964),MAXBED_MES,TOTAL_BEDS-B964-C964))</f>
        <v>30</v>
      </c>
      <c r="G964" s="21">
        <f>B964+C964+F964</f>
        <v>39</v>
      </c>
      <c r="H964" s="22">
        <f>IF(E964&lt;0,-999999999,B964*(PRICE_TOM-FERT_TOM)+C964*(PRICE_CAR-FERT_CAR)+F964*(PRICE_MES-FERT_MES)-(FARMER_SALARY+A964*TEMP_COST)-FIXED_COSTS)</f>
        <v>-31716</v>
      </c>
    </row>
    <row r="965">
      <c r="A965" s="5" t="n">
        <v>2</v>
      </c>
      <c r="B965" s="5" t="n">
        <v>3</v>
      </c>
      <c r="C965" s="5" t="n">
        <v>7</v>
      </c>
      <c r="D965" s="18">
        <f>SEASON_HRS_TOM*B965*(1+DIM_TOM)^B965+SEASON_HRS_CAR*C965*(1+DIM_CAR)^C965</f>
        <v>608.9940082703247</v>
      </c>
      <c r="E965" s="18">
        <f>(FARMER_FIELD_HRS+A965*TEMP_HRS)-D965</f>
        <v>2991.0059917296753</v>
      </c>
      <c r="F965" s="21">
        <f>IF(E965&lt;0,0,MIN(COUNTIF(Labor!$C$59:$C$88,"&lt;="&amp;E965),MAXBED_MES,TOTAL_BEDS-B965-C965))</f>
        <v>30</v>
      </c>
      <c r="G965" s="21">
        <f>B965+C965+F965</f>
        <v>40</v>
      </c>
      <c r="H965" s="22">
        <f>IF(E965&lt;0,-999999999,B965*(PRICE_TOM-FERT_TOM)+C965*(PRICE_CAR-FERT_CAR)+F965*(PRICE_MES-FERT_MES)-(FARMER_SALARY+A965*TEMP_COST)-FIXED_COSTS)</f>
        <v>-30062</v>
      </c>
    </row>
    <row r="966">
      <c r="A966" s="5" t="n">
        <v>2</v>
      </c>
      <c r="B966" s="5" t="n">
        <v>3</v>
      </c>
      <c r="C966" s="5" t="n">
        <v>8</v>
      </c>
      <c r="D966" s="18">
        <f>SEASON_HRS_TOM*B966*(1+DIM_TOM)^B966+SEASON_HRS_CAR*C966*(1+DIM_CAR)^C966</f>
        <v>651.7866954023802</v>
      </c>
      <c r="E966" s="18">
        <f>(FARMER_FIELD_HRS+A966*TEMP_HRS)-D966</f>
        <v>2948.2133045976198</v>
      </c>
      <c r="F966" s="21">
        <f>IF(E966&lt;0,0,MIN(COUNTIF(Labor!$C$59:$C$88,"&lt;="&amp;E966),MAXBED_MES,TOTAL_BEDS-B966-C966))</f>
        <v>30</v>
      </c>
      <c r="G966" s="21">
        <f>B966+C966+F966</f>
        <v>41</v>
      </c>
      <c r="H966" s="22">
        <f>IF(E966&lt;0,-999999999,B966*(PRICE_TOM-FERT_TOM)+C966*(PRICE_CAR-FERT_CAR)+F966*(PRICE_MES-FERT_MES)-(FARMER_SALARY+A966*TEMP_COST)-FIXED_COSTS)</f>
        <v>-28408</v>
      </c>
    </row>
    <row r="967">
      <c r="A967" s="5" t="n">
        <v>2</v>
      </c>
      <c r="B967" s="5" t="n">
        <v>3</v>
      </c>
      <c r="C967" s="5" t="n">
        <v>9</v>
      </c>
      <c r="D967" s="18">
        <f>SEASON_HRS_TOM*B967*(1+DIM_TOM)^B967+SEASON_HRS_CAR*C967*(1+DIM_CAR)^C967</f>
        <v>696.5630018858697</v>
      </c>
      <c r="E967" s="18">
        <f>(FARMER_FIELD_HRS+A967*TEMP_HRS)-D967</f>
        <v>2903.4369981141303</v>
      </c>
      <c r="F967" s="21">
        <f>IF(E967&lt;0,0,MIN(COUNTIF(Labor!$C$59:$C$88,"&lt;="&amp;E967),MAXBED_MES,TOTAL_BEDS-B967-C967))</f>
        <v>30</v>
      </c>
      <c r="G967" s="21">
        <f>B967+C967+F967</f>
        <v>42</v>
      </c>
      <c r="H967" s="22">
        <f>IF(E967&lt;0,-999999999,B967*(PRICE_TOM-FERT_TOM)+C967*(PRICE_CAR-FERT_CAR)+F967*(PRICE_MES-FERT_MES)-(FARMER_SALARY+A967*TEMP_COST)-FIXED_COSTS)</f>
        <v>-26754</v>
      </c>
    </row>
    <row r="968">
      <c r="A968" s="5" t="n">
        <v>2</v>
      </c>
      <c r="B968" s="5" t="n">
        <v>3</v>
      </c>
      <c r="C968" s="5" t="n">
        <v>10</v>
      </c>
      <c r="D968" s="18">
        <f>SEASON_HRS_TOM*B968*(1+DIM_TOM)^B968+SEASON_HRS_CAR*C968*(1+DIM_CAR)^C968</f>
        <v>743.3953632589071</v>
      </c>
      <c r="E968" s="18">
        <f>(FARMER_FIELD_HRS+A968*TEMP_HRS)-D968</f>
        <v>2856.6046367410927</v>
      </c>
      <c r="F968" s="21">
        <f>IF(E968&lt;0,0,MIN(COUNTIF(Labor!$C$59:$C$88,"&lt;="&amp;E968),MAXBED_MES,TOTAL_BEDS-B968-C968))</f>
        <v>30</v>
      </c>
      <c r="G968" s="21">
        <f>B968+C968+F968</f>
        <v>43</v>
      </c>
      <c r="H968" s="22">
        <f>IF(E968&lt;0,-999999999,B968*(PRICE_TOM-FERT_TOM)+C968*(PRICE_CAR-FERT_CAR)+F968*(PRICE_MES-FERT_MES)-(FARMER_SALARY+A968*TEMP_COST)-FIXED_COSTS)</f>
        <v>-25100</v>
      </c>
    </row>
    <row r="969">
      <c r="A969" s="5" t="n">
        <v>2</v>
      </c>
      <c r="B969" s="5" t="n">
        <v>3</v>
      </c>
      <c r="C969" s="5" t="n">
        <v>11</v>
      </c>
      <c r="D969" s="18">
        <f>SEASON_HRS_TOM*B969*(1+DIM_TOM)^B969+SEASON_HRS_CAR*C969*(1+DIM_CAR)^C969</f>
        <v>792.3585970744177</v>
      </c>
      <c r="E969" s="18">
        <f>(FARMER_FIELD_HRS+A969*TEMP_HRS)-D969</f>
        <v>2807.641402925582</v>
      </c>
      <c r="F969" s="21">
        <f>IF(E969&lt;0,0,MIN(COUNTIF(Labor!$C$59:$C$88,"&lt;="&amp;E969),MAXBED_MES,TOTAL_BEDS-B969-C969))</f>
        <v>30</v>
      </c>
      <c r="G969" s="21">
        <f>B969+C969+F969</f>
        <v>44</v>
      </c>
      <c r="H969" s="22">
        <f>IF(E969&lt;0,-999999999,B969*(PRICE_TOM-FERT_TOM)+C969*(PRICE_CAR-FERT_CAR)+F969*(PRICE_MES-FERT_MES)-(FARMER_SALARY+A969*TEMP_COST)-FIXED_COSTS)</f>
        <v>-23446</v>
      </c>
    </row>
    <row r="970">
      <c r="A970" s="5" t="n">
        <v>2</v>
      </c>
      <c r="B970" s="5" t="n">
        <v>3</v>
      </c>
      <c r="C970" s="5" t="n">
        <v>12</v>
      </c>
      <c r="D970" s="18">
        <f>SEASON_HRS_TOM*B970*(1+DIM_TOM)^B970+SEASON_HRS_CAR*C970*(1+DIM_CAR)^C970</f>
        <v>843.5299767286671</v>
      </c>
      <c r="E970" s="18">
        <f>(FARMER_FIELD_HRS+A970*TEMP_HRS)-D970</f>
        <v>2756.470023271333</v>
      </c>
      <c r="F970" s="21">
        <f>IF(E970&lt;0,0,MIN(COUNTIF(Labor!$C$59:$C$88,"&lt;="&amp;E970),MAXBED_MES,TOTAL_BEDS-B970-C970))</f>
        <v>30</v>
      </c>
      <c r="G970" s="21">
        <f>B970+C970+F970</f>
        <v>45</v>
      </c>
      <c r="H970" s="22">
        <f>IF(E970&lt;0,-999999999,B970*(PRICE_TOM-FERT_TOM)+C970*(PRICE_CAR-FERT_CAR)+F970*(PRICE_MES-FERT_MES)-(FARMER_SALARY+A970*TEMP_COST)-FIXED_COSTS)</f>
        <v>-21792</v>
      </c>
    </row>
    <row r="971">
      <c r="A971" s="5" t="n">
        <v>2</v>
      </c>
      <c r="B971" s="5" t="n">
        <v>3</v>
      </c>
      <c r="C971" s="5" t="n">
        <v>13</v>
      </c>
      <c r="D971" s="18">
        <f>SEASON_HRS_TOM*B971*(1+DIM_TOM)^B971+SEASON_HRS_CAR*C971*(1+DIM_CAR)^C971</f>
        <v>896.9893074924572</v>
      </c>
      <c r="E971" s="18">
        <f>(FARMER_FIELD_HRS+A971*TEMP_HRS)-D971</f>
        <v>2703.010692507543</v>
      </c>
      <c r="F971" s="21">
        <f>IF(E971&lt;0,0,MIN(COUNTIF(Labor!$C$59:$C$88,"&lt;="&amp;E971),MAXBED_MES,TOTAL_BEDS-B971-C971))</f>
        <v>30</v>
      </c>
      <c r="G971" s="21">
        <f>B971+C971+F971</f>
        <v>46</v>
      </c>
      <c r="H971" s="22">
        <f>IF(E971&lt;0,-999999999,B971*(PRICE_TOM-FERT_TOM)+C971*(PRICE_CAR-FERT_CAR)+F971*(PRICE_MES-FERT_MES)-(FARMER_SALARY+A971*TEMP_COST)-FIXED_COSTS)</f>
        <v>-20138</v>
      </c>
    </row>
    <row r="972">
      <c r="A972" s="5" t="n">
        <v>2</v>
      </c>
      <c r="B972" s="5" t="n">
        <v>3</v>
      </c>
      <c r="C972" s="5" t="n">
        <v>14</v>
      </c>
      <c r="D972" s="18">
        <f>SEASON_HRS_TOM*B972*(1+DIM_TOM)^B972+SEASON_HRS_CAR*C972*(1+DIM_CAR)^C972</f>
        <v>952.8190048089817</v>
      </c>
      <c r="E972" s="18">
        <f>(FARMER_FIELD_HRS+A972*TEMP_HRS)-D972</f>
        <v>2647.180995191018</v>
      </c>
      <c r="F972" s="21">
        <f>IF(E972&lt;0,0,MIN(COUNTIF(Labor!$C$59:$C$88,"&lt;="&amp;E972),MAXBED_MES,TOTAL_BEDS-B972-C972))</f>
        <v>30</v>
      </c>
      <c r="G972" s="21">
        <f>B972+C972+F972</f>
        <v>47</v>
      </c>
      <c r="H972" s="22">
        <f>IF(E972&lt;0,-999999999,B972*(PRICE_TOM-FERT_TOM)+C972*(PRICE_CAR-FERT_CAR)+F972*(PRICE_MES-FERT_MES)-(FARMER_SALARY+A972*TEMP_COST)-FIXED_COSTS)</f>
        <v>-18484</v>
      </c>
    </row>
    <row r="973">
      <c r="A973" s="5" t="n">
        <v>2</v>
      </c>
      <c r="B973" s="5" t="n">
        <v>3</v>
      </c>
      <c r="C973" s="5" t="n">
        <v>15</v>
      </c>
      <c r="D973" s="18">
        <f>SEASON_HRS_TOM*B973*(1+DIM_TOM)^B973+SEASON_HRS_CAR*C973*(1+DIM_CAR)^C973</f>
        <v>1011.1041749241494</v>
      </c>
      <c r="E973" s="18">
        <f>(FARMER_FIELD_HRS+A973*TEMP_HRS)-D973</f>
        <v>2588.8958250758506</v>
      </c>
      <c r="F973" s="21">
        <f>IF(E973&lt;0,0,MIN(COUNTIF(Labor!$C$59:$C$88,"&lt;="&amp;E973),MAXBED_MES,TOTAL_BEDS-B973-C973))</f>
        <v>30</v>
      </c>
      <c r="G973" s="21">
        <f>B973+C973+F973</f>
        <v>48</v>
      </c>
      <c r="H973" s="22">
        <f>IF(E973&lt;0,-999999999,B973*(PRICE_TOM-FERT_TOM)+C973*(PRICE_CAR-FERT_CAR)+F973*(PRICE_MES-FERT_MES)-(FARMER_SALARY+A973*TEMP_COST)-FIXED_COSTS)</f>
        <v>-16830</v>
      </c>
    </row>
    <row r="974">
      <c r="A974" s="5" t="n">
        <v>2</v>
      </c>
      <c r="B974" s="5" t="n">
        <v>3</v>
      </c>
      <c r="C974" s="5" t="n">
        <v>16</v>
      </c>
      <c r="D974" s="18">
        <f>SEASON_HRS_TOM*B974*(1+DIM_TOM)^B974+SEASON_HRS_CAR*C974*(1+DIM_CAR)^C974</f>
        <v>1071.93269791707</v>
      </c>
      <c r="E974" s="18">
        <f>(FARMER_FIELD_HRS+A974*TEMP_HRS)-D974</f>
        <v>2528.06730208293</v>
      </c>
      <c r="F974" s="21">
        <f>IF(E974&lt;0,0,MIN(COUNTIF(Labor!$C$59:$C$88,"&lt;="&amp;E974),MAXBED_MES,TOTAL_BEDS-B974-C974))</f>
        <v>30</v>
      </c>
      <c r="G974" s="21">
        <f>B974+C974+F974</f>
        <v>49</v>
      </c>
      <c r="H974" s="22">
        <f>IF(E974&lt;0,-999999999,B974*(PRICE_TOM-FERT_TOM)+C974*(PRICE_CAR-FERT_CAR)+F974*(PRICE_MES-FERT_MES)-(FARMER_SALARY+A974*TEMP_COST)-FIXED_COSTS)</f>
        <v>-15176</v>
      </c>
    </row>
    <row r="975">
      <c r="A975" s="5" t="n">
        <v>2</v>
      </c>
      <c r="B975" s="5" t="n">
        <v>3</v>
      </c>
      <c r="C975" s="5" t="n">
        <v>17</v>
      </c>
      <c r="D975" s="18">
        <f>SEASON_HRS_TOM*B975*(1+DIM_TOM)^B975+SEASON_HRS_CAR*C975*(1+DIM_CAR)^C975</f>
        <v>1135.395313200309</v>
      </c>
      <c r="E975" s="18">
        <f>(FARMER_FIELD_HRS+A975*TEMP_HRS)-D975</f>
        <v>2464.604686799691</v>
      </c>
      <c r="F975" s="21">
        <f>IF(E975&lt;0,0,MIN(COUNTIF(Labor!$C$59:$C$88,"&lt;="&amp;E975),MAXBED_MES,TOTAL_BEDS-B975-C975))</f>
        <v>30</v>
      </c>
      <c r="G975" s="21">
        <f>B975+C975+F975</f>
        <v>50</v>
      </c>
      <c r="H975" s="22">
        <f>IF(E975&lt;0,-999999999,B975*(PRICE_TOM-FERT_TOM)+C975*(PRICE_CAR-FERT_CAR)+F975*(PRICE_MES-FERT_MES)-(FARMER_SALARY+A975*TEMP_COST)-FIXED_COSTS)</f>
        <v>-13522</v>
      </c>
    </row>
    <row r="976">
      <c r="A976" s="5" t="n">
        <v>2</v>
      </c>
      <c r="B976" s="5" t="n">
        <v>3</v>
      </c>
      <c r="C976" s="5" t="n">
        <v>18</v>
      </c>
      <c r="D976" s="18">
        <f>SEASON_HRS_TOM*B976*(1+DIM_TOM)^B976+SEASON_HRS_CAR*C976*(1+DIM_CAR)^C976</f>
        <v>1201.5857075615118</v>
      </c>
      <c r="E976" s="18">
        <f>(FARMER_FIELD_HRS+A976*TEMP_HRS)-D976</f>
        <v>2398.4142924384882</v>
      </c>
      <c r="F976" s="21">
        <f>IF(E976&lt;0,0,MIN(COUNTIF(Labor!$C$59:$C$88,"&lt;="&amp;E976),MAXBED_MES,TOTAL_BEDS-B976-C976))</f>
        <v>30</v>
      </c>
      <c r="G976" s="21">
        <f>B976+C976+F976</f>
        <v>51</v>
      </c>
      <c r="H976" s="22">
        <f>IF(E976&lt;0,-999999999,B976*(PRICE_TOM-FERT_TOM)+C976*(PRICE_CAR-FERT_CAR)+F976*(PRICE_MES-FERT_MES)-(FARMER_SALARY+A976*TEMP_COST)-FIXED_COSTS)</f>
        <v>-11868</v>
      </c>
    </row>
    <row r="977">
      <c r="A977" s="5" t="n">
        <v>2</v>
      </c>
      <c r="B977" s="5" t="n">
        <v>3</v>
      </c>
      <c r="C977" s="5" t="n">
        <v>19</v>
      </c>
      <c r="D977" s="18">
        <f>SEASON_HRS_TOM*B977*(1+DIM_TOM)^B977+SEASON_HRS_CAR*C977*(1+DIM_CAR)^C977</f>
        <v>1270.6006058200242</v>
      </c>
      <c r="E977" s="18">
        <f>(FARMER_FIELD_HRS+A977*TEMP_HRS)-D977</f>
        <v>2329.399394179976</v>
      </c>
      <c r="F977" s="21">
        <f>IF(E977&lt;0,0,MIN(COUNTIF(Labor!$C$59:$C$88,"&lt;="&amp;E977),MAXBED_MES,TOTAL_BEDS-B977-C977))</f>
        <v>30</v>
      </c>
      <c r="G977" s="21">
        <f>B977+C977+F977</f>
        <v>52</v>
      </c>
      <c r="H977" s="22">
        <f>IF(E977&lt;0,-999999999,B977*(PRICE_TOM-FERT_TOM)+C977*(PRICE_CAR-FERT_CAR)+F977*(PRICE_MES-FERT_MES)-(FARMER_SALARY+A977*TEMP_COST)-FIXED_COSTS)</f>
        <v>-10214</v>
      </c>
    </row>
    <row r="978">
      <c r="A978" s="5" t="n">
        <v>2</v>
      </c>
      <c r="B978" s="5" t="n">
        <v>3</v>
      </c>
      <c r="C978" s="5" t="n">
        <v>20</v>
      </c>
      <c r="D978" s="18">
        <f>SEASON_HRS_TOM*B978*(1+DIM_TOM)^B978+SEASON_HRS_CAR*C978*(1+DIM_CAR)^C978</f>
        <v>1342.5398641742368</v>
      </c>
      <c r="E978" s="18">
        <f>(FARMER_FIELD_HRS+A978*TEMP_HRS)-D978</f>
        <v>2257.4601358257632</v>
      </c>
      <c r="F978" s="21">
        <f>IF(E978&lt;0,0,MIN(COUNTIF(Labor!$C$59:$C$88,"&lt;="&amp;E978),MAXBED_MES,TOTAL_BEDS-B978-C978))</f>
        <v>30</v>
      </c>
      <c r="G978" s="21">
        <f>B978+C978+F978</f>
        <v>53</v>
      </c>
      <c r="H978" s="22">
        <f>IF(E978&lt;0,-999999999,B978*(PRICE_TOM-FERT_TOM)+C978*(PRICE_CAR-FERT_CAR)+F978*(PRICE_MES-FERT_MES)-(FARMER_SALARY+A978*TEMP_COST)-FIXED_COSTS)</f>
        <v>-8560</v>
      </c>
    </row>
    <row r="979">
      <c r="A979" s="5" t="n">
        <v>2</v>
      </c>
      <c r="B979" s="5" t="n">
        <v>4</v>
      </c>
      <c r="C979" s="5" t="n">
        <v>0</v>
      </c>
      <c r="D979" s="18">
        <f>SEASON_HRS_TOM*B979*(1+DIM_TOM)^B979+SEASON_HRS_CAR*C979*(1+DIM_CAR)^C979</f>
        <v>527.0760000000001</v>
      </c>
      <c r="E979" s="18">
        <f>(FARMER_FIELD_HRS+A979*TEMP_HRS)-D979</f>
        <v>3072.924</v>
      </c>
      <c r="F979" s="21">
        <f>IF(E979&lt;0,0,MIN(COUNTIF(Labor!$C$59:$C$88,"&lt;="&amp;E979),MAXBED_MES,TOTAL_BEDS-B979-C979))</f>
        <v>30</v>
      </c>
      <c r="G979" s="21">
        <f>B979+C979+F979</f>
        <v>34</v>
      </c>
      <c r="H979" s="22">
        <f>IF(E979&lt;0,-999999999,B979*(PRICE_TOM-FERT_TOM)+C979*(PRICE_CAR-FERT_CAR)+F979*(PRICE_MES-FERT_MES)-(FARMER_SALARY+A979*TEMP_COST)-FIXED_COSTS)</f>
        <v>-33720</v>
      </c>
    </row>
    <row r="980">
      <c r="A980" s="5" t="n">
        <v>2</v>
      </c>
      <c r="B980" s="5" t="n">
        <v>4</v>
      </c>
      <c r="C980" s="5" t="n">
        <v>1</v>
      </c>
      <c r="D980" s="18">
        <f>SEASON_HRS_TOM*B980*(1+DIM_TOM)^B980+SEASON_HRS_CAR*C980*(1+DIM_CAR)^C980</f>
        <v>557.8260000000001</v>
      </c>
      <c r="E980" s="18">
        <f>(FARMER_FIELD_HRS+A980*TEMP_HRS)-D980</f>
        <v>3042.174</v>
      </c>
      <c r="F980" s="21">
        <f>IF(E980&lt;0,0,MIN(COUNTIF(Labor!$C$59:$C$88,"&lt;="&amp;E980),MAXBED_MES,TOTAL_BEDS-B980-C980))</f>
        <v>30</v>
      </c>
      <c r="G980" s="21">
        <f>B980+C980+F980</f>
        <v>35</v>
      </c>
      <c r="H980" s="22">
        <f>IF(E980&lt;0,-999999999,B980*(PRICE_TOM-FERT_TOM)+C980*(PRICE_CAR-FERT_CAR)+F980*(PRICE_MES-FERT_MES)-(FARMER_SALARY+A980*TEMP_COST)-FIXED_COSTS)</f>
        <v>-32066</v>
      </c>
    </row>
    <row r="981">
      <c r="A981" s="5" t="n">
        <v>2</v>
      </c>
      <c r="B981" s="5" t="n">
        <v>4</v>
      </c>
      <c r="C981" s="5" t="n">
        <v>2</v>
      </c>
      <c r="D981" s="18">
        <f>SEASON_HRS_TOM*B981*(1+DIM_TOM)^B981+SEASON_HRS_CAR*C981*(1+DIM_CAR)^C981</f>
        <v>590.1135000000002</v>
      </c>
      <c r="E981" s="18">
        <f>(FARMER_FIELD_HRS+A981*TEMP_HRS)-D981</f>
        <v>3009.8864999999996</v>
      </c>
      <c r="F981" s="21">
        <f>IF(E981&lt;0,0,MIN(COUNTIF(Labor!$C$59:$C$88,"&lt;="&amp;E981),MAXBED_MES,TOTAL_BEDS-B981-C981))</f>
        <v>30</v>
      </c>
      <c r="G981" s="21">
        <f>B981+C981+F981</f>
        <v>36</v>
      </c>
      <c r="H981" s="22">
        <f>IF(E981&lt;0,-999999999,B981*(PRICE_TOM-FERT_TOM)+C981*(PRICE_CAR-FERT_CAR)+F981*(PRICE_MES-FERT_MES)-(FARMER_SALARY+A981*TEMP_COST)-FIXED_COSTS)</f>
        <v>-30412</v>
      </c>
    </row>
    <row r="982">
      <c r="A982" s="5" t="n">
        <v>2</v>
      </c>
      <c r="B982" s="5" t="n">
        <v>4</v>
      </c>
      <c r="C982" s="5" t="n">
        <v>3</v>
      </c>
      <c r="D982" s="18">
        <f>SEASON_HRS_TOM*B982*(1+DIM_TOM)^B982+SEASON_HRS_CAR*C982*(1+DIM_CAR)^C982</f>
        <v>623.9961562500001</v>
      </c>
      <c r="E982" s="18">
        <f>(FARMER_FIELD_HRS+A982*TEMP_HRS)-D982</f>
        <v>2976.0038437499998</v>
      </c>
      <c r="F982" s="21">
        <f>IF(E982&lt;0,0,MIN(COUNTIF(Labor!$C$59:$C$88,"&lt;="&amp;E982),MAXBED_MES,TOTAL_BEDS-B982-C982))</f>
        <v>30</v>
      </c>
      <c r="G982" s="21">
        <f>B982+C982+F982</f>
        <v>37</v>
      </c>
      <c r="H982" s="22">
        <f>IF(E982&lt;0,-999999999,B982*(PRICE_TOM-FERT_TOM)+C982*(PRICE_CAR-FERT_CAR)+F982*(PRICE_MES-FERT_MES)-(FARMER_SALARY+A982*TEMP_COST)-FIXED_COSTS)</f>
        <v>-28758</v>
      </c>
    </row>
    <row r="983">
      <c r="A983" s="5" t="n">
        <v>2</v>
      </c>
      <c r="B983" s="5" t="n">
        <v>4</v>
      </c>
      <c r="C983" s="5" t="n">
        <v>4</v>
      </c>
      <c r="D983" s="18">
        <f>SEASON_HRS_TOM*B983*(1+DIM_TOM)^B983+SEASON_HRS_CAR*C983*(1+DIM_CAR)^C983</f>
        <v>659.5335468750001</v>
      </c>
      <c r="E983" s="18">
        <f>(FARMER_FIELD_HRS+A983*TEMP_HRS)-D983</f>
        <v>2940.466453125</v>
      </c>
      <c r="F983" s="21">
        <f>IF(E983&lt;0,0,MIN(COUNTIF(Labor!$C$59:$C$88,"&lt;="&amp;E983),MAXBED_MES,TOTAL_BEDS-B983-C983))</f>
        <v>30</v>
      </c>
      <c r="G983" s="21">
        <f>B983+C983+F983</f>
        <v>38</v>
      </c>
      <c r="H983" s="22">
        <f>IF(E983&lt;0,-999999999,B983*(PRICE_TOM-FERT_TOM)+C983*(PRICE_CAR-FERT_CAR)+F983*(PRICE_MES-FERT_MES)-(FARMER_SALARY+A983*TEMP_COST)-FIXED_COSTS)</f>
        <v>-27104</v>
      </c>
    </row>
    <row r="984">
      <c r="A984" s="5" t="n">
        <v>2</v>
      </c>
      <c r="B984" s="5" t="n">
        <v>4</v>
      </c>
      <c r="C984" s="5" t="n">
        <v>5</v>
      </c>
      <c r="D984" s="18">
        <f>SEASON_HRS_TOM*B984*(1+DIM_TOM)^B984+SEASON_HRS_CAR*C984*(1+DIM_CAR)^C984</f>
        <v>696.7872319335938</v>
      </c>
      <c r="E984" s="18">
        <f>(FARMER_FIELD_HRS+A984*TEMP_HRS)-D984</f>
        <v>2903.212768066406</v>
      </c>
      <c r="F984" s="21">
        <f>IF(E984&lt;0,0,MIN(COUNTIF(Labor!$C$59:$C$88,"&lt;="&amp;E984),MAXBED_MES,TOTAL_BEDS-B984-C984))</f>
        <v>30</v>
      </c>
      <c r="G984" s="21">
        <f>B984+C984+F984</f>
        <v>39</v>
      </c>
      <c r="H984" s="22">
        <f>IF(E984&lt;0,-999999999,B984*(PRICE_TOM-FERT_TOM)+C984*(PRICE_CAR-FERT_CAR)+F984*(PRICE_MES-FERT_MES)-(FARMER_SALARY+A984*TEMP_COST)-FIXED_COSTS)</f>
        <v>-25450</v>
      </c>
    </row>
    <row r="985">
      <c r="A985" s="5" t="n">
        <v>2</v>
      </c>
      <c r="B985" s="5" t="n">
        <v>4</v>
      </c>
      <c r="C985" s="5" t="n">
        <v>6</v>
      </c>
      <c r="D985" s="18">
        <f>SEASON_HRS_TOM*B985*(1+DIM_TOM)^B985+SEASON_HRS_CAR*C985*(1+DIM_CAR)^C985</f>
        <v>735.8208152783203</v>
      </c>
      <c r="E985" s="18">
        <f>(FARMER_FIELD_HRS+A985*TEMP_HRS)-D985</f>
        <v>2864.1791847216796</v>
      </c>
      <c r="F985" s="21">
        <f>IF(E985&lt;0,0,MIN(COUNTIF(Labor!$C$59:$C$88,"&lt;="&amp;E985),MAXBED_MES,TOTAL_BEDS-B985-C985))</f>
        <v>30</v>
      </c>
      <c r="G985" s="21">
        <f>B985+C985+F985</f>
        <v>40</v>
      </c>
      <c r="H985" s="22">
        <f>IF(E985&lt;0,-999999999,B985*(PRICE_TOM-FERT_TOM)+C985*(PRICE_CAR-FERT_CAR)+F985*(PRICE_MES-FERT_MES)-(FARMER_SALARY+A985*TEMP_COST)-FIXED_COSTS)</f>
        <v>-23796</v>
      </c>
    </row>
    <row r="986">
      <c r="A986" s="5" t="n">
        <v>2</v>
      </c>
      <c r="B986" s="5" t="n">
        <v>4</v>
      </c>
      <c r="C986" s="5" t="n">
        <v>7</v>
      </c>
      <c r="D986" s="18">
        <f>SEASON_HRS_TOM*B986*(1+DIM_TOM)^B986+SEASON_HRS_CAR*C986*(1+DIM_CAR)^C986</f>
        <v>776.7000082703247</v>
      </c>
      <c r="E986" s="18">
        <f>(FARMER_FIELD_HRS+A986*TEMP_HRS)-D986</f>
        <v>2823.299991729675</v>
      </c>
      <c r="F986" s="21">
        <f>IF(E986&lt;0,0,MIN(COUNTIF(Labor!$C$59:$C$88,"&lt;="&amp;E986),MAXBED_MES,TOTAL_BEDS-B986-C986))</f>
        <v>30</v>
      </c>
      <c r="G986" s="21">
        <f>B986+C986+F986</f>
        <v>41</v>
      </c>
      <c r="H986" s="22">
        <f>IF(E986&lt;0,-999999999,B986*(PRICE_TOM-FERT_TOM)+C986*(PRICE_CAR-FERT_CAR)+F986*(PRICE_MES-FERT_MES)-(FARMER_SALARY+A986*TEMP_COST)-FIXED_COSTS)</f>
        <v>-22142</v>
      </c>
    </row>
    <row r="987">
      <c r="A987" s="5" t="n">
        <v>2</v>
      </c>
      <c r="B987" s="5" t="n">
        <v>4</v>
      </c>
      <c r="C987" s="5" t="n">
        <v>8</v>
      </c>
      <c r="D987" s="18">
        <f>SEASON_HRS_TOM*B987*(1+DIM_TOM)^B987+SEASON_HRS_CAR*C987*(1+DIM_CAR)^C987</f>
        <v>819.4926954023803</v>
      </c>
      <c r="E987" s="18">
        <f>(FARMER_FIELD_HRS+A987*TEMP_HRS)-D987</f>
        <v>2780.5073045976196</v>
      </c>
      <c r="F987" s="21">
        <f>IF(E987&lt;0,0,MIN(COUNTIF(Labor!$C$59:$C$88,"&lt;="&amp;E987),MAXBED_MES,TOTAL_BEDS-B987-C987))</f>
        <v>30</v>
      </c>
      <c r="G987" s="21">
        <f>B987+C987+F987</f>
        <v>42</v>
      </c>
      <c r="H987" s="22">
        <f>IF(E987&lt;0,-999999999,B987*(PRICE_TOM-FERT_TOM)+C987*(PRICE_CAR-FERT_CAR)+F987*(PRICE_MES-FERT_MES)-(FARMER_SALARY+A987*TEMP_COST)-FIXED_COSTS)</f>
        <v>-20488</v>
      </c>
    </row>
    <row r="988">
      <c r="A988" s="5" t="n">
        <v>2</v>
      </c>
      <c r="B988" s="5" t="n">
        <v>4</v>
      </c>
      <c r="C988" s="5" t="n">
        <v>9</v>
      </c>
      <c r="D988" s="18">
        <f>SEASON_HRS_TOM*B988*(1+DIM_TOM)^B988+SEASON_HRS_CAR*C988*(1+DIM_CAR)^C988</f>
        <v>864.2690018858698</v>
      </c>
      <c r="E988" s="18">
        <f>(FARMER_FIELD_HRS+A988*TEMP_HRS)-D988</f>
        <v>2735.73099811413</v>
      </c>
      <c r="F988" s="21">
        <f>IF(E988&lt;0,0,MIN(COUNTIF(Labor!$C$59:$C$88,"&lt;="&amp;E988),MAXBED_MES,TOTAL_BEDS-B988-C988))</f>
        <v>30</v>
      </c>
      <c r="G988" s="21">
        <f>B988+C988+F988</f>
        <v>43</v>
      </c>
      <c r="H988" s="22">
        <f>IF(E988&lt;0,-999999999,B988*(PRICE_TOM-FERT_TOM)+C988*(PRICE_CAR-FERT_CAR)+F988*(PRICE_MES-FERT_MES)-(FARMER_SALARY+A988*TEMP_COST)-FIXED_COSTS)</f>
        <v>-18834</v>
      </c>
    </row>
    <row r="989">
      <c r="A989" s="5" t="n">
        <v>2</v>
      </c>
      <c r="B989" s="5" t="n">
        <v>4</v>
      </c>
      <c r="C989" s="5" t="n">
        <v>10</v>
      </c>
      <c r="D989" s="18">
        <f>SEASON_HRS_TOM*B989*(1+DIM_TOM)^B989+SEASON_HRS_CAR*C989*(1+DIM_CAR)^C989</f>
        <v>911.1013632589072</v>
      </c>
      <c r="E989" s="18">
        <f>(FARMER_FIELD_HRS+A989*TEMP_HRS)-D989</f>
        <v>2688.8986367410926</v>
      </c>
      <c r="F989" s="21">
        <f>IF(E989&lt;0,0,MIN(COUNTIF(Labor!$C$59:$C$88,"&lt;="&amp;E989),MAXBED_MES,TOTAL_BEDS-B989-C989))</f>
        <v>30</v>
      </c>
      <c r="G989" s="21">
        <f>B989+C989+F989</f>
        <v>44</v>
      </c>
      <c r="H989" s="22">
        <f>IF(E989&lt;0,-999999999,B989*(PRICE_TOM-FERT_TOM)+C989*(PRICE_CAR-FERT_CAR)+F989*(PRICE_MES-FERT_MES)-(FARMER_SALARY+A989*TEMP_COST)-FIXED_COSTS)</f>
        <v>-17180</v>
      </c>
    </row>
    <row r="990">
      <c r="A990" s="5" t="n">
        <v>2</v>
      </c>
      <c r="B990" s="5" t="n">
        <v>4</v>
      </c>
      <c r="C990" s="5" t="n">
        <v>11</v>
      </c>
      <c r="D990" s="18">
        <f>SEASON_HRS_TOM*B990*(1+DIM_TOM)^B990+SEASON_HRS_CAR*C990*(1+DIM_CAR)^C990</f>
        <v>960.0645970744177</v>
      </c>
      <c r="E990" s="18">
        <f>(FARMER_FIELD_HRS+A990*TEMP_HRS)-D990</f>
        <v>2639.9354029255824</v>
      </c>
      <c r="F990" s="21">
        <f>IF(E990&lt;0,0,MIN(COUNTIF(Labor!$C$59:$C$88,"&lt;="&amp;E990),MAXBED_MES,TOTAL_BEDS-B990-C990))</f>
        <v>30</v>
      </c>
      <c r="G990" s="21">
        <f>B990+C990+F990</f>
        <v>45</v>
      </c>
      <c r="H990" s="22">
        <f>IF(E990&lt;0,-999999999,B990*(PRICE_TOM-FERT_TOM)+C990*(PRICE_CAR-FERT_CAR)+F990*(PRICE_MES-FERT_MES)-(FARMER_SALARY+A990*TEMP_COST)-FIXED_COSTS)</f>
        <v>-15526</v>
      </c>
    </row>
    <row r="991">
      <c r="A991" s="5" t="n">
        <v>2</v>
      </c>
      <c r="B991" s="5" t="n">
        <v>4</v>
      </c>
      <c r="C991" s="5" t="n">
        <v>12</v>
      </c>
      <c r="D991" s="18">
        <f>SEASON_HRS_TOM*B991*(1+DIM_TOM)^B991+SEASON_HRS_CAR*C991*(1+DIM_CAR)^C991</f>
        <v>1011.2359767286671</v>
      </c>
      <c r="E991" s="18">
        <f>(FARMER_FIELD_HRS+A991*TEMP_HRS)-D991</f>
        <v>2588.764023271333</v>
      </c>
      <c r="F991" s="21">
        <f>IF(E991&lt;0,0,MIN(COUNTIF(Labor!$C$59:$C$88,"&lt;="&amp;E991),MAXBED_MES,TOTAL_BEDS-B991-C991))</f>
        <v>30</v>
      </c>
      <c r="G991" s="21">
        <f>B991+C991+F991</f>
        <v>46</v>
      </c>
      <c r="H991" s="22">
        <f>IF(E991&lt;0,-999999999,B991*(PRICE_TOM-FERT_TOM)+C991*(PRICE_CAR-FERT_CAR)+F991*(PRICE_MES-FERT_MES)-(FARMER_SALARY+A991*TEMP_COST)-FIXED_COSTS)</f>
        <v>-13872</v>
      </c>
    </row>
    <row r="992">
      <c r="A992" s="5" t="n">
        <v>2</v>
      </c>
      <c r="B992" s="5" t="n">
        <v>4</v>
      </c>
      <c r="C992" s="5" t="n">
        <v>13</v>
      </c>
      <c r="D992" s="18">
        <f>SEASON_HRS_TOM*B992*(1+DIM_TOM)^B992+SEASON_HRS_CAR*C992*(1+DIM_CAR)^C992</f>
        <v>1064.6953074924572</v>
      </c>
      <c r="E992" s="18">
        <f>(FARMER_FIELD_HRS+A992*TEMP_HRS)-D992</f>
        <v>2535.3046925075428</v>
      </c>
      <c r="F992" s="21">
        <f>IF(E992&lt;0,0,MIN(COUNTIF(Labor!$C$59:$C$88,"&lt;="&amp;E992),MAXBED_MES,TOTAL_BEDS-B992-C992))</f>
        <v>30</v>
      </c>
      <c r="G992" s="21">
        <f>B992+C992+F992</f>
        <v>47</v>
      </c>
      <c r="H992" s="22">
        <f>IF(E992&lt;0,-999999999,B992*(PRICE_TOM-FERT_TOM)+C992*(PRICE_CAR-FERT_CAR)+F992*(PRICE_MES-FERT_MES)-(FARMER_SALARY+A992*TEMP_COST)-FIXED_COSTS)</f>
        <v>-12218</v>
      </c>
    </row>
    <row r="993">
      <c r="A993" s="5" t="n">
        <v>2</v>
      </c>
      <c r="B993" s="5" t="n">
        <v>4</v>
      </c>
      <c r="C993" s="5" t="n">
        <v>14</v>
      </c>
      <c r="D993" s="18">
        <f>SEASON_HRS_TOM*B993*(1+DIM_TOM)^B993+SEASON_HRS_CAR*C993*(1+DIM_CAR)^C993</f>
        <v>1120.5250048089817</v>
      </c>
      <c r="E993" s="18">
        <f>(FARMER_FIELD_HRS+A993*TEMP_HRS)-D993</f>
        <v>2479.474995191018</v>
      </c>
      <c r="F993" s="21">
        <f>IF(E993&lt;0,0,MIN(COUNTIF(Labor!$C$59:$C$88,"&lt;="&amp;E993),MAXBED_MES,TOTAL_BEDS-B993-C993))</f>
        <v>30</v>
      </c>
      <c r="G993" s="21">
        <f>B993+C993+F993</f>
        <v>48</v>
      </c>
      <c r="H993" s="22">
        <f>IF(E993&lt;0,-999999999,B993*(PRICE_TOM-FERT_TOM)+C993*(PRICE_CAR-FERT_CAR)+F993*(PRICE_MES-FERT_MES)-(FARMER_SALARY+A993*TEMP_COST)-FIXED_COSTS)</f>
        <v>-10564</v>
      </c>
    </row>
    <row r="994">
      <c r="A994" s="5" t="n">
        <v>2</v>
      </c>
      <c r="B994" s="5" t="n">
        <v>4</v>
      </c>
      <c r="C994" s="5" t="n">
        <v>15</v>
      </c>
      <c r="D994" s="18">
        <f>SEASON_HRS_TOM*B994*(1+DIM_TOM)^B994+SEASON_HRS_CAR*C994*(1+DIM_CAR)^C994</f>
        <v>1178.8101749241496</v>
      </c>
      <c r="E994" s="18">
        <f>(FARMER_FIELD_HRS+A994*TEMP_HRS)-D994</f>
        <v>2421.1898250758504</v>
      </c>
      <c r="F994" s="21">
        <f>IF(E994&lt;0,0,MIN(COUNTIF(Labor!$C$59:$C$88,"&lt;="&amp;E994),MAXBED_MES,TOTAL_BEDS-B994-C994))</f>
        <v>30</v>
      </c>
      <c r="G994" s="21">
        <f>B994+C994+F994</f>
        <v>49</v>
      </c>
      <c r="H994" s="22">
        <f>IF(E994&lt;0,-999999999,B994*(PRICE_TOM-FERT_TOM)+C994*(PRICE_CAR-FERT_CAR)+F994*(PRICE_MES-FERT_MES)-(FARMER_SALARY+A994*TEMP_COST)-FIXED_COSTS)</f>
        <v>-8910</v>
      </c>
    </row>
    <row r="995">
      <c r="A995" s="5" t="n">
        <v>2</v>
      </c>
      <c r="B995" s="5" t="n">
        <v>4</v>
      </c>
      <c r="C995" s="5" t="n">
        <v>16</v>
      </c>
      <c r="D995" s="18">
        <f>SEASON_HRS_TOM*B995*(1+DIM_TOM)^B995+SEASON_HRS_CAR*C995*(1+DIM_CAR)^C995</f>
        <v>1239.63869791707</v>
      </c>
      <c r="E995" s="18">
        <f>(FARMER_FIELD_HRS+A995*TEMP_HRS)-D995</f>
        <v>2360.36130208293</v>
      </c>
      <c r="F995" s="21">
        <f>IF(E995&lt;0,0,MIN(COUNTIF(Labor!$C$59:$C$88,"&lt;="&amp;E995),MAXBED_MES,TOTAL_BEDS-B995-C995))</f>
        <v>30</v>
      </c>
      <c r="G995" s="21">
        <f>B995+C995+F995</f>
        <v>50</v>
      </c>
      <c r="H995" s="22">
        <f>IF(E995&lt;0,-999999999,B995*(PRICE_TOM-FERT_TOM)+C995*(PRICE_CAR-FERT_CAR)+F995*(PRICE_MES-FERT_MES)-(FARMER_SALARY+A995*TEMP_COST)-FIXED_COSTS)</f>
        <v>-7256</v>
      </c>
    </row>
    <row r="996">
      <c r="A996" s="5" t="n">
        <v>2</v>
      </c>
      <c r="B996" s="5" t="n">
        <v>4</v>
      </c>
      <c r="C996" s="5" t="n">
        <v>17</v>
      </c>
      <c r="D996" s="18">
        <f>SEASON_HRS_TOM*B996*(1+DIM_TOM)^B996+SEASON_HRS_CAR*C996*(1+DIM_CAR)^C996</f>
        <v>1303.101313200309</v>
      </c>
      <c r="E996" s="18">
        <f>(FARMER_FIELD_HRS+A996*TEMP_HRS)-D996</f>
        <v>2296.898686799691</v>
      </c>
      <c r="F996" s="21">
        <f>IF(E996&lt;0,0,MIN(COUNTIF(Labor!$C$59:$C$88,"&lt;="&amp;E996),MAXBED_MES,TOTAL_BEDS-B996-C996))</f>
        <v>30</v>
      </c>
      <c r="G996" s="21">
        <f>B996+C996+F996</f>
        <v>51</v>
      </c>
      <c r="H996" s="22">
        <f>IF(E996&lt;0,-999999999,B996*(PRICE_TOM-FERT_TOM)+C996*(PRICE_CAR-FERT_CAR)+F996*(PRICE_MES-FERT_MES)-(FARMER_SALARY+A996*TEMP_COST)-FIXED_COSTS)</f>
        <v>-5602</v>
      </c>
    </row>
    <row r="997">
      <c r="A997" s="5" t="n">
        <v>2</v>
      </c>
      <c r="B997" s="5" t="n">
        <v>4</v>
      </c>
      <c r="C997" s="5" t="n">
        <v>18</v>
      </c>
      <c r="D997" s="18">
        <f>SEASON_HRS_TOM*B997*(1+DIM_TOM)^B997+SEASON_HRS_CAR*C997*(1+DIM_CAR)^C997</f>
        <v>1369.2917075615117</v>
      </c>
      <c r="E997" s="18">
        <f>(FARMER_FIELD_HRS+A997*TEMP_HRS)-D997</f>
        <v>2230.7082924384886</v>
      </c>
      <c r="F997" s="21">
        <f>IF(E997&lt;0,0,MIN(COUNTIF(Labor!$C$59:$C$88,"&lt;="&amp;E997),MAXBED_MES,TOTAL_BEDS-B997-C997))</f>
        <v>30</v>
      </c>
      <c r="G997" s="21">
        <f>B997+C997+F997</f>
        <v>52</v>
      </c>
      <c r="H997" s="22">
        <f>IF(E997&lt;0,-999999999,B997*(PRICE_TOM-FERT_TOM)+C997*(PRICE_CAR-FERT_CAR)+F997*(PRICE_MES-FERT_MES)-(FARMER_SALARY+A997*TEMP_COST)-FIXED_COSTS)</f>
        <v>-3948</v>
      </c>
    </row>
    <row r="998">
      <c r="A998" s="5" t="n">
        <v>2</v>
      </c>
      <c r="B998" s="5" t="n">
        <v>4</v>
      </c>
      <c r="C998" s="5" t="n">
        <v>19</v>
      </c>
      <c r="D998" s="18">
        <f>SEASON_HRS_TOM*B998*(1+DIM_TOM)^B998+SEASON_HRS_CAR*C998*(1+DIM_CAR)^C998</f>
        <v>1438.3066058200243</v>
      </c>
      <c r="E998" s="18">
        <f>(FARMER_FIELD_HRS+A998*TEMP_HRS)-D998</f>
        <v>2161.6933941799757</v>
      </c>
      <c r="F998" s="21">
        <f>IF(E998&lt;0,0,MIN(COUNTIF(Labor!$C$59:$C$88,"&lt;="&amp;E998),MAXBED_MES,TOTAL_BEDS-B998-C998))</f>
        <v>30</v>
      </c>
      <c r="G998" s="21">
        <f>B998+C998+F998</f>
        <v>53</v>
      </c>
      <c r="H998" s="22">
        <f>IF(E998&lt;0,-999999999,B998*(PRICE_TOM-FERT_TOM)+C998*(PRICE_CAR-FERT_CAR)+F998*(PRICE_MES-FERT_MES)-(FARMER_SALARY+A998*TEMP_COST)-FIXED_COSTS)</f>
        <v>-2294</v>
      </c>
    </row>
    <row r="999">
      <c r="A999" s="5" t="n">
        <v>2</v>
      </c>
      <c r="B999" s="5" t="n">
        <v>4</v>
      </c>
      <c r="C999" s="5" t="n">
        <v>20</v>
      </c>
      <c r="D999" s="18">
        <f>SEASON_HRS_TOM*B999*(1+DIM_TOM)^B999+SEASON_HRS_CAR*C999*(1+DIM_CAR)^C999</f>
        <v>1510.2458641742367</v>
      </c>
      <c r="E999" s="18">
        <f>(FARMER_FIELD_HRS+A999*TEMP_HRS)-D999</f>
        <v>2089.754135825763</v>
      </c>
      <c r="F999" s="21">
        <f>IF(E999&lt;0,0,MIN(COUNTIF(Labor!$C$59:$C$88,"&lt;="&amp;E999),MAXBED_MES,TOTAL_BEDS-B999-C999))</f>
        <v>30</v>
      </c>
      <c r="G999" s="21">
        <f>B999+C999+F999</f>
        <v>54</v>
      </c>
      <c r="H999" s="22">
        <f>IF(E999&lt;0,-999999999,B999*(PRICE_TOM-FERT_TOM)+C999*(PRICE_CAR-FERT_CAR)+F999*(PRICE_MES-FERT_MES)-(FARMER_SALARY+A999*TEMP_COST)-FIXED_COSTS)</f>
        <v>-640</v>
      </c>
    </row>
    <row r="1000">
      <c r="A1000" s="5" t="n">
        <v>2</v>
      </c>
      <c r="B1000" s="5" t="n">
        <v>5</v>
      </c>
      <c r="C1000" s="5" t="n">
        <v>0</v>
      </c>
      <c r="D1000" s="18">
        <f>SEASON_HRS_TOM*B1000*(1+DIM_TOM)^B1000+SEASON_HRS_CAR*C1000*(1+DIM_CAR)^C1000</f>
        <v>724.7295000000003</v>
      </c>
      <c r="E1000" s="18">
        <f>(FARMER_FIELD_HRS+A1000*TEMP_HRS)-D1000</f>
        <v>2875.2704999999996</v>
      </c>
      <c r="F1000" s="21">
        <f>IF(E1000&lt;0,0,MIN(COUNTIF(Labor!$C$59:$C$88,"&lt;="&amp;E1000),MAXBED_MES,TOTAL_BEDS-B1000-C1000))</f>
        <v>30</v>
      </c>
      <c r="G1000" s="21">
        <f>B1000+C1000+F1000</f>
        <v>35</v>
      </c>
      <c r="H1000" s="22">
        <f>IF(E1000&lt;0,-999999999,B1000*(PRICE_TOM-FERT_TOM)+C1000*(PRICE_CAR-FERT_CAR)+F1000*(PRICE_MES-FERT_MES)-(FARMER_SALARY+A1000*TEMP_COST)-FIXED_COSTS)</f>
        <v>-25800</v>
      </c>
    </row>
    <row r="1001">
      <c r="A1001" s="5" t="n">
        <v>2</v>
      </c>
      <c r="B1001" s="5" t="n">
        <v>5</v>
      </c>
      <c r="C1001" s="5" t="n">
        <v>1</v>
      </c>
      <c r="D1001" s="18">
        <f>SEASON_HRS_TOM*B1001*(1+DIM_TOM)^B1001+SEASON_HRS_CAR*C1001*(1+DIM_CAR)^C1001</f>
        <v>755.4795000000003</v>
      </c>
      <c r="E1001" s="18">
        <f>(FARMER_FIELD_HRS+A1001*TEMP_HRS)-D1001</f>
        <v>2844.5204999999996</v>
      </c>
      <c r="F1001" s="21">
        <f>IF(E1001&lt;0,0,MIN(COUNTIF(Labor!$C$59:$C$88,"&lt;="&amp;E1001),MAXBED_MES,TOTAL_BEDS-B1001-C1001))</f>
        <v>30</v>
      </c>
      <c r="G1001" s="21">
        <f>B1001+C1001+F1001</f>
        <v>36</v>
      </c>
      <c r="H1001" s="22">
        <f>IF(E1001&lt;0,-999999999,B1001*(PRICE_TOM-FERT_TOM)+C1001*(PRICE_CAR-FERT_CAR)+F1001*(PRICE_MES-FERT_MES)-(FARMER_SALARY+A1001*TEMP_COST)-FIXED_COSTS)</f>
        <v>-24146</v>
      </c>
    </row>
    <row r="1002">
      <c r="A1002" s="5" t="n">
        <v>2</v>
      </c>
      <c r="B1002" s="5" t="n">
        <v>5</v>
      </c>
      <c r="C1002" s="5" t="n">
        <v>2</v>
      </c>
      <c r="D1002" s="18">
        <f>SEASON_HRS_TOM*B1002*(1+DIM_TOM)^B1002+SEASON_HRS_CAR*C1002*(1+DIM_CAR)^C1002</f>
        <v>787.7670000000003</v>
      </c>
      <c r="E1002" s="18">
        <f>(FARMER_FIELD_HRS+A1002*TEMP_HRS)-D1002</f>
        <v>2812.2329999999997</v>
      </c>
      <c r="F1002" s="21">
        <f>IF(E1002&lt;0,0,MIN(COUNTIF(Labor!$C$59:$C$88,"&lt;="&amp;E1002),MAXBED_MES,TOTAL_BEDS-B1002-C1002))</f>
        <v>30</v>
      </c>
      <c r="G1002" s="21">
        <f>B1002+C1002+F1002</f>
        <v>37</v>
      </c>
      <c r="H1002" s="22">
        <f>IF(E1002&lt;0,-999999999,B1002*(PRICE_TOM-FERT_TOM)+C1002*(PRICE_CAR-FERT_CAR)+F1002*(PRICE_MES-FERT_MES)-(FARMER_SALARY+A1002*TEMP_COST)-FIXED_COSTS)</f>
        <v>-22492</v>
      </c>
    </row>
    <row r="1003">
      <c r="A1003" s="5" t="n">
        <v>2</v>
      </c>
      <c r="B1003" s="5" t="n">
        <v>5</v>
      </c>
      <c r="C1003" s="5" t="n">
        <v>3</v>
      </c>
      <c r="D1003" s="18">
        <f>SEASON_HRS_TOM*B1003*(1+DIM_TOM)^B1003+SEASON_HRS_CAR*C1003*(1+DIM_CAR)^C1003</f>
        <v>821.6496562500002</v>
      </c>
      <c r="E1003" s="18">
        <f>(FARMER_FIELD_HRS+A1003*TEMP_HRS)-D1003</f>
        <v>2778.35034375</v>
      </c>
      <c r="F1003" s="21">
        <f>IF(E1003&lt;0,0,MIN(COUNTIF(Labor!$C$59:$C$88,"&lt;="&amp;E1003),MAXBED_MES,TOTAL_BEDS-B1003-C1003))</f>
        <v>30</v>
      </c>
      <c r="G1003" s="21">
        <f>B1003+C1003+F1003</f>
        <v>38</v>
      </c>
      <c r="H1003" s="22">
        <f>IF(E1003&lt;0,-999999999,B1003*(PRICE_TOM-FERT_TOM)+C1003*(PRICE_CAR-FERT_CAR)+F1003*(PRICE_MES-FERT_MES)-(FARMER_SALARY+A1003*TEMP_COST)-FIXED_COSTS)</f>
        <v>-20838</v>
      </c>
    </row>
    <row r="1004">
      <c r="A1004" s="5" t="n">
        <v>2</v>
      </c>
      <c r="B1004" s="5" t="n">
        <v>5</v>
      </c>
      <c r="C1004" s="5" t="n">
        <v>4</v>
      </c>
      <c r="D1004" s="18">
        <f>SEASON_HRS_TOM*B1004*(1+DIM_TOM)^B1004+SEASON_HRS_CAR*C1004*(1+DIM_CAR)^C1004</f>
        <v>857.1870468750002</v>
      </c>
      <c r="E1004" s="18">
        <f>(FARMER_FIELD_HRS+A1004*TEMP_HRS)-D1004</f>
        <v>2742.8129531249997</v>
      </c>
      <c r="F1004" s="21">
        <f>IF(E1004&lt;0,0,MIN(COUNTIF(Labor!$C$59:$C$88,"&lt;="&amp;E1004),MAXBED_MES,TOTAL_BEDS-B1004-C1004))</f>
        <v>30</v>
      </c>
      <c r="G1004" s="21">
        <f>B1004+C1004+F1004</f>
        <v>39</v>
      </c>
      <c r="H1004" s="22">
        <f>IF(E1004&lt;0,-999999999,B1004*(PRICE_TOM-FERT_TOM)+C1004*(PRICE_CAR-FERT_CAR)+F1004*(PRICE_MES-FERT_MES)-(FARMER_SALARY+A1004*TEMP_COST)-FIXED_COSTS)</f>
        <v>-19184</v>
      </c>
    </row>
    <row r="1005">
      <c r="A1005" s="5" t="n">
        <v>2</v>
      </c>
      <c r="B1005" s="5" t="n">
        <v>5</v>
      </c>
      <c r="C1005" s="5" t="n">
        <v>5</v>
      </c>
      <c r="D1005" s="18">
        <f>SEASON_HRS_TOM*B1005*(1+DIM_TOM)^B1005+SEASON_HRS_CAR*C1005*(1+DIM_CAR)^C1005</f>
        <v>894.440731933594</v>
      </c>
      <c r="E1005" s="18">
        <f>(FARMER_FIELD_HRS+A1005*TEMP_HRS)-D1005</f>
        <v>2705.559268066406</v>
      </c>
      <c r="F1005" s="21">
        <f>IF(E1005&lt;0,0,MIN(COUNTIF(Labor!$C$59:$C$88,"&lt;="&amp;E1005),MAXBED_MES,TOTAL_BEDS-B1005-C1005))</f>
        <v>30</v>
      </c>
      <c r="G1005" s="21">
        <f>B1005+C1005+F1005</f>
        <v>40</v>
      </c>
      <c r="H1005" s="22">
        <f>IF(E1005&lt;0,-999999999,B1005*(PRICE_TOM-FERT_TOM)+C1005*(PRICE_CAR-FERT_CAR)+F1005*(PRICE_MES-FERT_MES)-(FARMER_SALARY+A1005*TEMP_COST)-FIXED_COSTS)</f>
        <v>-17530</v>
      </c>
    </row>
    <row r="1006">
      <c r="A1006" s="5" t="n">
        <v>2</v>
      </c>
      <c r="B1006" s="5" t="n">
        <v>5</v>
      </c>
      <c r="C1006" s="5" t="n">
        <v>6</v>
      </c>
      <c r="D1006" s="18">
        <f>SEASON_HRS_TOM*B1006*(1+DIM_TOM)^B1006+SEASON_HRS_CAR*C1006*(1+DIM_CAR)^C1006</f>
        <v>933.4743152783204</v>
      </c>
      <c r="E1006" s="18">
        <f>(FARMER_FIELD_HRS+A1006*TEMP_HRS)-D1006</f>
        <v>2666.5256847216797</v>
      </c>
      <c r="F1006" s="21">
        <f>IF(E1006&lt;0,0,MIN(COUNTIF(Labor!$C$59:$C$88,"&lt;="&amp;E1006),MAXBED_MES,TOTAL_BEDS-B1006-C1006))</f>
        <v>30</v>
      </c>
      <c r="G1006" s="21">
        <f>B1006+C1006+F1006</f>
        <v>41</v>
      </c>
      <c r="H1006" s="22">
        <f>IF(E1006&lt;0,-999999999,B1006*(PRICE_TOM-FERT_TOM)+C1006*(PRICE_CAR-FERT_CAR)+F1006*(PRICE_MES-FERT_MES)-(FARMER_SALARY+A1006*TEMP_COST)-FIXED_COSTS)</f>
        <v>-15876</v>
      </c>
    </row>
    <row r="1007">
      <c r="A1007" s="5" t="n">
        <v>2</v>
      </c>
      <c r="B1007" s="5" t="n">
        <v>5</v>
      </c>
      <c r="C1007" s="5" t="n">
        <v>7</v>
      </c>
      <c r="D1007" s="18">
        <f>SEASON_HRS_TOM*B1007*(1+DIM_TOM)^B1007+SEASON_HRS_CAR*C1007*(1+DIM_CAR)^C1007</f>
        <v>974.3535082703248</v>
      </c>
      <c r="E1007" s="18">
        <f>(FARMER_FIELD_HRS+A1007*TEMP_HRS)-D1007</f>
        <v>2625.6464917296753</v>
      </c>
      <c r="F1007" s="21">
        <f>IF(E1007&lt;0,0,MIN(COUNTIF(Labor!$C$59:$C$88,"&lt;="&amp;E1007),MAXBED_MES,TOTAL_BEDS-B1007-C1007))</f>
        <v>30</v>
      </c>
      <c r="G1007" s="21">
        <f>B1007+C1007+F1007</f>
        <v>42</v>
      </c>
      <c r="H1007" s="22">
        <f>IF(E1007&lt;0,-999999999,B1007*(PRICE_TOM-FERT_TOM)+C1007*(PRICE_CAR-FERT_CAR)+F1007*(PRICE_MES-FERT_MES)-(FARMER_SALARY+A1007*TEMP_COST)-FIXED_COSTS)</f>
        <v>-14222</v>
      </c>
    </row>
    <row r="1008">
      <c r="A1008" s="5" t="n">
        <v>2</v>
      </c>
      <c r="B1008" s="5" t="n">
        <v>5</v>
      </c>
      <c r="C1008" s="5" t="n">
        <v>8</v>
      </c>
      <c r="D1008" s="18">
        <f>SEASON_HRS_TOM*B1008*(1+DIM_TOM)^B1008+SEASON_HRS_CAR*C1008*(1+DIM_CAR)^C1008</f>
        <v>1017.1461954023804</v>
      </c>
      <c r="E1008" s="18">
        <f>(FARMER_FIELD_HRS+A1008*TEMP_HRS)-D1008</f>
        <v>2582.8538045976197</v>
      </c>
      <c r="F1008" s="21">
        <f>IF(E1008&lt;0,0,MIN(COUNTIF(Labor!$C$59:$C$88,"&lt;="&amp;E1008),MAXBED_MES,TOTAL_BEDS-B1008-C1008))</f>
        <v>30</v>
      </c>
      <c r="G1008" s="21">
        <f>B1008+C1008+F1008</f>
        <v>43</v>
      </c>
      <c r="H1008" s="22">
        <f>IF(E1008&lt;0,-999999999,B1008*(PRICE_TOM-FERT_TOM)+C1008*(PRICE_CAR-FERT_CAR)+F1008*(PRICE_MES-FERT_MES)-(FARMER_SALARY+A1008*TEMP_COST)-FIXED_COSTS)</f>
        <v>-12568</v>
      </c>
    </row>
    <row r="1009">
      <c r="A1009" s="5" t="n">
        <v>2</v>
      </c>
      <c r="B1009" s="5" t="n">
        <v>5</v>
      </c>
      <c r="C1009" s="5" t="n">
        <v>9</v>
      </c>
      <c r="D1009" s="18">
        <f>SEASON_HRS_TOM*B1009*(1+DIM_TOM)^B1009+SEASON_HRS_CAR*C1009*(1+DIM_CAR)^C1009</f>
        <v>1061.92250188587</v>
      </c>
      <c r="E1009" s="18">
        <f>(FARMER_FIELD_HRS+A1009*TEMP_HRS)-D1009</f>
        <v>2538.0774981141303</v>
      </c>
      <c r="F1009" s="21">
        <f>IF(E1009&lt;0,0,MIN(COUNTIF(Labor!$C$59:$C$88,"&lt;="&amp;E1009),MAXBED_MES,TOTAL_BEDS-B1009-C1009))</f>
        <v>30</v>
      </c>
      <c r="G1009" s="21">
        <f>B1009+C1009+F1009</f>
        <v>44</v>
      </c>
      <c r="H1009" s="22">
        <f>IF(E1009&lt;0,-999999999,B1009*(PRICE_TOM-FERT_TOM)+C1009*(PRICE_CAR-FERT_CAR)+F1009*(PRICE_MES-FERT_MES)-(FARMER_SALARY+A1009*TEMP_COST)-FIXED_COSTS)</f>
        <v>-10914</v>
      </c>
    </row>
    <row r="1010">
      <c r="A1010" s="5" t="n">
        <v>2</v>
      </c>
      <c r="B1010" s="5" t="n">
        <v>5</v>
      </c>
      <c r="C1010" s="5" t="n">
        <v>10</v>
      </c>
      <c r="D1010" s="18">
        <f>SEASON_HRS_TOM*B1010*(1+DIM_TOM)^B1010+SEASON_HRS_CAR*C1010*(1+DIM_CAR)^C1010</f>
        <v>1108.7548632589073</v>
      </c>
      <c r="E1010" s="18">
        <f>(FARMER_FIELD_HRS+A1010*TEMP_HRS)-D1010</f>
        <v>2491.2451367410927</v>
      </c>
      <c r="F1010" s="21">
        <f>IF(E1010&lt;0,0,MIN(COUNTIF(Labor!$C$59:$C$88,"&lt;="&amp;E1010),MAXBED_MES,TOTAL_BEDS-B1010-C1010))</f>
        <v>30</v>
      </c>
      <c r="G1010" s="21">
        <f>B1010+C1010+F1010</f>
        <v>45</v>
      </c>
      <c r="H1010" s="22">
        <f>IF(E1010&lt;0,-999999999,B1010*(PRICE_TOM-FERT_TOM)+C1010*(PRICE_CAR-FERT_CAR)+F1010*(PRICE_MES-FERT_MES)-(FARMER_SALARY+A1010*TEMP_COST)-FIXED_COSTS)</f>
        <v>-9260</v>
      </c>
    </row>
    <row r="1011">
      <c r="A1011" s="5" t="n">
        <v>2</v>
      </c>
      <c r="B1011" s="5" t="n">
        <v>5</v>
      </c>
      <c r="C1011" s="5" t="n">
        <v>11</v>
      </c>
      <c r="D1011" s="18">
        <f>SEASON_HRS_TOM*B1011*(1+DIM_TOM)^B1011+SEASON_HRS_CAR*C1011*(1+DIM_CAR)^C1011</f>
        <v>1157.718097074418</v>
      </c>
      <c r="E1011" s="18">
        <f>(FARMER_FIELD_HRS+A1011*TEMP_HRS)-D1011</f>
        <v>2442.281902925582</v>
      </c>
      <c r="F1011" s="21">
        <f>IF(E1011&lt;0,0,MIN(COUNTIF(Labor!$C$59:$C$88,"&lt;="&amp;E1011),MAXBED_MES,TOTAL_BEDS-B1011-C1011))</f>
        <v>30</v>
      </c>
      <c r="G1011" s="21">
        <f>B1011+C1011+F1011</f>
        <v>46</v>
      </c>
      <c r="H1011" s="22">
        <f>IF(E1011&lt;0,-999999999,B1011*(PRICE_TOM-FERT_TOM)+C1011*(PRICE_CAR-FERT_CAR)+F1011*(PRICE_MES-FERT_MES)-(FARMER_SALARY+A1011*TEMP_COST)-FIXED_COSTS)</f>
        <v>-7606</v>
      </c>
    </row>
    <row r="1012">
      <c r="A1012" s="5" t="n">
        <v>2</v>
      </c>
      <c r="B1012" s="5" t="n">
        <v>5</v>
      </c>
      <c r="C1012" s="5" t="n">
        <v>12</v>
      </c>
      <c r="D1012" s="18">
        <f>SEASON_HRS_TOM*B1012*(1+DIM_TOM)^B1012+SEASON_HRS_CAR*C1012*(1+DIM_CAR)^C1012</f>
        <v>1208.8894767286672</v>
      </c>
      <c r="E1012" s="18">
        <f>(FARMER_FIELD_HRS+A1012*TEMP_HRS)-D1012</f>
        <v>2391.1105232713326</v>
      </c>
      <c r="F1012" s="21">
        <f>IF(E1012&lt;0,0,MIN(COUNTIF(Labor!$C$59:$C$88,"&lt;="&amp;E1012),MAXBED_MES,TOTAL_BEDS-B1012-C1012))</f>
        <v>30</v>
      </c>
      <c r="G1012" s="21">
        <f>B1012+C1012+F1012</f>
        <v>47</v>
      </c>
      <c r="H1012" s="22">
        <f>IF(E1012&lt;0,-999999999,B1012*(PRICE_TOM-FERT_TOM)+C1012*(PRICE_CAR-FERT_CAR)+F1012*(PRICE_MES-FERT_MES)-(FARMER_SALARY+A1012*TEMP_COST)-FIXED_COSTS)</f>
        <v>-5952</v>
      </c>
    </row>
    <row r="1013">
      <c r="A1013" s="5" t="n">
        <v>2</v>
      </c>
      <c r="B1013" s="5" t="n">
        <v>5</v>
      </c>
      <c r="C1013" s="5" t="n">
        <v>13</v>
      </c>
      <c r="D1013" s="18">
        <f>SEASON_HRS_TOM*B1013*(1+DIM_TOM)^B1013+SEASON_HRS_CAR*C1013*(1+DIM_CAR)^C1013</f>
        <v>1262.3488074924574</v>
      </c>
      <c r="E1013" s="18">
        <f>(FARMER_FIELD_HRS+A1013*TEMP_HRS)-D1013</f>
        <v>2337.651192507543</v>
      </c>
      <c r="F1013" s="21">
        <f>IF(E1013&lt;0,0,MIN(COUNTIF(Labor!$C$59:$C$88,"&lt;="&amp;E1013),MAXBED_MES,TOTAL_BEDS-B1013-C1013))</f>
        <v>30</v>
      </c>
      <c r="G1013" s="21">
        <f>B1013+C1013+F1013</f>
        <v>48</v>
      </c>
      <c r="H1013" s="22">
        <f>IF(E1013&lt;0,-999999999,B1013*(PRICE_TOM-FERT_TOM)+C1013*(PRICE_CAR-FERT_CAR)+F1013*(PRICE_MES-FERT_MES)-(FARMER_SALARY+A1013*TEMP_COST)-FIXED_COSTS)</f>
        <v>-4298</v>
      </c>
    </row>
    <row r="1014">
      <c r="A1014" s="5" t="n">
        <v>2</v>
      </c>
      <c r="B1014" s="5" t="n">
        <v>5</v>
      </c>
      <c r="C1014" s="5" t="n">
        <v>14</v>
      </c>
      <c r="D1014" s="18">
        <f>SEASON_HRS_TOM*B1014*(1+DIM_TOM)^B1014+SEASON_HRS_CAR*C1014*(1+DIM_CAR)^C1014</f>
        <v>1318.1785048089819</v>
      </c>
      <c r="E1014" s="18">
        <f>(FARMER_FIELD_HRS+A1014*TEMP_HRS)-D1014</f>
        <v>2281.821495191018</v>
      </c>
      <c r="F1014" s="21">
        <f>IF(E1014&lt;0,0,MIN(COUNTIF(Labor!$C$59:$C$88,"&lt;="&amp;E1014),MAXBED_MES,TOTAL_BEDS-B1014-C1014))</f>
        <v>30</v>
      </c>
      <c r="G1014" s="21">
        <f>B1014+C1014+F1014</f>
        <v>49</v>
      </c>
      <c r="H1014" s="22">
        <f>IF(E1014&lt;0,-999999999,B1014*(PRICE_TOM-FERT_TOM)+C1014*(PRICE_CAR-FERT_CAR)+F1014*(PRICE_MES-FERT_MES)-(FARMER_SALARY+A1014*TEMP_COST)-FIXED_COSTS)</f>
        <v>-2644</v>
      </c>
    </row>
    <row r="1015">
      <c r="A1015" s="5" t="n">
        <v>2</v>
      </c>
      <c r="B1015" s="5" t="n">
        <v>5</v>
      </c>
      <c r="C1015" s="5" t="n">
        <v>15</v>
      </c>
      <c r="D1015" s="18">
        <f>SEASON_HRS_TOM*B1015*(1+DIM_TOM)^B1015+SEASON_HRS_CAR*C1015*(1+DIM_CAR)^C1015</f>
        <v>1376.4636749241495</v>
      </c>
      <c r="E1015" s="18">
        <f>(FARMER_FIELD_HRS+A1015*TEMP_HRS)-D1015</f>
        <v>2223.5363250758505</v>
      </c>
      <c r="F1015" s="21">
        <f>IF(E1015&lt;0,0,MIN(COUNTIF(Labor!$C$59:$C$88,"&lt;="&amp;E1015),MAXBED_MES,TOTAL_BEDS-B1015-C1015))</f>
        <v>30</v>
      </c>
      <c r="G1015" s="21">
        <f>B1015+C1015+F1015</f>
        <v>50</v>
      </c>
      <c r="H1015" s="22">
        <f>IF(E1015&lt;0,-999999999,B1015*(PRICE_TOM-FERT_TOM)+C1015*(PRICE_CAR-FERT_CAR)+F1015*(PRICE_MES-FERT_MES)-(FARMER_SALARY+A1015*TEMP_COST)-FIXED_COSTS)</f>
        <v>-990</v>
      </c>
    </row>
    <row r="1016">
      <c r="A1016" s="5" t="n">
        <v>2</v>
      </c>
      <c r="B1016" s="5" t="n">
        <v>5</v>
      </c>
      <c r="C1016" s="5" t="n">
        <v>16</v>
      </c>
      <c r="D1016" s="18">
        <f>SEASON_HRS_TOM*B1016*(1+DIM_TOM)^B1016+SEASON_HRS_CAR*C1016*(1+DIM_CAR)^C1016</f>
        <v>1437.29219791707</v>
      </c>
      <c r="E1016" s="18">
        <f>(FARMER_FIELD_HRS+A1016*TEMP_HRS)-D1016</f>
        <v>2162.70780208293</v>
      </c>
      <c r="F1016" s="21">
        <f>IF(E1016&lt;0,0,MIN(COUNTIF(Labor!$C$59:$C$88,"&lt;="&amp;E1016),MAXBED_MES,TOTAL_BEDS-B1016-C1016))</f>
        <v>30</v>
      </c>
      <c r="G1016" s="21">
        <f>B1016+C1016+F1016</f>
        <v>51</v>
      </c>
      <c r="H1016" s="22">
        <f>IF(E1016&lt;0,-999999999,B1016*(PRICE_TOM-FERT_TOM)+C1016*(PRICE_CAR-FERT_CAR)+F1016*(PRICE_MES-FERT_MES)-(FARMER_SALARY+A1016*TEMP_COST)-FIXED_COSTS)</f>
        <v>664</v>
      </c>
    </row>
    <row r="1017">
      <c r="A1017" s="5" t="n">
        <v>2</v>
      </c>
      <c r="B1017" s="5" t="n">
        <v>5</v>
      </c>
      <c r="C1017" s="5" t="n">
        <v>17</v>
      </c>
      <c r="D1017" s="18">
        <f>SEASON_HRS_TOM*B1017*(1+DIM_TOM)^B1017+SEASON_HRS_CAR*C1017*(1+DIM_CAR)^C1017</f>
        <v>1500.754813200309</v>
      </c>
      <c r="E1017" s="18">
        <f>(FARMER_FIELD_HRS+A1017*TEMP_HRS)-D1017</f>
        <v>2099.245186799691</v>
      </c>
      <c r="F1017" s="21">
        <f>IF(E1017&lt;0,0,MIN(COUNTIF(Labor!$C$59:$C$88,"&lt;="&amp;E1017),MAXBED_MES,TOTAL_BEDS-B1017-C1017))</f>
        <v>30</v>
      </c>
      <c r="G1017" s="21">
        <f>B1017+C1017+F1017</f>
        <v>52</v>
      </c>
      <c r="H1017" s="22">
        <f>IF(E1017&lt;0,-999999999,B1017*(PRICE_TOM-FERT_TOM)+C1017*(PRICE_CAR-FERT_CAR)+F1017*(PRICE_MES-FERT_MES)-(FARMER_SALARY+A1017*TEMP_COST)-FIXED_COSTS)</f>
        <v>2318</v>
      </c>
    </row>
    <row r="1018">
      <c r="A1018" s="5" t="n">
        <v>2</v>
      </c>
      <c r="B1018" s="5" t="n">
        <v>5</v>
      </c>
      <c r="C1018" s="5" t="n">
        <v>18</v>
      </c>
      <c r="D1018" s="18">
        <f>SEASON_HRS_TOM*B1018*(1+DIM_TOM)^B1018+SEASON_HRS_CAR*C1018*(1+DIM_CAR)^C1018</f>
        <v>1566.9452075615118</v>
      </c>
      <c r="E1018" s="18">
        <f>(FARMER_FIELD_HRS+A1018*TEMP_HRS)-D1018</f>
        <v>2033.0547924384882</v>
      </c>
      <c r="F1018" s="21">
        <f>IF(E1018&lt;0,0,MIN(COUNTIF(Labor!$C$59:$C$88,"&lt;="&amp;E1018),MAXBED_MES,TOTAL_BEDS-B1018-C1018))</f>
        <v>30</v>
      </c>
      <c r="G1018" s="21">
        <f>B1018+C1018+F1018</f>
        <v>53</v>
      </c>
      <c r="H1018" s="22">
        <f>IF(E1018&lt;0,-999999999,B1018*(PRICE_TOM-FERT_TOM)+C1018*(PRICE_CAR-FERT_CAR)+F1018*(PRICE_MES-FERT_MES)-(FARMER_SALARY+A1018*TEMP_COST)-FIXED_COSTS)</f>
        <v>3972</v>
      </c>
    </row>
    <row r="1019">
      <c r="A1019" s="5" t="n">
        <v>2</v>
      </c>
      <c r="B1019" s="5" t="n">
        <v>5</v>
      </c>
      <c r="C1019" s="5" t="n">
        <v>19</v>
      </c>
      <c r="D1019" s="18">
        <f>SEASON_HRS_TOM*B1019*(1+DIM_TOM)^B1019+SEASON_HRS_CAR*C1019*(1+DIM_CAR)^C1019</f>
        <v>1635.9601058200244</v>
      </c>
      <c r="E1019" s="18">
        <f>(FARMER_FIELD_HRS+A1019*TEMP_HRS)-D1019</f>
        <v>1964.0398941799756</v>
      </c>
      <c r="F1019" s="21">
        <f>IF(E1019&lt;0,0,MIN(COUNTIF(Labor!$C$59:$C$88,"&lt;="&amp;E1019),MAXBED_MES,TOTAL_BEDS-B1019-C1019))</f>
        <v>30</v>
      </c>
      <c r="G1019" s="21">
        <f>B1019+C1019+F1019</f>
        <v>54</v>
      </c>
      <c r="H1019" s="22">
        <f>IF(E1019&lt;0,-999999999,B1019*(PRICE_TOM-FERT_TOM)+C1019*(PRICE_CAR-FERT_CAR)+F1019*(PRICE_MES-FERT_MES)-(FARMER_SALARY+A1019*TEMP_COST)-FIXED_COSTS)</f>
        <v>5626</v>
      </c>
    </row>
    <row r="1020">
      <c r="A1020" s="5" t="n">
        <v>2</v>
      </c>
      <c r="B1020" s="5" t="n">
        <v>5</v>
      </c>
      <c r="C1020" s="5" t="n">
        <v>20</v>
      </c>
      <c r="D1020" s="18">
        <f>SEASON_HRS_TOM*B1020*(1+DIM_TOM)^B1020+SEASON_HRS_CAR*C1020*(1+DIM_CAR)^C1020</f>
        <v>1707.8993641742368</v>
      </c>
      <c r="E1020" s="18">
        <f>(FARMER_FIELD_HRS+A1020*TEMP_HRS)-D1020</f>
        <v>1892.1006358257632</v>
      </c>
      <c r="F1020" s="21">
        <f>IF(E1020&lt;0,0,MIN(COUNTIF(Labor!$C$59:$C$88,"&lt;="&amp;E1020),MAXBED_MES,TOTAL_BEDS-B1020-C1020))</f>
        <v>29</v>
      </c>
      <c r="G1020" s="21">
        <f>B1020+C1020+F1020</f>
        <v>54</v>
      </c>
      <c r="H1020" s="22">
        <f>IF(E1020&lt;0,-999999999,B1020*(PRICE_TOM-FERT_TOM)+C1020*(PRICE_CAR-FERT_CAR)+F1020*(PRICE_MES-FERT_MES)-(FARMER_SALARY+A1020*TEMP_COST)-FIXED_COSTS)</f>
        <v>5460</v>
      </c>
    </row>
    <row r="1021">
      <c r="A1021" s="5" t="n">
        <v>2</v>
      </c>
      <c r="B1021" s="5" t="n">
        <v>6</v>
      </c>
      <c r="C1021" s="5" t="n">
        <v>0</v>
      </c>
      <c r="D1021" s="18">
        <f>SEASON_HRS_TOM*B1021*(1+DIM_TOM)^B1021+SEASON_HRS_CAR*C1021*(1+DIM_CAR)^C1021</f>
        <v>956.6429400000004</v>
      </c>
      <c r="E1021" s="18">
        <f>(FARMER_FIELD_HRS+A1021*TEMP_HRS)-D1021</f>
        <v>2643.3570599999994</v>
      </c>
      <c r="F1021" s="21">
        <f>IF(E1021&lt;0,0,MIN(COUNTIF(Labor!$C$59:$C$88,"&lt;="&amp;E1021),MAXBED_MES,TOTAL_BEDS-B1021-C1021))</f>
        <v>30</v>
      </c>
      <c r="G1021" s="21">
        <f>B1021+C1021+F1021</f>
        <v>36</v>
      </c>
      <c r="H1021" s="22">
        <f>IF(E1021&lt;0,-999999999,B1021*(PRICE_TOM-FERT_TOM)+C1021*(PRICE_CAR-FERT_CAR)+F1021*(PRICE_MES-FERT_MES)-(FARMER_SALARY+A1021*TEMP_COST)-FIXED_COSTS)</f>
        <v>-17880</v>
      </c>
    </row>
    <row r="1022">
      <c r="A1022" s="5" t="n">
        <v>2</v>
      </c>
      <c r="B1022" s="5" t="n">
        <v>6</v>
      </c>
      <c r="C1022" s="5" t="n">
        <v>1</v>
      </c>
      <c r="D1022" s="18">
        <f>SEASON_HRS_TOM*B1022*(1+DIM_TOM)^B1022+SEASON_HRS_CAR*C1022*(1+DIM_CAR)^C1022</f>
        <v>987.3929400000004</v>
      </c>
      <c r="E1022" s="18">
        <f>(FARMER_FIELD_HRS+A1022*TEMP_HRS)-D1022</f>
        <v>2612.6070599999994</v>
      </c>
      <c r="F1022" s="21">
        <f>IF(E1022&lt;0,0,MIN(COUNTIF(Labor!$C$59:$C$88,"&lt;="&amp;E1022),MAXBED_MES,TOTAL_BEDS-B1022-C1022))</f>
        <v>30</v>
      </c>
      <c r="G1022" s="21">
        <f>B1022+C1022+F1022</f>
        <v>37</v>
      </c>
      <c r="H1022" s="22">
        <f>IF(E1022&lt;0,-999999999,B1022*(PRICE_TOM-FERT_TOM)+C1022*(PRICE_CAR-FERT_CAR)+F1022*(PRICE_MES-FERT_MES)-(FARMER_SALARY+A1022*TEMP_COST)-FIXED_COSTS)</f>
        <v>-16226</v>
      </c>
    </row>
    <row r="1023">
      <c r="A1023" s="5" t="n">
        <v>2</v>
      </c>
      <c r="B1023" s="5" t="n">
        <v>6</v>
      </c>
      <c r="C1023" s="5" t="n">
        <v>2</v>
      </c>
      <c r="D1023" s="18">
        <f>SEASON_HRS_TOM*B1023*(1+DIM_TOM)^B1023+SEASON_HRS_CAR*C1023*(1+DIM_CAR)^C1023</f>
        <v>1019.6804400000004</v>
      </c>
      <c r="E1023" s="18">
        <f>(FARMER_FIELD_HRS+A1023*TEMP_HRS)-D1023</f>
        <v>2580.3195599999995</v>
      </c>
      <c r="F1023" s="21">
        <f>IF(E1023&lt;0,0,MIN(COUNTIF(Labor!$C$59:$C$88,"&lt;="&amp;E1023),MAXBED_MES,TOTAL_BEDS-B1023-C1023))</f>
        <v>30</v>
      </c>
      <c r="G1023" s="21">
        <f>B1023+C1023+F1023</f>
        <v>38</v>
      </c>
      <c r="H1023" s="22">
        <f>IF(E1023&lt;0,-999999999,B1023*(PRICE_TOM-FERT_TOM)+C1023*(PRICE_CAR-FERT_CAR)+F1023*(PRICE_MES-FERT_MES)-(FARMER_SALARY+A1023*TEMP_COST)-FIXED_COSTS)</f>
        <v>-14572</v>
      </c>
    </row>
    <row r="1024">
      <c r="A1024" s="5" t="n">
        <v>2</v>
      </c>
      <c r="B1024" s="5" t="n">
        <v>6</v>
      </c>
      <c r="C1024" s="5" t="n">
        <v>3</v>
      </c>
      <c r="D1024" s="18">
        <f>SEASON_HRS_TOM*B1024*(1+DIM_TOM)^B1024+SEASON_HRS_CAR*C1024*(1+DIM_CAR)^C1024</f>
        <v>1053.5630962500004</v>
      </c>
      <c r="E1024" s="18">
        <f>(FARMER_FIELD_HRS+A1024*TEMP_HRS)-D1024</f>
        <v>2546.4369037499996</v>
      </c>
      <c r="F1024" s="21">
        <f>IF(E1024&lt;0,0,MIN(COUNTIF(Labor!$C$59:$C$88,"&lt;="&amp;E1024),MAXBED_MES,TOTAL_BEDS-B1024-C1024))</f>
        <v>30</v>
      </c>
      <c r="G1024" s="21">
        <f>B1024+C1024+F1024</f>
        <v>39</v>
      </c>
      <c r="H1024" s="22">
        <f>IF(E1024&lt;0,-999999999,B1024*(PRICE_TOM-FERT_TOM)+C1024*(PRICE_CAR-FERT_CAR)+F1024*(PRICE_MES-FERT_MES)-(FARMER_SALARY+A1024*TEMP_COST)-FIXED_COSTS)</f>
        <v>-12918</v>
      </c>
    </row>
    <row r="1025">
      <c r="A1025" s="5" t="n">
        <v>2</v>
      </c>
      <c r="B1025" s="5" t="n">
        <v>6</v>
      </c>
      <c r="C1025" s="5" t="n">
        <v>4</v>
      </c>
      <c r="D1025" s="18">
        <f>SEASON_HRS_TOM*B1025*(1+DIM_TOM)^B1025+SEASON_HRS_CAR*C1025*(1+DIM_CAR)^C1025</f>
        <v>1089.1004868750003</v>
      </c>
      <c r="E1025" s="18">
        <f>(FARMER_FIELD_HRS+A1025*TEMP_HRS)-D1025</f>
        <v>2510.8995131249994</v>
      </c>
      <c r="F1025" s="21">
        <f>IF(E1025&lt;0,0,MIN(COUNTIF(Labor!$C$59:$C$88,"&lt;="&amp;E1025),MAXBED_MES,TOTAL_BEDS-B1025-C1025))</f>
        <v>30</v>
      </c>
      <c r="G1025" s="21">
        <f>B1025+C1025+F1025</f>
        <v>40</v>
      </c>
      <c r="H1025" s="22">
        <f>IF(E1025&lt;0,-999999999,B1025*(PRICE_TOM-FERT_TOM)+C1025*(PRICE_CAR-FERT_CAR)+F1025*(PRICE_MES-FERT_MES)-(FARMER_SALARY+A1025*TEMP_COST)-FIXED_COSTS)</f>
        <v>-11264</v>
      </c>
    </row>
    <row r="1026">
      <c r="A1026" s="5" t="n">
        <v>2</v>
      </c>
      <c r="B1026" s="5" t="n">
        <v>6</v>
      </c>
      <c r="C1026" s="5" t="n">
        <v>5</v>
      </c>
      <c r="D1026" s="18">
        <f>SEASON_HRS_TOM*B1026*(1+DIM_TOM)^B1026+SEASON_HRS_CAR*C1026*(1+DIM_CAR)^C1026</f>
        <v>1126.354171933594</v>
      </c>
      <c r="E1026" s="18">
        <f>(FARMER_FIELD_HRS+A1026*TEMP_HRS)-D1026</f>
        <v>2473.645828066406</v>
      </c>
      <c r="F1026" s="21">
        <f>IF(E1026&lt;0,0,MIN(COUNTIF(Labor!$C$59:$C$88,"&lt;="&amp;E1026),MAXBED_MES,TOTAL_BEDS-B1026-C1026))</f>
        <v>30</v>
      </c>
      <c r="G1026" s="21">
        <f>B1026+C1026+F1026</f>
        <v>41</v>
      </c>
      <c r="H1026" s="22">
        <f>IF(E1026&lt;0,-999999999,B1026*(PRICE_TOM-FERT_TOM)+C1026*(PRICE_CAR-FERT_CAR)+F1026*(PRICE_MES-FERT_MES)-(FARMER_SALARY+A1026*TEMP_COST)-FIXED_COSTS)</f>
        <v>-9610</v>
      </c>
    </row>
    <row r="1027">
      <c r="A1027" s="5" t="n">
        <v>2</v>
      </c>
      <c r="B1027" s="5" t="n">
        <v>6</v>
      </c>
      <c r="C1027" s="5" t="n">
        <v>6</v>
      </c>
      <c r="D1027" s="18">
        <f>SEASON_HRS_TOM*B1027*(1+DIM_TOM)^B1027+SEASON_HRS_CAR*C1027*(1+DIM_CAR)^C1027</f>
        <v>1165.3877552783206</v>
      </c>
      <c r="E1027" s="18">
        <f>(FARMER_FIELD_HRS+A1027*TEMP_HRS)-D1027</f>
        <v>2434.6122447216794</v>
      </c>
      <c r="F1027" s="21">
        <f>IF(E1027&lt;0,0,MIN(COUNTIF(Labor!$C$59:$C$88,"&lt;="&amp;E1027),MAXBED_MES,TOTAL_BEDS-B1027-C1027))</f>
        <v>30</v>
      </c>
      <c r="G1027" s="21">
        <f>B1027+C1027+F1027</f>
        <v>42</v>
      </c>
      <c r="H1027" s="22">
        <f>IF(E1027&lt;0,-999999999,B1027*(PRICE_TOM-FERT_TOM)+C1027*(PRICE_CAR-FERT_CAR)+F1027*(PRICE_MES-FERT_MES)-(FARMER_SALARY+A1027*TEMP_COST)-FIXED_COSTS)</f>
        <v>-7956</v>
      </c>
    </row>
    <row r="1028">
      <c r="A1028" s="5" t="n">
        <v>2</v>
      </c>
      <c r="B1028" s="5" t="n">
        <v>6</v>
      </c>
      <c r="C1028" s="5" t="n">
        <v>7</v>
      </c>
      <c r="D1028" s="18">
        <f>SEASON_HRS_TOM*B1028*(1+DIM_TOM)^B1028+SEASON_HRS_CAR*C1028*(1+DIM_CAR)^C1028</f>
        <v>1206.266948270325</v>
      </c>
      <c r="E1028" s="18">
        <f>(FARMER_FIELD_HRS+A1028*TEMP_HRS)-D1028</f>
        <v>2393.733051729675</v>
      </c>
      <c r="F1028" s="21">
        <f>IF(E1028&lt;0,0,MIN(COUNTIF(Labor!$C$59:$C$88,"&lt;="&amp;E1028),MAXBED_MES,TOTAL_BEDS-B1028-C1028))</f>
        <v>30</v>
      </c>
      <c r="G1028" s="21">
        <f>B1028+C1028+F1028</f>
        <v>43</v>
      </c>
      <c r="H1028" s="22">
        <f>IF(E1028&lt;0,-999999999,B1028*(PRICE_TOM-FERT_TOM)+C1028*(PRICE_CAR-FERT_CAR)+F1028*(PRICE_MES-FERT_MES)-(FARMER_SALARY+A1028*TEMP_COST)-FIXED_COSTS)</f>
        <v>-6302</v>
      </c>
    </row>
    <row r="1029">
      <c r="A1029" s="5" t="n">
        <v>2</v>
      </c>
      <c r="B1029" s="5" t="n">
        <v>6</v>
      </c>
      <c r="C1029" s="5" t="n">
        <v>8</v>
      </c>
      <c r="D1029" s="18">
        <f>SEASON_HRS_TOM*B1029*(1+DIM_TOM)^B1029+SEASON_HRS_CAR*C1029*(1+DIM_CAR)^C1029</f>
        <v>1249.0596354023805</v>
      </c>
      <c r="E1029" s="18">
        <f>(FARMER_FIELD_HRS+A1029*TEMP_HRS)-D1029</f>
        <v>2350.9403645976195</v>
      </c>
      <c r="F1029" s="21">
        <f>IF(E1029&lt;0,0,MIN(COUNTIF(Labor!$C$59:$C$88,"&lt;="&amp;E1029),MAXBED_MES,TOTAL_BEDS-B1029-C1029))</f>
        <v>30</v>
      </c>
      <c r="G1029" s="21">
        <f>B1029+C1029+F1029</f>
        <v>44</v>
      </c>
      <c r="H1029" s="22">
        <f>IF(E1029&lt;0,-999999999,B1029*(PRICE_TOM-FERT_TOM)+C1029*(PRICE_CAR-FERT_CAR)+F1029*(PRICE_MES-FERT_MES)-(FARMER_SALARY+A1029*TEMP_COST)-FIXED_COSTS)</f>
        <v>-4648</v>
      </c>
    </row>
    <row r="1030">
      <c r="A1030" s="5" t="n">
        <v>2</v>
      </c>
      <c r="B1030" s="5" t="n">
        <v>6</v>
      </c>
      <c r="C1030" s="5" t="n">
        <v>9</v>
      </c>
      <c r="D1030" s="18">
        <f>SEASON_HRS_TOM*B1030*(1+DIM_TOM)^B1030+SEASON_HRS_CAR*C1030*(1+DIM_CAR)^C1030</f>
        <v>1293.83594188587</v>
      </c>
      <c r="E1030" s="18">
        <f>(FARMER_FIELD_HRS+A1030*TEMP_HRS)-D1030</f>
        <v>2306.16405811413</v>
      </c>
      <c r="F1030" s="21">
        <f>IF(E1030&lt;0,0,MIN(COUNTIF(Labor!$C$59:$C$88,"&lt;="&amp;E1030),MAXBED_MES,TOTAL_BEDS-B1030-C1030))</f>
        <v>30</v>
      </c>
      <c r="G1030" s="21">
        <f>B1030+C1030+F1030</f>
        <v>45</v>
      </c>
      <c r="H1030" s="22">
        <f>IF(E1030&lt;0,-999999999,B1030*(PRICE_TOM-FERT_TOM)+C1030*(PRICE_CAR-FERT_CAR)+F1030*(PRICE_MES-FERT_MES)-(FARMER_SALARY+A1030*TEMP_COST)-FIXED_COSTS)</f>
        <v>-2994</v>
      </c>
    </row>
    <row r="1031">
      <c r="A1031" s="5" t="n">
        <v>2</v>
      </c>
      <c r="B1031" s="5" t="n">
        <v>6</v>
      </c>
      <c r="C1031" s="5" t="n">
        <v>10</v>
      </c>
      <c r="D1031" s="18">
        <f>SEASON_HRS_TOM*B1031*(1+DIM_TOM)^B1031+SEASON_HRS_CAR*C1031*(1+DIM_CAR)^C1031</f>
        <v>1340.6683032589074</v>
      </c>
      <c r="E1031" s="18">
        <f>(FARMER_FIELD_HRS+A1031*TEMP_HRS)-D1031</f>
        <v>2259.331696741093</v>
      </c>
      <c r="F1031" s="21">
        <f>IF(E1031&lt;0,0,MIN(COUNTIF(Labor!$C$59:$C$88,"&lt;="&amp;E1031),MAXBED_MES,TOTAL_BEDS-B1031-C1031))</f>
        <v>30</v>
      </c>
      <c r="G1031" s="21">
        <f>B1031+C1031+F1031</f>
        <v>46</v>
      </c>
      <c r="H1031" s="22">
        <f>IF(E1031&lt;0,-999999999,B1031*(PRICE_TOM-FERT_TOM)+C1031*(PRICE_CAR-FERT_CAR)+F1031*(PRICE_MES-FERT_MES)-(FARMER_SALARY+A1031*TEMP_COST)-FIXED_COSTS)</f>
        <v>-1340</v>
      </c>
    </row>
    <row r="1032">
      <c r="A1032" s="5" t="n">
        <v>2</v>
      </c>
      <c r="B1032" s="5" t="n">
        <v>6</v>
      </c>
      <c r="C1032" s="5" t="n">
        <v>11</v>
      </c>
      <c r="D1032" s="18">
        <f>SEASON_HRS_TOM*B1032*(1+DIM_TOM)^B1032+SEASON_HRS_CAR*C1032*(1+DIM_CAR)^C1032</f>
        <v>1389.631537074418</v>
      </c>
      <c r="E1032" s="18">
        <f>(FARMER_FIELD_HRS+A1032*TEMP_HRS)-D1032</f>
        <v>2210.368462925582</v>
      </c>
      <c r="F1032" s="21">
        <f>IF(E1032&lt;0,0,MIN(COUNTIF(Labor!$C$59:$C$88,"&lt;="&amp;E1032),MAXBED_MES,TOTAL_BEDS-B1032-C1032))</f>
        <v>30</v>
      </c>
      <c r="G1032" s="21">
        <f>B1032+C1032+F1032</f>
        <v>47</v>
      </c>
      <c r="H1032" s="22">
        <f>IF(E1032&lt;0,-999999999,B1032*(PRICE_TOM-FERT_TOM)+C1032*(PRICE_CAR-FERT_CAR)+F1032*(PRICE_MES-FERT_MES)-(FARMER_SALARY+A1032*TEMP_COST)-FIXED_COSTS)</f>
        <v>314</v>
      </c>
    </row>
    <row r="1033">
      <c r="A1033" s="5" t="n">
        <v>2</v>
      </c>
      <c r="B1033" s="5" t="n">
        <v>6</v>
      </c>
      <c r="C1033" s="5" t="n">
        <v>12</v>
      </c>
      <c r="D1033" s="18">
        <f>SEASON_HRS_TOM*B1033*(1+DIM_TOM)^B1033+SEASON_HRS_CAR*C1033*(1+DIM_CAR)^C1033</f>
        <v>1440.8029167286672</v>
      </c>
      <c r="E1033" s="18">
        <f>(FARMER_FIELD_HRS+A1033*TEMP_HRS)-D1033</f>
        <v>2159.1970832713328</v>
      </c>
      <c r="F1033" s="21">
        <f>IF(E1033&lt;0,0,MIN(COUNTIF(Labor!$C$59:$C$88,"&lt;="&amp;E1033),MAXBED_MES,TOTAL_BEDS-B1033-C1033))</f>
        <v>30</v>
      </c>
      <c r="G1033" s="21">
        <f>B1033+C1033+F1033</f>
        <v>48</v>
      </c>
      <c r="H1033" s="22">
        <f>IF(E1033&lt;0,-999999999,B1033*(PRICE_TOM-FERT_TOM)+C1033*(PRICE_CAR-FERT_CAR)+F1033*(PRICE_MES-FERT_MES)-(FARMER_SALARY+A1033*TEMP_COST)-FIXED_COSTS)</f>
        <v>1968</v>
      </c>
    </row>
    <row r="1034">
      <c r="A1034" s="5" t="n">
        <v>2</v>
      </c>
      <c r="B1034" s="5" t="n">
        <v>6</v>
      </c>
      <c r="C1034" s="5" t="n">
        <v>13</v>
      </c>
      <c r="D1034" s="18">
        <f>SEASON_HRS_TOM*B1034*(1+DIM_TOM)^B1034+SEASON_HRS_CAR*C1034*(1+DIM_CAR)^C1034</f>
        <v>1494.2622474924574</v>
      </c>
      <c r="E1034" s="18">
        <f>(FARMER_FIELD_HRS+A1034*TEMP_HRS)-D1034</f>
        <v>2105.7377525075426</v>
      </c>
      <c r="F1034" s="21">
        <f>IF(E1034&lt;0,0,MIN(COUNTIF(Labor!$C$59:$C$88,"&lt;="&amp;E1034),MAXBED_MES,TOTAL_BEDS-B1034-C1034))</f>
        <v>30</v>
      </c>
      <c r="G1034" s="21">
        <f>B1034+C1034+F1034</f>
        <v>49</v>
      </c>
      <c r="H1034" s="22">
        <f>IF(E1034&lt;0,-999999999,B1034*(PRICE_TOM-FERT_TOM)+C1034*(PRICE_CAR-FERT_CAR)+F1034*(PRICE_MES-FERT_MES)-(FARMER_SALARY+A1034*TEMP_COST)-FIXED_COSTS)</f>
        <v>3622</v>
      </c>
    </row>
    <row r="1035">
      <c r="A1035" s="5" t="n">
        <v>2</v>
      </c>
      <c r="B1035" s="5" t="n">
        <v>6</v>
      </c>
      <c r="C1035" s="5" t="n">
        <v>14</v>
      </c>
      <c r="D1035" s="18">
        <f>SEASON_HRS_TOM*B1035*(1+DIM_TOM)^B1035+SEASON_HRS_CAR*C1035*(1+DIM_CAR)^C1035</f>
        <v>1550.0919448089821</v>
      </c>
      <c r="E1035" s="18">
        <f>(FARMER_FIELD_HRS+A1035*TEMP_HRS)-D1035</f>
        <v>2049.908055191018</v>
      </c>
      <c r="F1035" s="21">
        <f>IF(E1035&lt;0,0,MIN(COUNTIF(Labor!$C$59:$C$88,"&lt;="&amp;E1035),MAXBED_MES,TOTAL_BEDS-B1035-C1035))</f>
        <v>30</v>
      </c>
      <c r="G1035" s="21">
        <f>B1035+C1035+F1035</f>
        <v>50</v>
      </c>
      <c r="H1035" s="22">
        <f>IF(E1035&lt;0,-999999999,B1035*(PRICE_TOM-FERT_TOM)+C1035*(PRICE_CAR-FERT_CAR)+F1035*(PRICE_MES-FERT_MES)-(FARMER_SALARY+A1035*TEMP_COST)-FIXED_COSTS)</f>
        <v>5276</v>
      </c>
    </row>
    <row r="1036">
      <c r="A1036" s="5" t="n">
        <v>2</v>
      </c>
      <c r="B1036" s="5" t="n">
        <v>6</v>
      </c>
      <c r="C1036" s="5" t="n">
        <v>15</v>
      </c>
      <c r="D1036" s="18">
        <f>SEASON_HRS_TOM*B1036*(1+DIM_TOM)^B1036+SEASON_HRS_CAR*C1036*(1+DIM_CAR)^C1036</f>
        <v>1608.3771149241497</v>
      </c>
      <c r="E1036" s="18">
        <f>(FARMER_FIELD_HRS+A1036*TEMP_HRS)-D1036</f>
        <v>1991.6228850758503</v>
      </c>
      <c r="F1036" s="21">
        <f>IF(E1036&lt;0,0,MIN(COUNTIF(Labor!$C$59:$C$88,"&lt;="&amp;E1036),MAXBED_MES,TOTAL_BEDS-B1036-C1036))</f>
        <v>30</v>
      </c>
      <c r="G1036" s="21">
        <f>B1036+C1036+F1036</f>
        <v>51</v>
      </c>
      <c r="H1036" s="22">
        <f>IF(E1036&lt;0,-999999999,B1036*(PRICE_TOM-FERT_TOM)+C1036*(PRICE_CAR-FERT_CAR)+F1036*(PRICE_MES-FERT_MES)-(FARMER_SALARY+A1036*TEMP_COST)-FIXED_COSTS)</f>
        <v>6930</v>
      </c>
    </row>
    <row r="1037">
      <c r="A1037" s="5" t="n">
        <v>2</v>
      </c>
      <c r="B1037" s="5" t="n">
        <v>6</v>
      </c>
      <c r="C1037" s="5" t="n">
        <v>16</v>
      </c>
      <c r="D1037" s="18">
        <f>SEASON_HRS_TOM*B1037*(1+DIM_TOM)^B1037+SEASON_HRS_CAR*C1037*(1+DIM_CAR)^C1037</f>
        <v>1669.2056379170704</v>
      </c>
      <c r="E1037" s="18">
        <f>(FARMER_FIELD_HRS+A1037*TEMP_HRS)-D1037</f>
        <v>1930.7943620829296</v>
      </c>
      <c r="F1037" s="21">
        <f>IF(E1037&lt;0,0,MIN(COUNTIF(Labor!$C$59:$C$88,"&lt;="&amp;E1037),MAXBED_MES,TOTAL_BEDS-B1037-C1037))</f>
        <v>29</v>
      </c>
      <c r="G1037" s="21">
        <f>B1037+C1037+F1037</f>
        <v>51</v>
      </c>
      <c r="H1037" s="22">
        <f>IF(E1037&lt;0,-999999999,B1037*(PRICE_TOM-FERT_TOM)+C1037*(PRICE_CAR-FERT_CAR)+F1037*(PRICE_MES-FERT_MES)-(FARMER_SALARY+A1037*TEMP_COST)-FIXED_COSTS)</f>
        <v>6764</v>
      </c>
    </row>
    <row r="1038">
      <c r="A1038" s="5" t="n">
        <v>2</v>
      </c>
      <c r="B1038" s="5" t="n">
        <v>6</v>
      </c>
      <c r="C1038" s="5" t="n">
        <v>17</v>
      </c>
      <c r="D1038" s="18">
        <f>SEASON_HRS_TOM*B1038*(1+DIM_TOM)^B1038+SEASON_HRS_CAR*C1038*(1+DIM_CAR)^C1038</f>
        <v>1732.6682532003092</v>
      </c>
      <c r="E1038" s="18">
        <f>(FARMER_FIELD_HRS+A1038*TEMP_HRS)-D1038</f>
        <v>1867.3317467996908</v>
      </c>
      <c r="F1038" s="21">
        <f>IF(E1038&lt;0,0,MIN(COUNTIF(Labor!$C$59:$C$88,"&lt;="&amp;E1038),MAXBED_MES,TOTAL_BEDS-B1038-C1038))</f>
        <v>28</v>
      </c>
      <c r="G1038" s="21">
        <f>B1038+C1038+F1038</f>
        <v>51</v>
      </c>
      <c r="H1038" s="22">
        <f>IF(E1038&lt;0,-999999999,B1038*(PRICE_TOM-FERT_TOM)+C1038*(PRICE_CAR-FERT_CAR)+F1038*(PRICE_MES-FERT_MES)-(FARMER_SALARY+A1038*TEMP_COST)-FIXED_COSTS)</f>
        <v>6598</v>
      </c>
    </row>
    <row r="1039">
      <c r="A1039" s="5" t="n">
        <v>2</v>
      </c>
      <c r="B1039" s="5" t="n">
        <v>6</v>
      </c>
      <c r="C1039" s="5" t="n">
        <v>18</v>
      </c>
      <c r="D1039" s="18">
        <f>SEASON_HRS_TOM*B1039*(1+DIM_TOM)^B1039+SEASON_HRS_CAR*C1039*(1+DIM_CAR)^C1039</f>
        <v>1798.858647561512</v>
      </c>
      <c r="E1039" s="18">
        <f>(FARMER_FIELD_HRS+A1039*TEMP_HRS)-D1039</f>
        <v>1801.141352438488</v>
      </c>
      <c r="F1039" s="21">
        <f>IF(E1039&lt;0,0,MIN(COUNTIF(Labor!$C$59:$C$88,"&lt;="&amp;E1039),MAXBED_MES,TOTAL_BEDS-B1039-C1039))</f>
        <v>28</v>
      </c>
      <c r="G1039" s="21">
        <f>B1039+C1039+F1039</f>
        <v>52</v>
      </c>
      <c r="H1039" s="22">
        <f>IF(E1039&lt;0,-999999999,B1039*(PRICE_TOM-FERT_TOM)+C1039*(PRICE_CAR-FERT_CAR)+F1039*(PRICE_MES-FERT_MES)-(FARMER_SALARY+A1039*TEMP_COST)-FIXED_COSTS)</f>
        <v>8252</v>
      </c>
    </row>
    <row r="1040">
      <c r="A1040" s="5" t="n">
        <v>2</v>
      </c>
      <c r="B1040" s="5" t="n">
        <v>6</v>
      </c>
      <c r="C1040" s="5" t="n">
        <v>19</v>
      </c>
      <c r="D1040" s="18">
        <f>SEASON_HRS_TOM*B1040*(1+DIM_TOM)^B1040+SEASON_HRS_CAR*C1040*(1+DIM_CAR)^C1040</f>
        <v>1867.8735458200244</v>
      </c>
      <c r="E1040" s="18">
        <f>(FARMER_FIELD_HRS+A1040*TEMP_HRS)-D1040</f>
        <v>1732.1264541799756</v>
      </c>
      <c r="F1040" s="21">
        <f>IF(E1040&lt;0,0,MIN(COUNTIF(Labor!$C$59:$C$88,"&lt;="&amp;E1040),MAXBED_MES,TOTAL_BEDS-B1040-C1040))</f>
        <v>27</v>
      </c>
      <c r="G1040" s="21">
        <f>B1040+C1040+F1040</f>
        <v>52</v>
      </c>
      <c r="H1040" s="22">
        <f>IF(E1040&lt;0,-999999999,B1040*(PRICE_TOM-FERT_TOM)+C1040*(PRICE_CAR-FERT_CAR)+F1040*(PRICE_MES-FERT_MES)-(FARMER_SALARY+A1040*TEMP_COST)-FIXED_COSTS)</f>
        <v>8086</v>
      </c>
    </row>
    <row r="1041">
      <c r="A1041" s="5" t="n">
        <v>2</v>
      </c>
      <c r="B1041" s="5" t="n">
        <v>6</v>
      </c>
      <c r="C1041" s="5" t="n">
        <v>20</v>
      </c>
      <c r="D1041" s="18">
        <f>SEASON_HRS_TOM*B1041*(1+DIM_TOM)^B1041+SEASON_HRS_CAR*C1041*(1+DIM_CAR)^C1041</f>
        <v>1939.812804174237</v>
      </c>
      <c r="E1041" s="18">
        <f>(FARMER_FIELD_HRS+A1041*TEMP_HRS)-D1041</f>
        <v>1660.187195825763</v>
      </c>
      <c r="F1041" s="21">
        <f>IF(E1041&lt;0,0,MIN(COUNTIF(Labor!$C$59:$C$88,"&lt;="&amp;E1041),MAXBED_MES,TOTAL_BEDS-B1041-C1041))</f>
        <v>26</v>
      </c>
      <c r="G1041" s="21">
        <f>B1041+C1041+F1041</f>
        <v>52</v>
      </c>
      <c r="H1041" s="22">
        <f>IF(E1041&lt;0,-999999999,B1041*(PRICE_TOM-FERT_TOM)+C1041*(PRICE_CAR-FERT_CAR)+F1041*(PRICE_MES-FERT_MES)-(FARMER_SALARY+A1041*TEMP_COST)-FIXED_COSTS)</f>
        <v>7920</v>
      </c>
    </row>
    <row r="1042">
      <c r="A1042" s="5" t="n">
        <v>2</v>
      </c>
      <c r="B1042" s="5" t="n">
        <v>7</v>
      </c>
      <c r="C1042" s="5" t="n">
        <v>0</v>
      </c>
      <c r="D1042" s="18">
        <f>SEASON_HRS_TOM*B1042*(1+DIM_TOM)^B1042+SEASON_HRS_CAR*C1042*(1+DIM_CAR)^C1042</f>
        <v>1227.6917730000007</v>
      </c>
      <c r="E1042" s="18">
        <f>(FARMER_FIELD_HRS+A1042*TEMP_HRS)-D1042</f>
        <v>2372.3082269999995</v>
      </c>
      <c r="F1042" s="21">
        <f>IF(E1042&lt;0,0,MIN(COUNTIF(Labor!$C$59:$C$88,"&lt;="&amp;E1042),MAXBED_MES,TOTAL_BEDS-B1042-C1042))</f>
        <v>30</v>
      </c>
      <c r="G1042" s="21">
        <f>B1042+C1042+F1042</f>
        <v>37</v>
      </c>
      <c r="H1042" s="22">
        <f>IF(E1042&lt;0,-999999999,B1042*(PRICE_TOM-FERT_TOM)+C1042*(PRICE_CAR-FERT_CAR)+F1042*(PRICE_MES-FERT_MES)-(FARMER_SALARY+A1042*TEMP_COST)-FIXED_COSTS)</f>
        <v>-9960</v>
      </c>
    </row>
    <row r="1043">
      <c r="A1043" s="5" t="n">
        <v>2</v>
      </c>
      <c r="B1043" s="5" t="n">
        <v>7</v>
      </c>
      <c r="C1043" s="5" t="n">
        <v>1</v>
      </c>
      <c r="D1043" s="18">
        <f>SEASON_HRS_TOM*B1043*(1+DIM_TOM)^B1043+SEASON_HRS_CAR*C1043*(1+DIM_CAR)^C1043</f>
        <v>1258.4417730000007</v>
      </c>
      <c r="E1043" s="18">
        <f>(FARMER_FIELD_HRS+A1043*TEMP_HRS)-D1043</f>
        <v>2341.5582269999995</v>
      </c>
      <c r="F1043" s="21">
        <f>IF(E1043&lt;0,0,MIN(COUNTIF(Labor!$C$59:$C$88,"&lt;="&amp;E1043),MAXBED_MES,TOTAL_BEDS-B1043-C1043))</f>
        <v>30</v>
      </c>
      <c r="G1043" s="21">
        <f>B1043+C1043+F1043</f>
        <v>38</v>
      </c>
      <c r="H1043" s="22">
        <f>IF(E1043&lt;0,-999999999,B1043*(PRICE_TOM-FERT_TOM)+C1043*(PRICE_CAR-FERT_CAR)+F1043*(PRICE_MES-FERT_MES)-(FARMER_SALARY+A1043*TEMP_COST)-FIXED_COSTS)</f>
        <v>-8306</v>
      </c>
    </row>
    <row r="1044">
      <c r="A1044" s="5" t="n">
        <v>2</v>
      </c>
      <c r="B1044" s="5" t="n">
        <v>7</v>
      </c>
      <c r="C1044" s="5" t="n">
        <v>2</v>
      </c>
      <c r="D1044" s="18">
        <f>SEASON_HRS_TOM*B1044*(1+DIM_TOM)^B1044+SEASON_HRS_CAR*C1044*(1+DIM_CAR)^C1044</f>
        <v>1290.7292730000006</v>
      </c>
      <c r="E1044" s="18">
        <f>(FARMER_FIELD_HRS+A1044*TEMP_HRS)-D1044</f>
        <v>2309.270726999999</v>
      </c>
      <c r="F1044" s="21">
        <f>IF(E1044&lt;0,0,MIN(COUNTIF(Labor!$C$59:$C$88,"&lt;="&amp;E1044),MAXBED_MES,TOTAL_BEDS-B1044-C1044))</f>
        <v>30</v>
      </c>
      <c r="G1044" s="21">
        <f>B1044+C1044+F1044</f>
        <v>39</v>
      </c>
      <c r="H1044" s="22">
        <f>IF(E1044&lt;0,-999999999,B1044*(PRICE_TOM-FERT_TOM)+C1044*(PRICE_CAR-FERT_CAR)+F1044*(PRICE_MES-FERT_MES)-(FARMER_SALARY+A1044*TEMP_COST)-FIXED_COSTS)</f>
        <v>-6652</v>
      </c>
    </row>
    <row r="1045">
      <c r="A1045" s="5" t="n">
        <v>2</v>
      </c>
      <c r="B1045" s="5" t="n">
        <v>7</v>
      </c>
      <c r="C1045" s="5" t="n">
        <v>3</v>
      </c>
      <c r="D1045" s="18">
        <f>SEASON_HRS_TOM*B1045*(1+DIM_TOM)^B1045+SEASON_HRS_CAR*C1045*(1+DIM_CAR)^C1045</f>
        <v>1324.6119292500007</v>
      </c>
      <c r="E1045" s="18">
        <f>(FARMER_FIELD_HRS+A1045*TEMP_HRS)-D1045</f>
        <v>2275.3880707499993</v>
      </c>
      <c r="F1045" s="21">
        <f>IF(E1045&lt;0,0,MIN(COUNTIF(Labor!$C$59:$C$88,"&lt;="&amp;E1045),MAXBED_MES,TOTAL_BEDS-B1045-C1045))</f>
        <v>30</v>
      </c>
      <c r="G1045" s="21">
        <f>B1045+C1045+F1045</f>
        <v>40</v>
      </c>
      <c r="H1045" s="22">
        <f>IF(E1045&lt;0,-999999999,B1045*(PRICE_TOM-FERT_TOM)+C1045*(PRICE_CAR-FERT_CAR)+F1045*(PRICE_MES-FERT_MES)-(FARMER_SALARY+A1045*TEMP_COST)-FIXED_COSTS)</f>
        <v>-4998</v>
      </c>
    </row>
    <row r="1046">
      <c r="A1046" s="5" t="n">
        <v>2</v>
      </c>
      <c r="B1046" s="5" t="n">
        <v>7</v>
      </c>
      <c r="C1046" s="5" t="n">
        <v>4</v>
      </c>
      <c r="D1046" s="18">
        <f>SEASON_HRS_TOM*B1046*(1+DIM_TOM)^B1046+SEASON_HRS_CAR*C1046*(1+DIM_CAR)^C1046</f>
        <v>1360.1493198750006</v>
      </c>
      <c r="E1046" s="18">
        <f>(FARMER_FIELD_HRS+A1046*TEMP_HRS)-D1046</f>
        <v>2239.8506801249996</v>
      </c>
      <c r="F1046" s="21">
        <f>IF(E1046&lt;0,0,MIN(COUNTIF(Labor!$C$59:$C$88,"&lt;="&amp;E1046),MAXBED_MES,TOTAL_BEDS-B1046-C1046))</f>
        <v>30</v>
      </c>
      <c r="G1046" s="21">
        <f>B1046+C1046+F1046</f>
        <v>41</v>
      </c>
      <c r="H1046" s="22">
        <f>IF(E1046&lt;0,-999999999,B1046*(PRICE_TOM-FERT_TOM)+C1046*(PRICE_CAR-FERT_CAR)+F1046*(PRICE_MES-FERT_MES)-(FARMER_SALARY+A1046*TEMP_COST)-FIXED_COSTS)</f>
        <v>-3344</v>
      </c>
    </row>
    <row r="1047">
      <c r="A1047" s="5" t="n">
        <v>2</v>
      </c>
      <c r="B1047" s="5" t="n">
        <v>7</v>
      </c>
      <c r="C1047" s="5" t="n">
        <v>5</v>
      </c>
      <c r="D1047" s="18">
        <f>SEASON_HRS_TOM*B1047*(1+DIM_TOM)^B1047+SEASON_HRS_CAR*C1047*(1+DIM_CAR)^C1047</f>
        <v>1397.4030049335943</v>
      </c>
      <c r="E1047" s="18">
        <f>(FARMER_FIELD_HRS+A1047*TEMP_HRS)-D1047</f>
        <v>2202.5969950664057</v>
      </c>
      <c r="F1047" s="21">
        <f>IF(E1047&lt;0,0,MIN(COUNTIF(Labor!$C$59:$C$88,"&lt;="&amp;E1047),MAXBED_MES,TOTAL_BEDS-B1047-C1047))</f>
        <v>30</v>
      </c>
      <c r="G1047" s="21">
        <f>B1047+C1047+F1047</f>
        <v>42</v>
      </c>
      <c r="H1047" s="22">
        <f>IF(E1047&lt;0,-999999999,B1047*(PRICE_TOM-FERT_TOM)+C1047*(PRICE_CAR-FERT_CAR)+F1047*(PRICE_MES-FERT_MES)-(FARMER_SALARY+A1047*TEMP_COST)-FIXED_COSTS)</f>
        <v>-1690</v>
      </c>
    </row>
    <row r="1048">
      <c r="A1048" s="5" t="n">
        <v>2</v>
      </c>
      <c r="B1048" s="5" t="n">
        <v>7</v>
      </c>
      <c r="C1048" s="5" t="n">
        <v>6</v>
      </c>
      <c r="D1048" s="18">
        <f>SEASON_HRS_TOM*B1048*(1+DIM_TOM)^B1048+SEASON_HRS_CAR*C1048*(1+DIM_CAR)^C1048</f>
        <v>1436.4365882783209</v>
      </c>
      <c r="E1048" s="18">
        <f>(FARMER_FIELD_HRS+A1048*TEMP_HRS)-D1048</f>
        <v>2163.563411721679</v>
      </c>
      <c r="F1048" s="21">
        <f>IF(E1048&lt;0,0,MIN(COUNTIF(Labor!$C$59:$C$88,"&lt;="&amp;E1048),MAXBED_MES,TOTAL_BEDS-B1048-C1048))</f>
        <v>30</v>
      </c>
      <c r="G1048" s="21">
        <f>B1048+C1048+F1048</f>
        <v>43</v>
      </c>
      <c r="H1048" s="22">
        <f>IF(E1048&lt;0,-999999999,B1048*(PRICE_TOM-FERT_TOM)+C1048*(PRICE_CAR-FERT_CAR)+F1048*(PRICE_MES-FERT_MES)-(FARMER_SALARY+A1048*TEMP_COST)-FIXED_COSTS)</f>
        <v>-36</v>
      </c>
    </row>
    <row r="1049">
      <c r="A1049" s="5" t="n">
        <v>2</v>
      </c>
      <c r="B1049" s="5" t="n">
        <v>7</v>
      </c>
      <c r="C1049" s="5" t="n">
        <v>7</v>
      </c>
      <c r="D1049" s="18">
        <f>SEASON_HRS_TOM*B1049*(1+DIM_TOM)^B1049+SEASON_HRS_CAR*C1049*(1+DIM_CAR)^C1049</f>
        <v>1477.3157812703253</v>
      </c>
      <c r="E1049" s="18">
        <f>(FARMER_FIELD_HRS+A1049*TEMP_HRS)-D1049</f>
        <v>2122.6842187296747</v>
      </c>
      <c r="F1049" s="21">
        <f>IF(E1049&lt;0,0,MIN(COUNTIF(Labor!$C$59:$C$88,"&lt;="&amp;E1049),MAXBED_MES,TOTAL_BEDS-B1049-C1049))</f>
        <v>30</v>
      </c>
      <c r="G1049" s="21">
        <f>B1049+C1049+F1049</f>
        <v>44</v>
      </c>
      <c r="H1049" s="22">
        <f>IF(E1049&lt;0,-999999999,B1049*(PRICE_TOM-FERT_TOM)+C1049*(PRICE_CAR-FERT_CAR)+F1049*(PRICE_MES-FERT_MES)-(FARMER_SALARY+A1049*TEMP_COST)-FIXED_COSTS)</f>
        <v>1618</v>
      </c>
    </row>
    <row r="1050">
      <c r="A1050" s="5" t="n">
        <v>2</v>
      </c>
      <c r="B1050" s="5" t="n">
        <v>7</v>
      </c>
      <c r="C1050" s="5" t="n">
        <v>8</v>
      </c>
      <c r="D1050" s="18">
        <f>SEASON_HRS_TOM*B1050*(1+DIM_TOM)^B1050+SEASON_HRS_CAR*C1050*(1+DIM_CAR)^C1050</f>
        <v>1520.1084684023808</v>
      </c>
      <c r="E1050" s="18">
        <f>(FARMER_FIELD_HRS+A1050*TEMP_HRS)-D1050</f>
        <v>2079.891531597619</v>
      </c>
      <c r="F1050" s="21">
        <f>IF(E1050&lt;0,0,MIN(COUNTIF(Labor!$C$59:$C$88,"&lt;="&amp;E1050),MAXBED_MES,TOTAL_BEDS-B1050-C1050))</f>
        <v>30</v>
      </c>
      <c r="G1050" s="21">
        <f>B1050+C1050+F1050</f>
        <v>45</v>
      </c>
      <c r="H1050" s="22">
        <f>IF(E1050&lt;0,-999999999,B1050*(PRICE_TOM-FERT_TOM)+C1050*(PRICE_CAR-FERT_CAR)+F1050*(PRICE_MES-FERT_MES)-(FARMER_SALARY+A1050*TEMP_COST)-FIXED_COSTS)</f>
        <v>3272</v>
      </c>
    </row>
    <row r="1051">
      <c r="A1051" s="5" t="n">
        <v>2</v>
      </c>
      <c r="B1051" s="5" t="n">
        <v>7</v>
      </c>
      <c r="C1051" s="5" t="n">
        <v>9</v>
      </c>
      <c r="D1051" s="18">
        <f>SEASON_HRS_TOM*B1051*(1+DIM_TOM)^B1051+SEASON_HRS_CAR*C1051*(1+DIM_CAR)^C1051</f>
        <v>1564.8847748858702</v>
      </c>
      <c r="E1051" s="18">
        <f>(FARMER_FIELD_HRS+A1051*TEMP_HRS)-D1051</f>
        <v>2035.1152251141298</v>
      </c>
      <c r="F1051" s="21">
        <f>IF(E1051&lt;0,0,MIN(COUNTIF(Labor!$C$59:$C$88,"&lt;="&amp;E1051),MAXBED_MES,TOTAL_BEDS-B1051-C1051))</f>
        <v>30</v>
      </c>
      <c r="G1051" s="21">
        <f>B1051+C1051+F1051</f>
        <v>46</v>
      </c>
      <c r="H1051" s="22">
        <f>IF(E1051&lt;0,-999999999,B1051*(PRICE_TOM-FERT_TOM)+C1051*(PRICE_CAR-FERT_CAR)+F1051*(PRICE_MES-FERT_MES)-(FARMER_SALARY+A1051*TEMP_COST)-FIXED_COSTS)</f>
        <v>4926</v>
      </c>
    </row>
    <row r="1052">
      <c r="A1052" s="5" t="n">
        <v>2</v>
      </c>
      <c r="B1052" s="5" t="n">
        <v>7</v>
      </c>
      <c r="C1052" s="5" t="n">
        <v>10</v>
      </c>
      <c r="D1052" s="18">
        <f>SEASON_HRS_TOM*B1052*(1+DIM_TOM)^B1052+SEASON_HRS_CAR*C1052*(1+DIM_CAR)^C1052</f>
        <v>1611.7171362589077</v>
      </c>
      <c r="E1052" s="18">
        <f>(FARMER_FIELD_HRS+A1052*TEMP_HRS)-D1052</f>
        <v>1988.2828637410923</v>
      </c>
      <c r="F1052" s="21">
        <f>IF(E1052&lt;0,0,MIN(COUNTIF(Labor!$C$59:$C$88,"&lt;="&amp;E1052),MAXBED_MES,TOTAL_BEDS-B1052-C1052))</f>
        <v>30</v>
      </c>
      <c r="G1052" s="21">
        <f>B1052+C1052+F1052</f>
        <v>47</v>
      </c>
      <c r="H1052" s="22">
        <f>IF(E1052&lt;0,-999999999,B1052*(PRICE_TOM-FERT_TOM)+C1052*(PRICE_CAR-FERT_CAR)+F1052*(PRICE_MES-FERT_MES)-(FARMER_SALARY+A1052*TEMP_COST)-FIXED_COSTS)</f>
        <v>6580</v>
      </c>
    </row>
    <row r="1053">
      <c r="A1053" s="5" t="n">
        <v>2</v>
      </c>
      <c r="B1053" s="5" t="n">
        <v>7</v>
      </c>
      <c r="C1053" s="5" t="n">
        <v>11</v>
      </c>
      <c r="D1053" s="18">
        <f>SEASON_HRS_TOM*B1053*(1+DIM_TOM)^B1053+SEASON_HRS_CAR*C1053*(1+DIM_CAR)^C1053</f>
        <v>1660.6803700744183</v>
      </c>
      <c r="E1053" s="18">
        <f>(FARMER_FIELD_HRS+A1053*TEMP_HRS)-D1053</f>
        <v>1939.3196299255817</v>
      </c>
      <c r="F1053" s="21">
        <f>IF(E1053&lt;0,0,MIN(COUNTIF(Labor!$C$59:$C$88,"&lt;="&amp;E1053),MAXBED_MES,TOTAL_BEDS-B1053-C1053))</f>
        <v>29</v>
      </c>
      <c r="G1053" s="21">
        <f>B1053+C1053+F1053</f>
        <v>47</v>
      </c>
      <c r="H1053" s="22">
        <f>IF(E1053&lt;0,-999999999,B1053*(PRICE_TOM-FERT_TOM)+C1053*(PRICE_CAR-FERT_CAR)+F1053*(PRICE_MES-FERT_MES)-(FARMER_SALARY+A1053*TEMP_COST)-FIXED_COSTS)</f>
        <v>6414</v>
      </c>
    </row>
    <row r="1054">
      <c r="A1054" s="5" t="n">
        <v>2</v>
      </c>
      <c r="B1054" s="5" t="n">
        <v>7</v>
      </c>
      <c r="C1054" s="5" t="n">
        <v>12</v>
      </c>
      <c r="D1054" s="18">
        <f>SEASON_HRS_TOM*B1054*(1+DIM_TOM)^B1054+SEASON_HRS_CAR*C1054*(1+DIM_CAR)^C1054</f>
        <v>1711.8517497286675</v>
      </c>
      <c r="E1054" s="18">
        <f>(FARMER_FIELD_HRS+A1054*TEMP_HRS)-D1054</f>
        <v>1888.1482502713325</v>
      </c>
      <c r="F1054" s="21">
        <f>IF(E1054&lt;0,0,MIN(COUNTIF(Labor!$C$59:$C$88,"&lt;="&amp;E1054),MAXBED_MES,TOTAL_BEDS-B1054-C1054))</f>
        <v>29</v>
      </c>
      <c r="G1054" s="21">
        <f>B1054+C1054+F1054</f>
        <v>48</v>
      </c>
      <c r="H1054" s="22">
        <f>IF(E1054&lt;0,-999999999,B1054*(PRICE_TOM-FERT_TOM)+C1054*(PRICE_CAR-FERT_CAR)+F1054*(PRICE_MES-FERT_MES)-(FARMER_SALARY+A1054*TEMP_COST)-FIXED_COSTS)</f>
        <v>8068</v>
      </c>
    </row>
    <row r="1055">
      <c r="A1055" s="5" t="n">
        <v>2</v>
      </c>
      <c r="B1055" s="5" t="n">
        <v>7</v>
      </c>
      <c r="C1055" s="5" t="n">
        <v>13</v>
      </c>
      <c r="D1055" s="18">
        <f>SEASON_HRS_TOM*B1055*(1+DIM_TOM)^B1055+SEASON_HRS_CAR*C1055*(1+DIM_CAR)^C1055</f>
        <v>1765.3110804924577</v>
      </c>
      <c r="E1055" s="18">
        <f>(FARMER_FIELD_HRS+A1055*TEMP_HRS)-D1055</f>
        <v>1834.6889195075423</v>
      </c>
      <c r="F1055" s="21">
        <f>IF(E1055&lt;0,0,MIN(COUNTIF(Labor!$C$59:$C$88,"&lt;="&amp;E1055),MAXBED_MES,TOTAL_BEDS-B1055-C1055))</f>
        <v>28</v>
      </c>
      <c r="G1055" s="21">
        <f>B1055+C1055+F1055</f>
        <v>48</v>
      </c>
      <c r="H1055" s="22">
        <f>IF(E1055&lt;0,-999999999,B1055*(PRICE_TOM-FERT_TOM)+C1055*(PRICE_CAR-FERT_CAR)+F1055*(PRICE_MES-FERT_MES)-(FARMER_SALARY+A1055*TEMP_COST)-FIXED_COSTS)</f>
        <v>7902</v>
      </c>
    </row>
    <row r="1056">
      <c r="A1056" s="5" t="n">
        <v>2</v>
      </c>
      <c r="B1056" s="5" t="n">
        <v>7</v>
      </c>
      <c r="C1056" s="5" t="n">
        <v>14</v>
      </c>
      <c r="D1056" s="18">
        <f>SEASON_HRS_TOM*B1056*(1+DIM_TOM)^B1056+SEASON_HRS_CAR*C1056*(1+DIM_CAR)^C1056</f>
        <v>1821.1407778089824</v>
      </c>
      <c r="E1056" s="18">
        <f>(FARMER_FIELD_HRS+A1056*TEMP_HRS)-D1056</f>
        <v>1778.8592221910176</v>
      </c>
      <c r="F1056" s="21">
        <f>IF(E1056&lt;0,0,MIN(COUNTIF(Labor!$C$59:$C$88,"&lt;="&amp;E1056),MAXBED_MES,TOTAL_BEDS-B1056-C1056))</f>
        <v>27</v>
      </c>
      <c r="G1056" s="21">
        <f>B1056+C1056+F1056</f>
        <v>48</v>
      </c>
      <c r="H1056" s="22">
        <f>IF(E1056&lt;0,-999999999,B1056*(PRICE_TOM-FERT_TOM)+C1056*(PRICE_CAR-FERT_CAR)+F1056*(PRICE_MES-FERT_MES)-(FARMER_SALARY+A1056*TEMP_COST)-FIXED_COSTS)</f>
        <v>7736</v>
      </c>
    </row>
    <row r="1057">
      <c r="A1057" s="5" t="n">
        <v>2</v>
      </c>
      <c r="B1057" s="5" t="n">
        <v>7</v>
      </c>
      <c r="C1057" s="5" t="n">
        <v>15</v>
      </c>
      <c r="D1057" s="18">
        <f>SEASON_HRS_TOM*B1057*(1+DIM_TOM)^B1057+SEASON_HRS_CAR*C1057*(1+DIM_CAR)^C1057</f>
        <v>1879.42594792415</v>
      </c>
      <c r="E1057" s="18">
        <f>(FARMER_FIELD_HRS+A1057*TEMP_HRS)-D1057</f>
        <v>1720.57405207585</v>
      </c>
      <c r="F1057" s="21">
        <f>IF(E1057&lt;0,0,MIN(COUNTIF(Labor!$C$59:$C$88,"&lt;="&amp;E1057),MAXBED_MES,TOTAL_BEDS-B1057-C1057))</f>
        <v>27</v>
      </c>
      <c r="G1057" s="21">
        <f>B1057+C1057+F1057</f>
        <v>49</v>
      </c>
      <c r="H1057" s="22">
        <f>IF(E1057&lt;0,-999999999,B1057*(PRICE_TOM-FERT_TOM)+C1057*(PRICE_CAR-FERT_CAR)+F1057*(PRICE_MES-FERT_MES)-(FARMER_SALARY+A1057*TEMP_COST)-FIXED_COSTS)</f>
        <v>9390</v>
      </c>
    </row>
    <row r="1058">
      <c r="A1058" s="5" t="n">
        <v>2</v>
      </c>
      <c r="B1058" s="5" t="n">
        <v>7</v>
      </c>
      <c r="C1058" s="5" t="n">
        <v>16</v>
      </c>
      <c r="D1058" s="18">
        <f>SEASON_HRS_TOM*B1058*(1+DIM_TOM)^B1058+SEASON_HRS_CAR*C1058*(1+DIM_CAR)^C1058</f>
        <v>1940.2544709170706</v>
      </c>
      <c r="E1058" s="18">
        <f>(FARMER_FIELD_HRS+A1058*TEMP_HRS)-D1058</f>
        <v>1659.7455290829294</v>
      </c>
      <c r="F1058" s="21">
        <f>IF(E1058&lt;0,0,MIN(COUNTIF(Labor!$C$59:$C$88,"&lt;="&amp;E1058),MAXBED_MES,TOTAL_BEDS-B1058-C1058))</f>
        <v>26</v>
      </c>
      <c r="G1058" s="21">
        <f>B1058+C1058+F1058</f>
        <v>49</v>
      </c>
      <c r="H1058" s="22">
        <f>IF(E1058&lt;0,-999999999,B1058*(PRICE_TOM-FERT_TOM)+C1058*(PRICE_CAR-FERT_CAR)+F1058*(PRICE_MES-FERT_MES)-(FARMER_SALARY+A1058*TEMP_COST)-FIXED_COSTS)</f>
        <v>9224</v>
      </c>
    </row>
    <row r="1059">
      <c r="A1059" s="5" t="n">
        <v>2</v>
      </c>
      <c r="B1059" s="5" t="n">
        <v>7</v>
      </c>
      <c r="C1059" s="5" t="n">
        <v>17</v>
      </c>
      <c r="D1059" s="18">
        <f>SEASON_HRS_TOM*B1059*(1+DIM_TOM)^B1059+SEASON_HRS_CAR*C1059*(1+DIM_CAR)^C1059</f>
        <v>2003.7170862003095</v>
      </c>
      <c r="E1059" s="18">
        <f>(FARMER_FIELD_HRS+A1059*TEMP_HRS)-D1059</f>
        <v>1596.2829137996905</v>
      </c>
      <c r="F1059" s="21">
        <f>IF(E1059&lt;0,0,MIN(COUNTIF(Labor!$C$59:$C$88,"&lt;="&amp;E1059),MAXBED_MES,TOTAL_BEDS-B1059-C1059))</f>
        <v>25</v>
      </c>
      <c r="G1059" s="21">
        <f>B1059+C1059+F1059</f>
        <v>49</v>
      </c>
      <c r="H1059" s="22">
        <f>IF(E1059&lt;0,-999999999,B1059*(PRICE_TOM-FERT_TOM)+C1059*(PRICE_CAR-FERT_CAR)+F1059*(PRICE_MES-FERT_MES)-(FARMER_SALARY+A1059*TEMP_COST)-FIXED_COSTS)</f>
        <v>9058</v>
      </c>
    </row>
    <row r="1060">
      <c r="A1060" s="5" t="n">
        <v>2</v>
      </c>
      <c r="B1060" s="5" t="n">
        <v>7</v>
      </c>
      <c r="C1060" s="5" t="n">
        <v>18</v>
      </c>
      <c r="D1060" s="18">
        <f>SEASON_HRS_TOM*B1060*(1+DIM_TOM)^B1060+SEASON_HRS_CAR*C1060*(1+DIM_CAR)^C1060</f>
        <v>2069.9074805615123</v>
      </c>
      <c r="E1060" s="18">
        <f>(FARMER_FIELD_HRS+A1060*TEMP_HRS)-D1060</f>
        <v>1530.0925194384877</v>
      </c>
      <c r="F1060" s="21">
        <f>IF(E1060&lt;0,0,MIN(COUNTIF(Labor!$C$59:$C$88,"&lt;="&amp;E1060),MAXBED_MES,TOTAL_BEDS-B1060-C1060))</f>
        <v>24</v>
      </c>
      <c r="G1060" s="21">
        <f>B1060+C1060+F1060</f>
        <v>49</v>
      </c>
      <c r="H1060" s="22">
        <f>IF(E1060&lt;0,-999999999,B1060*(PRICE_TOM-FERT_TOM)+C1060*(PRICE_CAR-FERT_CAR)+F1060*(PRICE_MES-FERT_MES)-(FARMER_SALARY+A1060*TEMP_COST)-FIXED_COSTS)</f>
        <v>8892</v>
      </c>
    </row>
    <row r="1061">
      <c r="A1061" s="5" t="n">
        <v>2</v>
      </c>
      <c r="B1061" s="5" t="n">
        <v>7</v>
      </c>
      <c r="C1061" s="5" t="n">
        <v>19</v>
      </c>
      <c r="D1061" s="18">
        <f>SEASON_HRS_TOM*B1061*(1+DIM_TOM)^B1061+SEASON_HRS_CAR*C1061*(1+DIM_CAR)^C1061</f>
        <v>2138.9223788200247</v>
      </c>
      <c r="E1061" s="18">
        <f>(FARMER_FIELD_HRS+A1061*TEMP_HRS)-D1061</f>
        <v>1461.0776211799753</v>
      </c>
      <c r="F1061" s="21">
        <f>IF(E1061&lt;0,0,MIN(COUNTIF(Labor!$C$59:$C$88,"&lt;="&amp;E1061),MAXBED_MES,TOTAL_BEDS-B1061-C1061))</f>
        <v>24</v>
      </c>
      <c r="G1061" s="21">
        <f>B1061+C1061+F1061</f>
        <v>50</v>
      </c>
      <c r="H1061" s="22">
        <f>IF(E1061&lt;0,-999999999,B1061*(PRICE_TOM-FERT_TOM)+C1061*(PRICE_CAR-FERT_CAR)+F1061*(PRICE_MES-FERT_MES)-(FARMER_SALARY+A1061*TEMP_COST)-FIXED_COSTS)</f>
        <v>10546</v>
      </c>
    </row>
    <row r="1062">
      <c r="A1062" s="5" t="n">
        <v>2</v>
      </c>
      <c r="B1062" s="5" t="n">
        <v>7</v>
      </c>
      <c r="C1062" s="5" t="n">
        <v>20</v>
      </c>
      <c r="D1062" s="18">
        <f>SEASON_HRS_TOM*B1062*(1+DIM_TOM)^B1062+SEASON_HRS_CAR*C1062*(1+DIM_CAR)^C1062</f>
        <v>2210.8616371742373</v>
      </c>
      <c r="E1062" s="18">
        <f>(FARMER_FIELD_HRS+A1062*TEMP_HRS)-D1062</f>
        <v>1389.1383628257627</v>
      </c>
      <c r="F1062" s="21">
        <f>IF(E1062&lt;0,0,MIN(COUNTIF(Labor!$C$59:$C$88,"&lt;="&amp;E1062),MAXBED_MES,TOTAL_BEDS-B1062-C1062))</f>
        <v>23</v>
      </c>
      <c r="G1062" s="21">
        <f>B1062+C1062+F1062</f>
        <v>50</v>
      </c>
      <c r="H1062" s="22">
        <f>IF(E1062&lt;0,-999999999,B1062*(PRICE_TOM-FERT_TOM)+C1062*(PRICE_CAR-FERT_CAR)+F1062*(PRICE_MES-FERT_MES)-(FARMER_SALARY+A1062*TEMP_COST)-FIXED_COSTS)</f>
        <v>10380</v>
      </c>
    </row>
    <row r="1063">
      <c r="A1063" s="5" t="n">
        <v>2</v>
      </c>
      <c r="B1063" s="5" t="n">
        <v>8</v>
      </c>
      <c r="C1063" s="5" t="n">
        <v>0</v>
      </c>
      <c r="D1063" s="18">
        <f>SEASON_HRS_TOM*B1063*(1+DIM_TOM)^B1063+SEASON_HRS_CAR*C1063*(1+DIM_CAR)^C1063</f>
        <v>1543.383943200001</v>
      </c>
      <c r="E1063" s="18">
        <f>(FARMER_FIELD_HRS+A1063*TEMP_HRS)-D1063</f>
        <v>2056.6160567999987</v>
      </c>
      <c r="F1063" s="21">
        <f>IF(E1063&lt;0,0,MIN(COUNTIF(Labor!$C$59:$C$88,"&lt;="&amp;E1063),MAXBED_MES,TOTAL_BEDS-B1063-C1063))</f>
        <v>30</v>
      </c>
      <c r="G1063" s="21">
        <f>B1063+C1063+F1063</f>
        <v>38</v>
      </c>
      <c r="H1063" s="22">
        <f>IF(E1063&lt;0,-999999999,B1063*(PRICE_TOM-FERT_TOM)+C1063*(PRICE_CAR-FERT_CAR)+F1063*(PRICE_MES-FERT_MES)-(FARMER_SALARY+A1063*TEMP_COST)-FIXED_COSTS)</f>
        <v>-2040</v>
      </c>
    </row>
    <row r="1064">
      <c r="A1064" s="5" t="n">
        <v>2</v>
      </c>
      <c r="B1064" s="5" t="n">
        <v>8</v>
      </c>
      <c r="C1064" s="5" t="n">
        <v>1</v>
      </c>
      <c r="D1064" s="18">
        <f>SEASON_HRS_TOM*B1064*(1+DIM_TOM)^B1064+SEASON_HRS_CAR*C1064*(1+DIM_CAR)^C1064</f>
        <v>1574.133943200001</v>
      </c>
      <c r="E1064" s="18">
        <f>(FARMER_FIELD_HRS+A1064*TEMP_HRS)-D1064</f>
        <v>2025.866056799999</v>
      </c>
      <c r="F1064" s="21">
        <f>IF(E1064&lt;0,0,MIN(COUNTIF(Labor!$C$59:$C$88,"&lt;="&amp;E1064),MAXBED_MES,TOTAL_BEDS-B1064-C1064))</f>
        <v>30</v>
      </c>
      <c r="G1064" s="21">
        <f>B1064+C1064+F1064</f>
        <v>39</v>
      </c>
      <c r="H1064" s="22">
        <f>IF(E1064&lt;0,-999999999,B1064*(PRICE_TOM-FERT_TOM)+C1064*(PRICE_CAR-FERT_CAR)+F1064*(PRICE_MES-FERT_MES)-(FARMER_SALARY+A1064*TEMP_COST)-FIXED_COSTS)</f>
        <v>-386</v>
      </c>
    </row>
    <row r="1065">
      <c r="A1065" s="5" t="n">
        <v>2</v>
      </c>
      <c r="B1065" s="5" t="n">
        <v>8</v>
      </c>
      <c r="C1065" s="5" t="n">
        <v>2</v>
      </c>
      <c r="D1065" s="18">
        <f>SEASON_HRS_TOM*B1065*(1+DIM_TOM)^B1065+SEASON_HRS_CAR*C1065*(1+DIM_CAR)^C1065</f>
        <v>1606.421443200001</v>
      </c>
      <c r="E1065" s="18">
        <f>(FARMER_FIELD_HRS+A1065*TEMP_HRS)-D1065</f>
        <v>1993.578556799999</v>
      </c>
      <c r="F1065" s="21">
        <f>IF(E1065&lt;0,0,MIN(COUNTIF(Labor!$C$59:$C$88,"&lt;="&amp;E1065),MAXBED_MES,TOTAL_BEDS-B1065-C1065))</f>
        <v>30</v>
      </c>
      <c r="G1065" s="21">
        <f>B1065+C1065+F1065</f>
        <v>40</v>
      </c>
      <c r="H1065" s="22">
        <f>IF(E1065&lt;0,-999999999,B1065*(PRICE_TOM-FERT_TOM)+C1065*(PRICE_CAR-FERT_CAR)+F1065*(PRICE_MES-FERT_MES)-(FARMER_SALARY+A1065*TEMP_COST)-FIXED_COSTS)</f>
        <v>1268</v>
      </c>
    </row>
    <row r="1066">
      <c r="A1066" s="5" t="n">
        <v>2</v>
      </c>
      <c r="B1066" s="5" t="n">
        <v>8</v>
      </c>
      <c r="C1066" s="5" t="n">
        <v>3</v>
      </c>
      <c r="D1066" s="18">
        <f>SEASON_HRS_TOM*B1066*(1+DIM_TOM)^B1066+SEASON_HRS_CAR*C1066*(1+DIM_CAR)^C1066</f>
        <v>1640.304099450001</v>
      </c>
      <c r="E1066" s="18">
        <f>(FARMER_FIELD_HRS+A1066*TEMP_HRS)-D1066</f>
        <v>1959.695900549999</v>
      </c>
      <c r="F1066" s="21">
        <f>IF(E1066&lt;0,0,MIN(COUNTIF(Labor!$C$59:$C$88,"&lt;="&amp;E1066),MAXBED_MES,TOTAL_BEDS-B1066-C1066))</f>
        <v>30</v>
      </c>
      <c r="G1066" s="21">
        <f>B1066+C1066+F1066</f>
        <v>41</v>
      </c>
      <c r="H1066" s="22">
        <f>IF(E1066&lt;0,-999999999,B1066*(PRICE_TOM-FERT_TOM)+C1066*(PRICE_CAR-FERT_CAR)+F1066*(PRICE_MES-FERT_MES)-(FARMER_SALARY+A1066*TEMP_COST)-FIXED_COSTS)</f>
        <v>2922</v>
      </c>
    </row>
    <row r="1067">
      <c r="A1067" s="5" t="n">
        <v>2</v>
      </c>
      <c r="B1067" s="5" t="n">
        <v>8</v>
      </c>
      <c r="C1067" s="5" t="n">
        <v>4</v>
      </c>
      <c r="D1067" s="18">
        <f>SEASON_HRS_TOM*B1067*(1+DIM_TOM)^B1067+SEASON_HRS_CAR*C1067*(1+DIM_CAR)^C1067</f>
        <v>1675.841490075001</v>
      </c>
      <c r="E1067" s="18">
        <f>(FARMER_FIELD_HRS+A1067*TEMP_HRS)-D1067</f>
        <v>1924.158509924999</v>
      </c>
      <c r="F1067" s="21">
        <f>IF(E1067&lt;0,0,MIN(COUNTIF(Labor!$C$59:$C$88,"&lt;="&amp;E1067),MAXBED_MES,TOTAL_BEDS-B1067-C1067))</f>
        <v>29</v>
      </c>
      <c r="G1067" s="21">
        <f>B1067+C1067+F1067</f>
        <v>41</v>
      </c>
      <c r="H1067" s="22">
        <f>IF(E1067&lt;0,-999999999,B1067*(PRICE_TOM-FERT_TOM)+C1067*(PRICE_CAR-FERT_CAR)+F1067*(PRICE_MES-FERT_MES)-(FARMER_SALARY+A1067*TEMP_COST)-FIXED_COSTS)</f>
        <v>2756</v>
      </c>
    </row>
    <row r="1068">
      <c r="A1068" s="5" t="n">
        <v>2</v>
      </c>
      <c r="B1068" s="5" t="n">
        <v>8</v>
      </c>
      <c r="C1068" s="5" t="n">
        <v>5</v>
      </c>
      <c r="D1068" s="18">
        <f>SEASON_HRS_TOM*B1068*(1+DIM_TOM)^B1068+SEASON_HRS_CAR*C1068*(1+DIM_CAR)^C1068</f>
        <v>1713.0951751335947</v>
      </c>
      <c r="E1068" s="18">
        <f>(FARMER_FIELD_HRS+A1068*TEMP_HRS)-D1068</f>
        <v>1886.9048248664053</v>
      </c>
      <c r="F1068" s="21">
        <f>IF(E1068&lt;0,0,MIN(COUNTIF(Labor!$C$59:$C$88,"&lt;="&amp;E1068),MAXBED_MES,TOTAL_BEDS-B1068-C1068))</f>
        <v>29</v>
      </c>
      <c r="G1068" s="21">
        <f>B1068+C1068+F1068</f>
        <v>42</v>
      </c>
      <c r="H1068" s="22">
        <f>IF(E1068&lt;0,-999999999,B1068*(PRICE_TOM-FERT_TOM)+C1068*(PRICE_CAR-FERT_CAR)+F1068*(PRICE_MES-FERT_MES)-(FARMER_SALARY+A1068*TEMP_COST)-FIXED_COSTS)</f>
        <v>4410</v>
      </c>
    </row>
    <row r="1069">
      <c r="A1069" s="5" t="n">
        <v>2</v>
      </c>
      <c r="B1069" s="5" t="n">
        <v>8</v>
      </c>
      <c r="C1069" s="5" t="n">
        <v>6</v>
      </c>
      <c r="D1069" s="18">
        <f>SEASON_HRS_TOM*B1069*(1+DIM_TOM)^B1069+SEASON_HRS_CAR*C1069*(1+DIM_CAR)^C1069</f>
        <v>1752.1287584783213</v>
      </c>
      <c r="E1069" s="18">
        <f>(FARMER_FIELD_HRS+A1069*TEMP_HRS)-D1069</f>
        <v>1847.8712415216787</v>
      </c>
      <c r="F1069" s="21">
        <f>IF(E1069&lt;0,0,MIN(COUNTIF(Labor!$C$59:$C$88,"&lt;="&amp;E1069),MAXBED_MES,TOTAL_BEDS-B1069-C1069))</f>
        <v>28</v>
      </c>
      <c r="G1069" s="21">
        <f>B1069+C1069+F1069</f>
        <v>42</v>
      </c>
      <c r="H1069" s="22">
        <f>IF(E1069&lt;0,-999999999,B1069*(PRICE_TOM-FERT_TOM)+C1069*(PRICE_CAR-FERT_CAR)+F1069*(PRICE_MES-FERT_MES)-(FARMER_SALARY+A1069*TEMP_COST)-FIXED_COSTS)</f>
        <v>4244</v>
      </c>
    </row>
    <row r="1070">
      <c r="A1070" s="5" t="n">
        <v>2</v>
      </c>
      <c r="B1070" s="5" t="n">
        <v>8</v>
      </c>
      <c r="C1070" s="5" t="n">
        <v>7</v>
      </c>
      <c r="D1070" s="18">
        <f>SEASON_HRS_TOM*B1070*(1+DIM_TOM)^B1070+SEASON_HRS_CAR*C1070*(1+DIM_CAR)^C1070</f>
        <v>1793.0079514703257</v>
      </c>
      <c r="E1070" s="18">
        <f>(FARMER_FIELD_HRS+A1070*TEMP_HRS)-D1070</f>
        <v>1806.9920485296743</v>
      </c>
      <c r="F1070" s="21">
        <f>IF(E1070&lt;0,0,MIN(COUNTIF(Labor!$C$59:$C$88,"&lt;="&amp;E1070),MAXBED_MES,TOTAL_BEDS-B1070-C1070))</f>
        <v>28</v>
      </c>
      <c r="G1070" s="21">
        <f>B1070+C1070+F1070</f>
        <v>43</v>
      </c>
      <c r="H1070" s="22">
        <f>IF(E1070&lt;0,-999999999,B1070*(PRICE_TOM-FERT_TOM)+C1070*(PRICE_CAR-FERT_CAR)+F1070*(PRICE_MES-FERT_MES)-(FARMER_SALARY+A1070*TEMP_COST)-FIXED_COSTS)</f>
        <v>5898</v>
      </c>
    </row>
    <row r="1071">
      <c r="A1071" s="5" t="n">
        <v>2</v>
      </c>
      <c r="B1071" s="5" t="n">
        <v>8</v>
      </c>
      <c r="C1071" s="5" t="n">
        <v>8</v>
      </c>
      <c r="D1071" s="18">
        <f>SEASON_HRS_TOM*B1071*(1+DIM_TOM)^B1071+SEASON_HRS_CAR*C1071*(1+DIM_CAR)^C1071</f>
        <v>1835.8006386023812</v>
      </c>
      <c r="E1071" s="18">
        <f>(FARMER_FIELD_HRS+A1071*TEMP_HRS)-D1071</f>
        <v>1764.1993613976188</v>
      </c>
      <c r="F1071" s="21">
        <f>IF(E1071&lt;0,0,MIN(COUNTIF(Labor!$C$59:$C$88,"&lt;="&amp;E1071),MAXBED_MES,TOTAL_BEDS-B1071-C1071))</f>
        <v>27</v>
      </c>
      <c r="G1071" s="21">
        <f>B1071+C1071+F1071</f>
        <v>43</v>
      </c>
      <c r="H1071" s="22">
        <f>IF(E1071&lt;0,-999999999,B1071*(PRICE_TOM-FERT_TOM)+C1071*(PRICE_CAR-FERT_CAR)+F1071*(PRICE_MES-FERT_MES)-(FARMER_SALARY+A1071*TEMP_COST)-FIXED_COSTS)</f>
        <v>5732</v>
      </c>
    </row>
    <row r="1072">
      <c r="A1072" s="5" t="n">
        <v>2</v>
      </c>
      <c r="B1072" s="5" t="n">
        <v>8</v>
      </c>
      <c r="C1072" s="5" t="n">
        <v>9</v>
      </c>
      <c r="D1072" s="18">
        <f>SEASON_HRS_TOM*B1072*(1+DIM_TOM)^B1072+SEASON_HRS_CAR*C1072*(1+DIM_CAR)^C1072</f>
        <v>1880.5769450858706</v>
      </c>
      <c r="E1072" s="18">
        <f>(FARMER_FIELD_HRS+A1072*TEMP_HRS)-D1072</f>
        <v>1719.4230549141294</v>
      </c>
      <c r="F1072" s="21">
        <f>IF(E1072&lt;0,0,MIN(COUNTIF(Labor!$C$59:$C$88,"&lt;="&amp;E1072),MAXBED_MES,TOTAL_BEDS-B1072-C1072))</f>
        <v>27</v>
      </c>
      <c r="G1072" s="21">
        <f>B1072+C1072+F1072</f>
        <v>44</v>
      </c>
      <c r="H1072" s="22">
        <f>IF(E1072&lt;0,-999999999,B1072*(PRICE_TOM-FERT_TOM)+C1072*(PRICE_CAR-FERT_CAR)+F1072*(PRICE_MES-FERT_MES)-(FARMER_SALARY+A1072*TEMP_COST)-FIXED_COSTS)</f>
        <v>7386</v>
      </c>
    </row>
    <row r="1073">
      <c r="A1073" s="5" t="n">
        <v>2</v>
      </c>
      <c r="B1073" s="5" t="n">
        <v>8</v>
      </c>
      <c r="C1073" s="5" t="n">
        <v>10</v>
      </c>
      <c r="D1073" s="18">
        <f>SEASON_HRS_TOM*B1073*(1+DIM_TOM)^B1073+SEASON_HRS_CAR*C1073*(1+DIM_CAR)^C1073</f>
        <v>1927.409306458908</v>
      </c>
      <c r="E1073" s="18">
        <f>(FARMER_FIELD_HRS+A1073*TEMP_HRS)-D1073</f>
        <v>1672.590693541092</v>
      </c>
      <c r="F1073" s="21">
        <f>IF(E1073&lt;0,0,MIN(COUNTIF(Labor!$C$59:$C$88,"&lt;="&amp;E1073),MAXBED_MES,TOTAL_BEDS-B1073-C1073))</f>
        <v>26</v>
      </c>
      <c r="G1073" s="21">
        <f>B1073+C1073+F1073</f>
        <v>44</v>
      </c>
      <c r="H1073" s="22">
        <f>IF(E1073&lt;0,-999999999,B1073*(PRICE_TOM-FERT_TOM)+C1073*(PRICE_CAR-FERT_CAR)+F1073*(PRICE_MES-FERT_MES)-(FARMER_SALARY+A1073*TEMP_COST)-FIXED_COSTS)</f>
        <v>7220</v>
      </c>
    </row>
    <row r="1074">
      <c r="A1074" s="5" t="n">
        <v>2</v>
      </c>
      <c r="B1074" s="5" t="n">
        <v>8</v>
      </c>
      <c r="C1074" s="5" t="n">
        <v>11</v>
      </c>
      <c r="D1074" s="18">
        <f>SEASON_HRS_TOM*B1074*(1+DIM_TOM)^B1074+SEASON_HRS_CAR*C1074*(1+DIM_CAR)^C1074</f>
        <v>1976.3725402744187</v>
      </c>
      <c r="E1074" s="18">
        <f>(FARMER_FIELD_HRS+A1074*TEMP_HRS)-D1074</f>
        <v>1623.6274597255813</v>
      </c>
      <c r="F1074" s="21">
        <f>IF(E1074&lt;0,0,MIN(COUNTIF(Labor!$C$59:$C$88,"&lt;="&amp;E1074),MAXBED_MES,TOTAL_BEDS-B1074-C1074))</f>
        <v>26</v>
      </c>
      <c r="G1074" s="21">
        <f>B1074+C1074+F1074</f>
        <v>45</v>
      </c>
      <c r="H1074" s="22">
        <f>IF(E1074&lt;0,-999999999,B1074*(PRICE_TOM-FERT_TOM)+C1074*(PRICE_CAR-FERT_CAR)+F1074*(PRICE_MES-FERT_MES)-(FARMER_SALARY+A1074*TEMP_COST)-FIXED_COSTS)</f>
        <v>8874</v>
      </c>
    </row>
    <row r="1075">
      <c r="A1075" s="5" t="n">
        <v>2</v>
      </c>
      <c r="B1075" s="5" t="n">
        <v>8</v>
      </c>
      <c r="C1075" s="5" t="n">
        <v>12</v>
      </c>
      <c r="D1075" s="18">
        <f>SEASON_HRS_TOM*B1075*(1+DIM_TOM)^B1075+SEASON_HRS_CAR*C1075*(1+DIM_CAR)^C1075</f>
        <v>2027.543919928668</v>
      </c>
      <c r="E1075" s="18">
        <f>(FARMER_FIELD_HRS+A1075*TEMP_HRS)-D1075</f>
        <v>1572.456080071332</v>
      </c>
      <c r="F1075" s="21">
        <f>IF(E1075&lt;0,0,MIN(COUNTIF(Labor!$C$59:$C$88,"&lt;="&amp;E1075),MAXBED_MES,TOTAL_BEDS-B1075-C1075))</f>
        <v>25</v>
      </c>
      <c r="G1075" s="21">
        <f>B1075+C1075+F1075</f>
        <v>45</v>
      </c>
      <c r="H1075" s="22">
        <f>IF(E1075&lt;0,-999999999,B1075*(PRICE_TOM-FERT_TOM)+C1075*(PRICE_CAR-FERT_CAR)+F1075*(PRICE_MES-FERT_MES)-(FARMER_SALARY+A1075*TEMP_COST)-FIXED_COSTS)</f>
        <v>8708</v>
      </c>
    </row>
    <row r="1076">
      <c r="A1076" s="5" t="n">
        <v>2</v>
      </c>
      <c r="B1076" s="5" t="n">
        <v>8</v>
      </c>
      <c r="C1076" s="5" t="n">
        <v>13</v>
      </c>
      <c r="D1076" s="18">
        <f>SEASON_HRS_TOM*B1076*(1+DIM_TOM)^B1076+SEASON_HRS_CAR*C1076*(1+DIM_CAR)^C1076</f>
        <v>2081.003250692458</v>
      </c>
      <c r="E1076" s="18">
        <f>(FARMER_FIELD_HRS+A1076*TEMP_HRS)-D1076</f>
        <v>1518.996749307542</v>
      </c>
      <c r="F1076" s="21">
        <f>IF(E1076&lt;0,0,MIN(COUNTIF(Labor!$C$59:$C$88,"&lt;="&amp;E1076),MAXBED_MES,TOTAL_BEDS-B1076-C1076))</f>
        <v>24</v>
      </c>
      <c r="G1076" s="21">
        <f>B1076+C1076+F1076</f>
        <v>45</v>
      </c>
      <c r="H1076" s="22">
        <f>IF(E1076&lt;0,-999999999,B1076*(PRICE_TOM-FERT_TOM)+C1076*(PRICE_CAR-FERT_CAR)+F1076*(PRICE_MES-FERT_MES)-(FARMER_SALARY+A1076*TEMP_COST)-FIXED_COSTS)</f>
        <v>8542</v>
      </c>
    </row>
    <row r="1077">
      <c r="A1077" s="5" t="n">
        <v>2</v>
      </c>
      <c r="B1077" s="5" t="n">
        <v>8</v>
      </c>
      <c r="C1077" s="5" t="n">
        <v>14</v>
      </c>
      <c r="D1077" s="18">
        <f>SEASON_HRS_TOM*B1077*(1+DIM_TOM)^B1077+SEASON_HRS_CAR*C1077*(1+DIM_CAR)^C1077</f>
        <v>2136.832948008983</v>
      </c>
      <c r="E1077" s="18">
        <f>(FARMER_FIELD_HRS+A1077*TEMP_HRS)-D1077</f>
        <v>1463.1670519910172</v>
      </c>
      <c r="F1077" s="21">
        <f>IF(E1077&lt;0,0,MIN(COUNTIF(Labor!$C$59:$C$88,"&lt;="&amp;E1077),MAXBED_MES,TOTAL_BEDS-B1077-C1077))</f>
        <v>24</v>
      </c>
      <c r="G1077" s="21">
        <f>B1077+C1077+F1077</f>
        <v>46</v>
      </c>
      <c r="H1077" s="22">
        <f>IF(E1077&lt;0,-999999999,B1077*(PRICE_TOM-FERT_TOM)+C1077*(PRICE_CAR-FERT_CAR)+F1077*(PRICE_MES-FERT_MES)-(FARMER_SALARY+A1077*TEMP_COST)-FIXED_COSTS)</f>
        <v>10196</v>
      </c>
    </row>
    <row r="1078">
      <c r="A1078" s="5" t="n">
        <v>2</v>
      </c>
      <c r="B1078" s="5" t="n">
        <v>8</v>
      </c>
      <c r="C1078" s="5" t="n">
        <v>15</v>
      </c>
      <c r="D1078" s="18">
        <f>SEASON_HRS_TOM*B1078*(1+DIM_TOM)^B1078+SEASON_HRS_CAR*C1078*(1+DIM_CAR)^C1078</f>
        <v>2195.1181181241504</v>
      </c>
      <c r="E1078" s="18">
        <f>(FARMER_FIELD_HRS+A1078*TEMP_HRS)-D1078</f>
        <v>1404.8818818758496</v>
      </c>
      <c r="F1078" s="21">
        <f>IF(E1078&lt;0,0,MIN(COUNTIF(Labor!$C$59:$C$88,"&lt;="&amp;E1078),MAXBED_MES,TOTAL_BEDS-B1078-C1078))</f>
        <v>23</v>
      </c>
      <c r="G1078" s="21">
        <f>B1078+C1078+F1078</f>
        <v>46</v>
      </c>
      <c r="H1078" s="22">
        <f>IF(E1078&lt;0,-999999999,B1078*(PRICE_TOM-FERT_TOM)+C1078*(PRICE_CAR-FERT_CAR)+F1078*(PRICE_MES-FERT_MES)-(FARMER_SALARY+A1078*TEMP_COST)-FIXED_COSTS)</f>
        <v>10030</v>
      </c>
    </row>
    <row r="1079">
      <c r="A1079" s="5" t="n">
        <v>2</v>
      </c>
      <c r="B1079" s="5" t="n">
        <v>8</v>
      </c>
      <c r="C1079" s="5" t="n">
        <v>16</v>
      </c>
      <c r="D1079" s="18">
        <f>SEASON_HRS_TOM*B1079*(1+DIM_TOM)^B1079+SEASON_HRS_CAR*C1079*(1+DIM_CAR)^C1079</f>
        <v>2255.946641117071</v>
      </c>
      <c r="E1079" s="18">
        <f>(FARMER_FIELD_HRS+A1079*TEMP_HRS)-D1079</f>
        <v>1344.053358882929</v>
      </c>
      <c r="F1079" s="21">
        <f>IF(E1079&lt;0,0,MIN(COUNTIF(Labor!$C$59:$C$88,"&lt;="&amp;E1079),MAXBED_MES,TOTAL_BEDS-B1079-C1079))</f>
        <v>22</v>
      </c>
      <c r="G1079" s="21">
        <f>B1079+C1079+F1079</f>
        <v>46</v>
      </c>
      <c r="H1079" s="22">
        <f>IF(E1079&lt;0,-999999999,B1079*(PRICE_TOM-FERT_TOM)+C1079*(PRICE_CAR-FERT_CAR)+F1079*(PRICE_MES-FERT_MES)-(FARMER_SALARY+A1079*TEMP_COST)-FIXED_COSTS)</f>
        <v>9864</v>
      </c>
    </row>
    <row r="1080">
      <c r="A1080" s="5" t="n">
        <v>2</v>
      </c>
      <c r="B1080" s="5" t="n">
        <v>8</v>
      </c>
      <c r="C1080" s="5" t="n">
        <v>17</v>
      </c>
      <c r="D1080" s="18">
        <f>SEASON_HRS_TOM*B1080*(1+DIM_TOM)^B1080+SEASON_HRS_CAR*C1080*(1+DIM_CAR)^C1080</f>
        <v>2319.40925640031</v>
      </c>
      <c r="E1080" s="18">
        <f>(FARMER_FIELD_HRS+A1080*TEMP_HRS)-D1080</f>
        <v>1280.59074359969</v>
      </c>
      <c r="F1080" s="21">
        <f>IF(E1080&lt;0,0,MIN(COUNTIF(Labor!$C$59:$C$88,"&lt;="&amp;E1080),MAXBED_MES,TOTAL_BEDS-B1080-C1080))</f>
        <v>21</v>
      </c>
      <c r="G1080" s="21">
        <f>B1080+C1080+F1080</f>
        <v>46</v>
      </c>
      <c r="H1080" s="22">
        <f>IF(E1080&lt;0,-999999999,B1080*(PRICE_TOM-FERT_TOM)+C1080*(PRICE_CAR-FERT_CAR)+F1080*(PRICE_MES-FERT_MES)-(FARMER_SALARY+A1080*TEMP_COST)-FIXED_COSTS)</f>
        <v>9698</v>
      </c>
    </row>
    <row r="1081">
      <c r="A1081" s="5" t="n">
        <v>2</v>
      </c>
      <c r="B1081" s="5" t="n">
        <v>8</v>
      </c>
      <c r="C1081" s="5" t="n">
        <v>18</v>
      </c>
      <c r="D1081" s="18">
        <f>SEASON_HRS_TOM*B1081*(1+DIM_TOM)^B1081+SEASON_HRS_CAR*C1081*(1+DIM_CAR)^C1081</f>
        <v>2385.5996507615127</v>
      </c>
      <c r="E1081" s="18">
        <f>(FARMER_FIELD_HRS+A1081*TEMP_HRS)-D1081</f>
        <v>1214.4003492384873</v>
      </c>
      <c r="F1081" s="21">
        <f>IF(E1081&lt;0,0,MIN(COUNTIF(Labor!$C$59:$C$88,"&lt;="&amp;E1081),MAXBED_MES,TOTAL_BEDS-B1081-C1081))</f>
        <v>20</v>
      </c>
      <c r="G1081" s="21">
        <f>B1081+C1081+F1081</f>
        <v>46</v>
      </c>
      <c r="H1081" s="22">
        <f>IF(E1081&lt;0,-999999999,B1081*(PRICE_TOM-FERT_TOM)+C1081*(PRICE_CAR-FERT_CAR)+F1081*(PRICE_MES-FERT_MES)-(FARMER_SALARY+A1081*TEMP_COST)-FIXED_COSTS)</f>
        <v>9532</v>
      </c>
    </row>
    <row r="1082">
      <c r="A1082" s="5" t="n">
        <v>2</v>
      </c>
      <c r="B1082" s="5" t="n">
        <v>8</v>
      </c>
      <c r="C1082" s="5" t="n">
        <v>19</v>
      </c>
      <c r="D1082" s="18">
        <f>SEASON_HRS_TOM*B1082*(1+DIM_TOM)^B1082+SEASON_HRS_CAR*C1082*(1+DIM_CAR)^C1082</f>
        <v>2454.614549020025</v>
      </c>
      <c r="E1082" s="18">
        <f>(FARMER_FIELD_HRS+A1082*TEMP_HRS)-D1082</f>
        <v>1145.3854509799748</v>
      </c>
      <c r="F1082" s="21">
        <f>IF(E1082&lt;0,0,MIN(COUNTIF(Labor!$C$59:$C$88,"&lt;="&amp;E1082),MAXBED_MES,TOTAL_BEDS-B1082-C1082))</f>
        <v>19</v>
      </c>
      <c r="G1082" s="21">
        <f>B1082+C1082+F1082</f>
        <v>46</v>
      </c>
      <c r="H1082" s="22">
        <f>IF(E1082&lt;0,-999999999,B1082*(PRICE_TOM-FERT_TOM)+C1082*(PRICE_CAR-FERT_CAR)+F1082*(PRICE_MES-FERT_MES)-(FARMER_SALARY+A1082*TEMP_COST)-FIXED_COSTS)</f>
        <v>9366</v>
      </c>
    </row>
    <row r="1083">
      <c r="A1083" s="5" t="n">
        <v>2</v>
      </c>
      <c r="B1083" s="5" t="n">
        <v>8</v>
      </c>
      <c r="C1083" s="5" t="n">
        <v>20</v>
      </c>
      <c r="D1083" s="18">
        <f>SEASON_HRS_TOM*B1083*(1+DIM_TOM)^B1083+SEASON_HRS_CAR*C1083*(1+DIM_CAR)^C1083</f>
        <v>2526.5538073742377</v>
      </c>
      <c r="E1083" s="18">
        <f>(FARMER_FIELD_HRS+A1083*TEMP_HRS)-D1083</f>
        <v>1073.4461926257623</v>
      </c>
      <c r="F1083" s="21">
        <f>IF(E1083&lt;0,0,MIN(COUNTIF(Labor!$C$59:$C$88,"&lt;="&amp;E1083),MAXBED_MES,TOTAL_BEDS-B1083-C1083))</f>
        <v>18</v>
      </c>
      <c r="G1083" s="21">
        <f>B1083+C1083+F1083</f>
        <v>46</v>
      </c>
      <c r="H1083" s="22">
        <f>IF(E1083&lt;0,-999999999,B1083*(PRICE_TOM-FERT_TOM)+C1083*(PRICE_CAR-FERT_CAR)+F1083*(PRICE_MES-FERT_MES)-(FARMER_SALARY+A1083*TEMP_COST)-FIXED_COSTS)</f>
        <v>9200</v>
      </c>
    </row>
    <row r="1084">
      <c r="A1084" s="5" t="n">
        <v>2</v>
      </c>
      <c r="B1084" s="5" t="n">
        <v>9</v>
      </c>
      <c r="C1084" s="5" t="n">
        <v>0</v>
      </c>
      <c r="D1084" s="18">
        <f>SEASON_HRS_TOM*B1084*(1+DIM_TOM)^B1084+SEASON_HRS_CAR*C1084*(1+DIM_CAR)^C1084</f>
        <v>1909.9376297100016</v>
      </c>
      <c r="E1084" s="18">
        <f>(FARMER_FIELD_HRS+A1084*TEMP_HRS)-D1084</f>
        <v>1690.0623702899984</v>
      </c>
      <c r="F1084" s="21">
        <f>IF(E1084&lt;0,0,MIN(COUNTIF(Labor!$C$59:$C$88,"&lt;="&amp;E1084),MAXBED_MES,TOTAL_BEDS-B1084-C1084))</f>
        <v>26</v>
      </c>
      <c r="G1084" s="21">
        <f>B1084+C1084+F1084</f>
        <v>35</v>
      </c>
      <c r="H1084" s="22">
        <f>IF(E1084&lt;0,-999999999,B1084*(PRICE_TOM-FERT_TOM)+C1084*(PRICE_CAR-FERT_CAR)+F1084*(PRICE_MES-FERT_MES)-(FARMER_SALARY+A1084*TEMP_COST)-FIXED_COSTS)</f>
        <v>-1400</v>
      </c>
    </row>
    <row r="1085">
      <c r="A1085" s="5" t="n">
        <v>2</v>
      </c>
      <c r="B1085" s="5" t="n">
        <v>9</v>
      </c>
      <c r="C1085" s="5" t="n">
        <v>1</v>
      </c>
      <c r="D1085" s="18">
        <f>SEASON_HRS_TOM*B1085*(1+DIM_TOM)^B1085+SEASON_HRS_CAR*C1085*(1+DIM_CAR)^C1085</f>
        <v>1940.6876297100016</v>
      </c>
      <c r="E1085" s="18">
        <f>(FARMER_FIELD_HRS+A1085*TEMP_HRS)-D1085</f>
        <v>1659.3123702899984</v>
      </c>
      <c r="F1085" s="21">
        <f>IF(E1085&lt;0,0,MIN(COUNTIF(Labor!$C$59:$C$88,"&lt;="&amp;E1085),MAXBED_MES,TOTAL_BEDS-B1085-C1085))</f>
        <v>26</v>
      </c>
      <c r="G1085" s="21">
        <f>B1085+C1085+F1085</f>
        <v>36</v>
      </c>
      <c r="H1085" s="22">
        <f>IF(E1085&lt;0,-999999999,B1085*(PRICE_TOM-FERT_TOM)+C1085*(PRICE_CAR-FERT_CAR)+F1085*(PRICE_MES-FERT_MES)-(FARMER_SALARY+A1085*TEMP_COST)-FIXED_COSTS)</f>
        <v>254</v>
      </c>
    </row>
    <row r="1086">
      <c r="A1086" s="5" t="n">
        <v>2</v>
      </c>
      <c r="B1086" s="5" t="n">
        <v>9</v>
      </c>
      <c r="C1086" s="5" t="n">
        <v>2</v>
      </c>
      <c r="D1086" s="18">
        <f>SEASON_HRS_TOM*B1086*(1+DIM_TOM)^B1086+SEASON_HRS_CAR*C1086*(1+DIM_CAR)^C1086</f>
        <v>1972.9751297100015</v>
      </c>
      <c r="E1086" s="18">
        <f>(FARMER_FIELD_HRS+A1086*TEMP_HRS)-D1086</f>
        <v>1627.0248702899985</v>
      </c>
      <c r="F1086" s="21">
        <f>IF(E1086&lt;0,0,MIN(COUNTIF(Labor!$C$59:$C$88,"&lt;="&amp;E1086),MAXBED_MES,TOTAL_BEDS-B1086-C1086))</f>
        <v>26</v>
      </c>
      <c r="G1086" s="21">
        <f>B1086+C1086+F1086</f>
        <v>37</v>
      </c>
      <c r="H1086" s="22">
        <f>IF(E1086&lt;0,-999999999,B1086*(PRICE_TOM-FERT_TOM)+C1086*(PRICE_CAR-FERT_CAR)+F1086*(PRICE_MES-FERT_MES)-(FARMER_SALARY+A1086*TEMP_COST)-FIXED_COSTS)</f>
        <v>1908</v>
      </c>
    </row>
    <row r="1087">
      <c r="A1087" s="5" t="n">
        <v>2</v>
      </c>
      <c r="B1087" s="5" t="n">
        <v>9</v>
      </c>
      <c r="C1087" s="5" t="n">
        <v>3</v>
      </c>
      <c r="D1087" s="18">
        <f>SEASON_HRS_TOM*B1087*(1+DIM_TOM)^B1087+SEASON_HRS_CAR*C1087*(1+DIM_CAR)^C1087</f>
        <v>2006.8577859600016</v>
      </c>
      <c r="E1087" s="18">
        <f>(FARMER_FIELD_HRS+A1087*TEMP_HRS)-D1087</f>
        <v>1593.1422140399984</v>
      </c>
      <c r="F1087" s="21">
        <f>IF(E1087&lt;0,0,MIN(COUNTIF(Labor!$C$59:$C$88,"&lt;="&amp;E1087),MAXBED_MES,TOTAL_BEDS-B1087-C1087))</f>
        <v>25</v>
      </c>
      <c r="G1087" s="21">
        <f>B1087+C1087+F1087</f>
        <v>37</v>
      </c>
      <c r="H1087" s="22">
        <f>IF(E1087&lt;0,-999999999,B1087*(PRICE_TOM-FERT_TOM)+C1087*(PRICE_CAR-FERT_CAR)+F1087*(PRICE_MES-FERT_MES)-(FARMER_SALARY+A1087*TEMP_COST)-FIXED_COSTS)</f>
        <v>1742</v>
      </c>
    </row>
    <row r="1088">
      <c r="A1088" s="5" t="n">
        <v>2</v>
      </c>
      <c r="B1088" s="5" t="n">
        <v>9</v>
      </c>
      <c r="C1088" s="5" t="n">
        <v>4</v>
      </c>
      <c r="D1088" s="18">
        <f>SEASON_HRS_TOM*B1088*(1+DIM_TOM)^B1088+SEASON_HRS_CAR*C1088*(1+DIM_CAR)^C1088</f>
        <v>2042.3951765850015</v>
      </c>
      <c r="E1088" s="18">
        <f>(FARMER_FIELD_HRS+A1088*TEMP_HRS)-D1088</f>
        <v>1557.6048234149985</v>
      </c>
      <c r="F1088" s="21">
        <f>IF(E1088&lt;0,0,MIN(COUNTIF(Labor!$C$59:$C$88,"&lt;="&amp;E1088),MAXBED_MES,TOTAL_BEDS-B1088-C1088))</f>
        <v>25</v>
      </c>
      <c r="G1088" s="21">
        <f>B1088+C1088+F1088</f>
        <v>38</v>
      </c>
      <c r="H1088" s="22">
        <f>IF(E1088&lt;0,-999999999,B1088*(PRICE_TOM-FERT_TOM)+C1088*(PRICE_CAR-FERT_CAR)+F1088*(PRICE_MES-FERT_MES)-(FARMER_SALARY+A1088*TEMP_COST)-FIXED_COSTS)</f>
        <v>3396</v>
      </c>
    </row>
    <row r="1089">
      <c r="A1089" s="5" t="n">
        <v>2</v>
      </c>
      <c r="B1089" s="5" t="n">
        <v>9</v>
      </c>
      <c r="C1089" s="5" t="n">
        <v>5</v>
      </c>
      <c r="D1089" s="18">
        <f>SEASON_HRS_TOM*B1089*(1+DIM_TOM)^B1089+SEASON_HRS_CAR*C1089*(1+DIM_CAR)^C1089</f>
        <v>2079.6488616435954</v>
      </c>
      <c r="E1089" s="18">
        <f>(FARMER_FIELD_HRS+A1089*TEMP_HRS)-D1089</f>
        <v>1520.3511383564046</v>
      </c>
      <c r="F1089" s="21">
        <f>IF(E1089&lt;0,0,MIN(COUNTIF(Labor!$C$59:$C$88,"&lt;="&amp;E1089),MAXBED_MES,TOTAL_BEDS-B1089-C1089))</f>
        <v>24</v>
      </c>
      <c r="G1089" s="21">
        <f>B1089+C1089+F1089</f>
        <v>38</v>
      </c>
      <c r="H1089" s="22">
        <f>IF(E1089&lt;0,-999999999,B1089*(PRICE_TOM-FERT_TOM)+C1089*(PRICE_CAR-FERT_CAR)+F1089*(PRICE_MES-FERT_MES)-(FARMER_SALARY+A1089*TEMP_COST)-FIXED_COSTS)</f>
        <v>3230</v>
      </c>
    </row>
    <row r="1090">
      <c r="A1090" s="5" t="n">
        <v>2</v>
      </c>
      <c r="B1090" s="5" t="n">
        <v>9</v>
      </c>
      <c r="C1090" s="5" t="n">
        <v>6</v>
      </c>
      <c r="D1090" s="18">
        <f>SEASON_HRS_TOM*B1090*(1+DIM_TOM)^B1090+SEASON_HRS_CAR*C1090*(1+DIM_CAR)^C1090</f>
        <v>2118.682444988322</v>
      </c>
      <c r="E1090" s="18">
        <f>(FARMER_FIELD_HRS+A1090*TEMP_HRS)-D1090</f>
        <v>1481.317555011678</v>
      </c>
      <c r="F1090" s="21">
        <f>IF(E1090&lt;0,0,MIN(COUNTIF(Labor!$C$59:$C$88,"&lt;="&amp;E1090),MAXBED_MES,TOTAL_BEDS-B1090-C1090))</f>
        <v>24</v>
      </c>
      <c r="G1090" s="21">
        <f>B1090+C1090+F1090</f>
        <v>39</v>
      </c>
      <c r="H1090" s="22">
        <f>IF(E1090&lt;0,-999999999,B1090*(PRICE_TOM-FERT_TOM)+C1090*(PRICE_CAR-FERT_CAR)+F1090*(PRICE_MES-FERT_MES)-(FARMER_SALARY+A1090*TEMP_COST)-FIXED_COSTS)</f>
        <v>4884</v>
      </c>
    </row>
    <row r="1091">
      <c r="A1091" s="5" t="n">
        <v>2</v>
      </c>
      <c r="B1091" s="5" t="n">
        <v>9</v>
      </c>
      <c r="C1091" s="5" t="n">
        <v>7</v>
      </c>
      <c r="D1091" s="18">
        <f>SEASON_HRS_TOM*B1091*(1+DIM_TOM)^B1091+SEASON_HRS_CAR*C1091*(1+DIM_CAR)^C1091</f>
        <v>2159.561637980326</v>
      </c>
      <c r="E1091" s="18">
        <f>(FARMER_FIELD_HRS+A1091*TEMP_HRS)-D1091</f>
        <v>1440.438362019674</v>
      </c>
      <c r="F1091" s="21">
        <f>IF(E1091&lt;0,0,MIN(COUNTIF(Labor!$C$59:$C$88,"&lt;="&amp;E1091),MAXBED_MES,TOTAL_BEDS-B1091-C1091))</f>
        <v>23</v>
      </c>
      <c r="G1091" s="21">
        <f>B1091+C1091+F1091</f>
        <v>39</v>
      </c>
      <c r="H1091" s="22">
        <f>IF(E1091&lt;0,-999999999,B1091*(PRICE_TOM-FERT_TOM)+C1091*(PRICE_CAR-FERT_CAR)+F1091*(PRICE_MES-FERT_MES)-(FARMER_SALARY+A1091*TEMP_COST)-FIXED_COSTS)</f>
        <v>4718</v>
      </c>
    </row>
    <row r="1092">
      <c r="A1092" s="5" t="n">
        <v>2</v>
      </c>
      <c r="B1092" s="5" t="n">
        <v>9</v>
      </c>
      <c r="C1092" s="5" t="n">
        <v>8</v>
      </c>
      <c r="D1092" s="18">
        <f>SEASON_HRS_TOM*B1092*(1+DIM_TOM)^B1092+SEASON_HRS_CAR*C1092*(1+DIM_CAR)^C1092</f>
        <v>2202.354325112382</v>
      </c>
      <c r="E1092" s="18">
        <f>(FARMER_FIELD_HRS+A1092*TEMP_HRS)-D1092</f>
        <v>1397.645674887618</v>
      </c>
      <c r="F1092" s="21">
        <f>IF(E1092&lt;0,0,MIN(COUNTIF(Labor!$C$59:$C$88,"&lt;="&amp;E1092),MAXBED_MES,TOTAL_BEDS-B1092-C1092))</f>
        <v>23</v>
      </c>
      <c r="G1092" s="21">
        <f>B1092+C1092+F1092</f>
        <v>40</v>
      </c>
      <c r="H1092" s="22">
        <f>IF(E1092&lt;0,-999999999,B1092*(PRICE_TOM-FERT_TOM)+C1092*(PRICE_CAR-FERT_CAR)+F1092*(PRICE_MES-FERT_MES)-(FARMER_SALARY+A1092*TEMP_COST)-FIXED_COSTS)</f>
        <v>6372</v>
      </c>
    </row>
    <row r="1093">
      <c r="A1093" s="5" t="n">
        <v>2</v>
      </c>
      <c r="B1093" s="5" t="n">
        <v>9</v>
      </c>
      <c r="C1093" s="5" t="n">
        <v>9</v>
      </c>
      <c r="D1093" s="18">
        <f>SEASON_HRS_TOM*B1093*(1+DIM_TOM)^B1093+SEASON_HRS_CAR*C1093*(1+DIM_CAR)^C1093</f>
        <v>2247.1306315958714</v>
      </c>
      <c r="E1093" s="18">
        <f>(FARMER_FIELD_HRS+A1093*TEMP_HRS)-D1093</f>
        <v>1352.8693684041286</v>
      </c>
      <c r="F1093" s="21">
        <f>IF(E1093&lt;0,0,MIN(COUNTIF(Labor!$C$59:$C$88,"&lt;="&amp;E1093),MAXBED_MES,TOTAL_BEDS-B1093-C1093))</f>
        <v>22</v>
      </c>
      <c r="G1093" s="21">
        <f>B1093+C1093+F1093</f>
        <v>40</v>
      </c>
      <c r="H1093" s="22">
        <f>IF(E1093&lt;0,-999999999,B1093*(PRICE_TOM-FERT_TOM)+C1093*(PRICE_CAR-FERT_CAR)+F1093*(PRICE_MES-FERT_MES)-(FARMER_SALARY+A1093*TEMP_COST)-FIXED_COSTS)</f>
        <v>6206</v>
      </c>
    </row>
    <row r="1094">
      <c r="A1094" s="5" t="n">
        <v>2</v>
      </c>
      <c r="B1094" s="5" t="n">
        <v>9</v>
      </c>
      <c r="C1094" s="5" t="n">
        <v>10</v>
      </c>
      <c r="D1094" s="18">
        <f>SEASON_HRS_TOM*B1094*(1+DIM_TOM)^B1094+SEASON_HRS_CAR*C1094*(1+DIM_CAR)^C1094</f>
        <v>2293.9629929689086</v>
      </c>
      <c r="E1094" s="18">
        <f>(FARMER_FIELD_HRS+A1094*TEMP_HRS)-D1094</f>
        <v>1306.0370070310914</v>
      </c>
      <c r="F1094" s="21">
        <f>IF(E1094&lt;0,0,MIN(COUNTIF(Labor!$C$59:$C$88,"&lt;="&amp;E1094),MAXBED_MES,TOTAL_BEDS-B1094-C1094))</f>
        <v>22</v>
      </c>
      <c r="G1094" s="21">
        <f>B1094+C1094+F1094</f>
        <v>41</v>
      </c>
      <c r="H1094" s="22">
        <f>IF(E1094&lt;0,-999999999,B1094*(PRICE_TOM-FERT_TOM)+C1094*(PRICE_CAR-FERT_CAR)+F1094*(PRICE_MES-FERT_MES)-(FARMER_SALARY+A1094*TEMP_COST)-FIXED_COSTS)</f>
        <v>7860</v>
      </c>
    </row>
    <row r="1095">
      <c r="A1095" s="5" t="n">
        <v>2</v>
      </c>
      <c r="B1095" s="5" t="n">
        <v>9</v>
      </c>
      <c r="C1095" s="5" t="n">
        <v>11</v>
      </c>
      <c r="D1095" s="18">
        <f>SEASON_HRS_TOM*B1095*(1+DIM_TOM)^B1095+SEASON_HRS_CAR*C1095*(1+DIM_CAR)^C1095</f>
        <v>2342.926226784419</v>
      </c>
      <c r="E1095" s="18">
        <f>(FARMER_FIELD_HRS+A1095*TEMP_HRS)-D1095</f>
        <v>1257.0737732155808</v>
      </c>
      <c r="F1095" s="21">
        <f>IF(E1095&lt;0,0,MIN(COUNTIF(Labor!$C$59:$C$88,"&lt;="&amp;E1095),MAXBED_MES,TOTAL_BEDS-B1095-C1095))</f>
        <v>21</v>
      </c>
      <c r="G1095" s="21">
        <f>B1095+C1095+F1095</f>
        <v>41</v>
      </c>
      <c r="H1095" s="22">
        <f>IF(E1095&lt;0,-999999999,B1095*(PRICE_TOM-FERT_TOM)+C1095*(PRICE_CAR-FERT_CAR)+F1095*(PRICE_MES-FERT_MES)-(FARMER_SALARY+A1095*TEMP_COST)-FIXED_COSTS)</f>
        <v>7694</v>
      </c>
    </row>
    <row r="1096">
      <c r="A1096" s="5" t="n">
        <v>2</v>
      </c>
      <c r="B1096" s="5" t="n">
        <v>9</v>
      </c>
      <c r="C1096" s="5" t="n">
        <v>12</v>
      </c>
      <c r="D1096" s="18">
        <f>SEASON_HRS_TOM*B1096*(1+DIM_TOM)^B1096+SEASON_HRS_CAR*C1096*(1+DIM_CAR)^C1096</f>
        <v>2394.0976064386687</v>
      </c>
      <c r="E1096" s="18">
        <f>(FARMER_FIELD_HRS+A1096*TEMP_HRS)-D1096</f>
        <v>1205.9023935613313</v>
      </c>
      <c r="F1096" s="21">
        <f>IF(E1096&lt;0,0,MIN(COUNTIF(Labor!$C$59:$C$88,"&lt;="&amp;E1096),MAXBED_MES,TOTAL_BEDS-B1096-C1096))</f>
        <v>20</v>
      </c>
      <c r="G1096" s="21">
        <f>B1096+C1096+F1096</f>
        <v>41</v>
      </c>
      <c r="H1096" s="22">
        <f>IF(E1096&lt;0,-999999999,B1096*(PRICE_TOM-FERT_TOM)+C1096*(PRICE_CAR-FERT_CAR)+F1096*(PRICE_MES-FERT_MES)-(FARMER_SALARY+A1096*TEMP_COST)-FIXED_COSTS)</f>
        <v>7528</v>
      </c>
    </row>
    <row r="1097">
      <c r="A1097" s="5" t="n">
        <v>2</v>
      </c>
      <c r="B1097" s="5" t="n">
        <v>9</v>
      </c>
      <c r="C1097" s="5" t="n">
        <v>13</v>
      </c>
      <c r="D1097" s="18">
        <f>SEASON_HRS_TOM*B1097*(1+DIM_TOM)^B1097+SEASON_HRS_CAR*C1097*(1+DIM_CAR)^C1097</f>
        <v>2447.556937202459</v>
      </c>
      <c r="E1097" s="18">
        <f>(FARMER_FIELD_HRS+A1097*TEMP_HRS)-D1097</f>
        <v>1152.4430627975412</v>
      </c>
      <c r="F1097" s="21">
        <f>IF(E1097&lt;0,0,MIN(COUNTIF(Labor!$C$59:$C$88,"&lt;="&amp;E1097),MAXBED_MES,TOTAL_BEDS-B1097-C1097))</f>
        <v>19</v>
      </c>
      <c r="G1097" s="21">
        <f>B1097+C1097+F1097</f>
        <v>41</v>
      </c>
      <c r="H1097" s="22">
        <f>IF(E1097&lt;0,-999999999,B1097*(PRICE_TOM-FERT_TOM)+C1097*(PRICE_CAR-FERT_CAR)+F1097*(PRICE_MES-FERT_MES)-(FARMER_SALARY+A1097*TEMP_COST)-FIXED_COSTS)</f>
        <v>7362</v>
      </c>
    </row>
    <row r="1098">
      <c r="A1098" s="5" t="n">
        <v>2</v>
      </c>
      <c r="B1098" s="5" t="n">
        <v>9</v>
      </c>
      <c r="C1098" s="5" t="n">
        <v>14</v>
      </c>
      <c r="D1098" s="18">
        <f>SEASON_HRS_TOM*B1098*(1+DIM_TOM)^B1098+SEASON_HRS_CAR*C1098*(1+DIM_CAR)^C1098</f>
        <v>2503.386634518983</v>
      </c>
      <c r="E1098" s="18">
        <f>(FARMER_FIELD_HRS+A1098*TEMP_HRS)-D1098</f>
        <v>1096.613365481017</v>
      </c>
      <c r="F1098" s="21">
        <f>IF(E1098&lt;0,0,MIN(COUNTIF(Labor!$C$59:$C$88,"&lt;="&amp;E1098),MAXBED_MES,TOTAL_BEDS-B1098-C1098))</f>
        <v>19</v>
      </c>
      <c r="G1098" s="21">
        <f>B1098+C1098+F1098</f>
        <v>42</v>
      </c>
      <c r="H1098" s="22">
        <f>IF(E1098&lt;0,-999999999,B1098*(PRICE_TOM-FERT_TOM)+C1098*(PRICE_CAR-FERT_CAR)+F1098*(PRICE_MES-FERT_MES)-(FARMER_SALARY+A1098*TEMP_COST)-FIXED_COSTS)</f>
        <v>9016</v>
      </c>
    </row>
    <row r="1099">
      <c r="A1099" s="5" t="n">
        <v>2</v>
      </c>
      <c r="B1099" s="5" t="n">
        <v>9</v>
      </c>
      <c r="C1099" s="5" t="n">
        <v>15</v>
      </c>
      <c r="D1099" s="18">
        <f>SEASON_HRS_TOM*B1099*(1+DIM_TOM)^B1099+SEASON_HRS_CAR*C1099*(1+DIM_CAR)^C1099</f>
        <v>2561.671804634151</v>
      </c>
      <c r="E1099" s="18">
        <f>(FARMER_FIELD_HRS+A1099*TEMP_HRS)-D1099</f>
        <v>1038.3281953658488</v>
      </c>
      <c r="F1099" s="21">
        <f>IF(E1099&lt;0,0,MIN(COUNTIF(Labor!$C$59:$C$88,"&lt;="&amp;E1099),MAXBED_MES,TOTAL_BEDS-B1099-C1099))</f>
        <v>18</v>
      </c>
      <c r="G1099" s="21">
        <f>B1099+C1099+F1099</f>
        <v>42</v>
      </c>
      <c r="H1099" s="22">
        <f>IF(E1099&lt;0,-999999999,B1099*(PRICE_TOM-FERT_TOM)+C1099*(PRICE_CAR-FERT_CAR)+F1099*(PRICE_MES-FERT_MES)-(FARMER_SALARY+A1099*TEMP_COST)-FIXED_COSTS)</f>
        <v>8850</v>
      </c>
    </row>
    <row r="1100">
      <c r="A1100" s="5" t="n">
        <v>2</v>
      </c>
      <c r="B1100" s="5" t="n">
        <v>9</v>
      </c>
      <c r="C1100" s="5" t="n">
        <v>16</v>
      </c>
      <c r="D1100" s="18">
        <f>SEASON_HRS_TOM*B1100*(1+DIM_TOM)^B1100+SEASON_HRS_CAR*C1100*(1+DIM_CAR)^C1100</f>
        <v>2622.5003276270713</v>
      </c>
      <c r="E1100" s="18">
        <f>(FARMER_FIELD_HRS+A1100*TEMP_HRS)-D1100</f>
        <v>977.4996723729287</v>
      </c>
      <c r="F1100" s="21">
        <f>IF(E1100&lt;0,0,MIN(COUNTIF(Labor!$C$59:$C$88,"&lt;="&amp;E1100),MAXBED_MES,TOTAL_BEDS-B1100-C1100))</f>
        <v>17</v>
      </c>
      <c r="G1100" s="21">
        <f>B1100+C1100+F1100</f>
        <v>42</v>
      </c>
      <c r="H1100" s="22">
        <f>IF(E1100&lt;0,-999999999,B1100*(PRICE_TOM-FERT_TOM)+C1100*(PRICE_CAR-FERT_CAR)+F1100*(PRICE_MES-FERT_MES)-(FARMER_SALARY+A1100*TEMP_COST)-FIXED_COSTS)</f>
        <v>8684</v>
      </c>
    </row>
    <row r="1101">
      <c r="A1101" s="5" t="n">
        <v>2</v>
      </c>
      <c r="B1101" s="5" t="n">
        <v>9</v>
      </c>
      <c r="C1101" s="5" t="n">
        <v>17</v>
      </c>
      <c r="D1101" s="18">
        <f>SEASON_HRS_TOM*B1101*(1+DIM_TOM)^B1101+SEASON_HRS_CAR*C1101*(1+DIM_CAR)^C1101</f>
        <v>2685.9629429103106</v>
      </c>
      <c r="E1101" s="18">
        <f>(FARMER_FIELD_HRS+A1101*TEMP_HRS)-D1101</f>
        <v>914.0370570896894</v>
      </c>
      <c r="F1101" s="21">
        <f>IF(E1101&lt;0,0,MIN(COUNTIF(Labor!$C$59:$C$88,"&lt;="&amp;E1101),MAXBED_MES,TOTAL_BEDS-B1101-C1101))</f>
        <v>16</v>
      </c>
      <c r="G1101" s="21">
        <f>B1101+C1101+F1101</f>
        <v>42</v>
      </c>
      <c r="H1101" s="22">
        <f>IF(E1101&lt;0,-999999999,B1101*(PRICE_TOM-FERT_TOM)+C1101*(PRICE_CAR-FERT_CAR)+F1101*(PRICE_MES-FERT_MES)-(FARMER_SALARY+A1101*TEMP_COST)-FIXED_COSTS)</f>
        <v>8518</v>
      </c>
    </row>
    <row r="1102">
      <c r="A1102" s="5" t="n">
        <v>2</v>
      </c>
      <c r="B1102" s="5" t="n">
        <v>9</v>
      </c>
      <c r="C1102" s="5" t="n">
        <v>18</v>
      </c>
      <c r="D1102" s="18">
        <f>SEASON_HRS_TOM*B1102*(1+DIM_TOM)^B1102+SEASON_HRS_CAR*C1102*(1+DIM_CAR)^C1102</f>
        <v>2752.153337271513</v>
      </c>
      <c r="E1102" s="18">
        <f>(FARMER_FIELD_HRS+A1102*TEMP_HRS)-D1102</f>
        <v>847.846662728487</v>
      </c>
      <c r="F1102" s="21">
        <f>IF(E1102&lt;0,0,MIN(COUNTIF(Labor!$C$59:$C$88,"&lt;="&amp;E1102),MAXBED_MES,TOTAL_BEDS-B1102-C1102))</f>
        <v>15</v>
      </c>
      <c r="G1102" s="21">
        <f>B1102+C1102+F1102</f>
        <v>42</v>
      </c>
      <c r="H1102" s="22">
        <f>IF(E1102&lt;0,-999999999,B1102*(PRICE_TOM-FERT_TOM)+C1102*(PRICE_CAR-FERT_CAR)+F1102*(PRICE_MES-FERT_MES)-(FARMER_SALARY+A1102*TEMP_COST)-FIXED_COSTS)</f>
        <v>8352</v>
      </c>
    </row>
    <row r="1103">
      <c r="A1103" s="5" t="n">
        <v>2</v>
      </c>
      <c r="B1103" s="5" t="n">
        <v>9</v>
      </c>
      <c r="C1103" s="5" t="n">
        <v>19</v>
      </c>
      <c r="D1103" s="18">
        <f>SEASON_HRS_TOM*B1103*(1+DIM_TOM)^B1103+SEASON_HRS_CAR*C1103*(1+DIM_CAR)^C1103</f>
        <v>2821.168235530026</v>
      </c>
      <c r="E1103" s="18">
        <f>(FARMER_FIELD_HRS+A1103*TEMP_HRS)-D1103</f>
        <v>778.8317644699741</v>
      </c>
      <c r="F1103" s="21">
        <f>IF(E1103&lt;0,0,MIN(COUNTIF(Labor!$C$59:$C$88,"&lt;="&amp;E1103),MAXBED_MES,TOTAL_BEDS-B1103-C1103))</f>
        <v>14</v>
      </c>
      <c r="G1103" s="21">
        <f>B1103+C1103+F1103</f>
        <v>42</v>
      </c>
      <c r="H1103" s="22">
        <f>IF(E1103&lt;0,-999999999,B1103*(PRICE_TOM-FERT_TOM)+C1103*(PRICE_CAR-FERT_CAR)+F1103*(PRICE_MES-FERT_MES)-(FARMER_SALARY+A1103*TEMP_COST)-FIXED_COSTS)</f>
        <v>8186</v>
      </c>
    </row>
    <row r="1104">
      <c r="A1104" s="5" t="n">
        <v>2</v>
      </c>
      <c r="B1104" s="5" t="n">
        <v>9</v>
      </c>
      <c r="C1104" s="5" t="n">
        <v>20</v>
      </c>
      <c r="D1104" s="18">
        <f>SEASON_HRS_TOM*B1104*(1+DIM_TOM)^B1104+SEASON_HRS_CAR*C1104*(1+DIM_CAR)^C1104</f>
        <v>2893.107493884238</v>
      </c>
      <c r="E1104" s="18">
        <f>(FARMER_FIELD_HRS+A1104*TEMP_HRS)-D1104</f>
        <v>706.892506115762</v>
      </c>
      <c r="F1104" s="21">
        <f>IF(E1104&lt;0,0,MIN(COUNTIF(Labor!$C$59:$C$88,"&lt;="&amp;E1104),MAXBED_MES,TOTAL_BEDS-B1104-C1104))</f>
        <v>13</v>
      </c>
      <c r="G1104" s="21">
        <f>B1104+C1104+F1104</f>
        <v>42</v>
      </c>
      <c r="H1104" s="22">
        <f>IF(E1104&lt;0,-999999999,B1104*(PRICE_TOM-FERT_TOM)+C1104*(PRICE_CAR-FERT_CAR)+F1104*(PRICE_MES-FERT_MES)-(FARMER_SALARY+A1104*TEMP_COST)-FIXED_COSTS)</f>
        <v>8020</v>
      </c>
    </row>
    <row r="1105">
      <c r="A1105" s="5" t="n">
        <v>2</v>
      </c>
      <c r="B1105" s="5" t="n">
        <v>10</v>
      </c>
      <c r="C1105" s="5" t="n">
        <v>0</v>
      </c>
      <c r="D1105" s="18">
        <f>SEASON_HRS_TOM*B1105*(1+DIM_TOM)^B1105+SEASON_HRS_CAR*C1105*(1+DIM_CAR)^C1105</f>
        <v>2334.368214090002</v>
      </c>
      <c r="E1105" s="18">
        <f>(FARMER_FIELD_HRS+A1105*TEMP_HRS)-D1105</f>
        <v>1265.6317859099981</v>
      </c>
      <c r="F1105" s="21">
        <f>IF(E1105&lt;0,0,MIN(COUNTIF(Labor!$C$59:$C$88,"&lt;="&amp;E1105),MAXBED_MES,TOTAL_BEDS-B1105-C1105))</f>
        <v>21</v>
      </c>
      <c r="G1105" s="21">
        <f>B1105+C1105+F1105</f>
        <v>31</v>
      </c>
      <c r="H1105" s="22">
        <f>IF(E1105&lt;0,-999999999,B1105*(PRICE_TOM-FERT_TOM)+C1105*(PRICE_CAR-FERT_CAR)+F1105*(PRICE_MES-FERT_MES)-(FARMER_SALARY+A1105*TEMP_COST)-FIXED_COSTS)</f>
        <v>-2580</v>
      </c>
    </row>
    <row r="1106">
      <c r="A1106" s="5" t="n">
        <v>2</v>
      </c>
      <c r="B1106" s="5" t="n">
        <v>10</v>
      </c>
      <c r="C1106" s="5" t="n">
        <v>1</v>
      </c>
      <c r="D1106" s="18">
        <f>SEASON_HRS_TOM*B1106*(1+DIM_TOM)^B1106+SEASON_HRS_CAR*C1106*(1+DIM_CAR)^C1106</f>
        <v>2365.118214090002</v>
      </c>
      <c r="E1106" s="18">
        <f>(FARMER_FIELD_HRS+A1106*TEMP_HRS)-D1106</f>
        <v>1234.8817859099981</v>
      </c>
      <c r="F1106" s="21">
        <f>IF(E1106&lt;0,0,MIN(COUNTIF(Labor!$C$59:$C$88,"&lt;="&amp;E1106),MAXBED_MES,TOTAL_BEDS-B1106-C1106))</f>
        <v>21</v>
      </c>
      <c r="G1106" s="21">
        <f>B1106+C1106+F1106</f>
        <v>32</v>
      </c>
      <c r="H1106" s="22">
        <f>IF(E1106&lt;0,-999999999,B1106*(PRICE_TOM-FERT_TOM)+C1106*(PRICE_CAR-FERT_CAR)+F1106*(PRICE_MES-FERT_MES)-(FARMER_SALARY+A1106*TEMP_COST)-FIXED_COSTS)</f>
        <v>-926</v>
      </c>
    </row>
    <row r="1107">
      <c r="A1107" s="5" t="n">
        <v>2</v>
      </c>
      <c r="B1107" s="5" t="n">
        <v>10</v>
      </c>
      <c r="C1107" s="5" t="n">
        <v>2</v>
      </c>
      <c r="D1107" s="18">
        <f>SEASON_HRS_TOM*B1107*(1+DIM_TOM)^B1107+SEASON_HRS_CAR*C1107*(1+DIM_CAR)^C1107</f>
        <v>2397.4057140900018</v>
      </c>
      <c r="E1107" s="18">
        <f>(FARMER_FIELD_HRS+A1107*TEMP_HRS)-D1107</f>
        <v>1202.5942859099982</v>
      </c>
      <c r="F1107" s="21">
        <f>IF(E1107&lt;0,0,MIN(COUNTIF(Labor!$C$59:$C$88,"&lt;="&amp;E1107),MAXBED_MES,TOTAL_BEDS-B1107-C1107))</f>
        <v>20</v>
      </c>
      <c r="G1107" s="21">
        <f>B1107+C1107+F1107</f>
        <v>32</v>
      </c>
      <c r="H1107" s="22">
        <f>IF(E1107&lt;0,-999999999,B1107*(PRICE_TOM-FERT_TOM)+C1107*(PRICE_CAR-FERT_CAR)+F1107*(PRICE_MES-FERT_MES)-(FARMER_SALARY+A1107*TEMP_COST)-FIXED_COSTS)</f>
        <v>-1092</v>
      </c>
    </row>
    <row r="1108">
      <c r="A1108" s="5" t="n">
        <v>2</v>
      </c>
      <c r="B1108" s="5" t="n">
        <v>10</v>
      </c>
      <c r="C1108" s="5" t="n">
        <v>3</v>
      </c>
      <c r="D1108" s="18">
        <f>SEASON_HRS_TOM*B1108*(1+DIM_TOM)^B1108+SEASON_HRS_CAR*C1108*(1+DIM_CAR)^C1108</f>
        <v>2431.2883703400016</v>
      </c>
      <c r="E1108" s="18">
        <f>(FARMER_FIELD_HRS+A1108*TEMP_HRS)-D1108</f>
        <v>1168.7116296599984</v>
      </c>
      <c r="F1108" s="21">
        <f>IF(E1108&lt;0,0,MIN(COUNTIF(Labor!$C$59:$C$88,"&lt;="&amp;E1108),MAXBED_MES,TOTAL_BEDS-B1108-C1108))</f>
        <v>20</v>
      </c>
      <c r="G1108" s="21">
        <f>B1108+C1108+F1108</f>
        <v>33</v>
      </c>
      <c r="H1108" s="22">
        <f>IF(E1108&lt;0,-999999999,B1108*(PRICE_TOM-FERT_TOM)+C1108*(PRICE_CAR-FERT_CAR)+F1108*(PRICE_MES-FERT_MES)-(FARMER_SALARY+A1108*TEMP_COST)-FIXED_COSTS)</f>
        <v>562</v>
      </c>
    </row>
    <row r="1109">
      <c r="A1109" s="5" t="n">
        <v>2</v>
      </c>
      <c r="B1109" s="5" t="n">
        <v>10</v>
      </c>
      <c r="C1109" s="5" t="n">
        <v>4</v>
      </c>
      <c r="D1109" s="18">
        <f>SEASON_HRS_TOM*B1109*(1+DIM_TOM)^B1109+SEASON_HRS_CAR*C1109*(1+DIM_CAR)^C1109</f>
        <v>2466.825760965002</v>
      </c>
      <c r="E1109" s="18">
        <f>(FARMER_FIELD_HRS+A1109*TEMP_HRS)-D1109</f>
        <v>1133.1742390349982</v>
      </c>
      <c r="F1109" s="21">
        <f>IF(E1109&lt;0,0,MIN(COUNTIF(Labor!$C$59:$C$88,"&lt;="&amp;E1109),MAXBED_MES,TOTAL_BEDS-B1109-C1109))</f>
        <v>19</v>
      </c>
      <c r="G1109" s="21">
        <f>B1109+C1109+F1109</f>
        <v>33</v>
      </c>
      <c r="H1109" s="22">
        <f>IF(E1109&lt;0,-999999999,B1109*(PRICE_TOM-FERT_TOM)+C1109*(PRICE_CAR-FERT_CAR)+F1109*(PRICE_MES-FERT_MES)-(FARMER_SALARY+A1109*TEMP_COST)-FIXED_COSTS)</f>
        <v>396</v>
      </c>
    </row>
    <row r="1110">
      <c r="A1110" s="5" t="n">
        <v>2</v>
      </c>
      <c r="B1110" s="5" t="n">
        <v>10</v>
      </c>
      <c r="C1110" s="5" t="n">
        <v>5</v>
      </c>
      <c r="D1110" s="18">
        <f>SEASON_HRS_TOM*B1110*(1+DIM_TOM)^B1110+SEASON_HRS_CAR*C1110*(1+DIM_CAR)^C1110</f>
        <v>2504.0794460235957</v>
      </c>
      <c r="E1110" s="18">
        <f>(FARMER_FIELD_HRS+A1110*TEMP_HRS)-D1110</f>
        <v>1095.9205539764043</v>
      </c>
      <c r="F1110" s="21">
        <f>IF(E1110&lt;0,0,MIN(COUNTIF(Labor!$C$59:$C$88,"&lt;="&amp;E1110),MAXBED_MES,TOTAL_BEDS-B1110-C1110))</f>
        <v>19</v>
      </c>
      <c r="G1110" s="21">
        <f>B1110+C1110+F1110</f>
        <v>34</v>
      </c>
      <c r="H1110" s="22">
        <f>IF(E1110&lt;0,-999999999,B1110*(PRICE_TOM-FERT_TOM)+C1110*(PRICE_CAR-FERT_CAR)+F1110*(PRICE_MES-FERT_MES)-(FARMER_SALARY+A1110*TEMP_COST)-FIXED_COSTS)</f>
        <v>2050</v>
      </c>
    </row>
    <row r="1111">
      <c r="A1111" s="5" t="n">
        <v>2</v>
      </c>
      <c r="B1111" s="5" t="n">
        <v>10</v>
      </c>
      <c r="C1111" s="5" t="n">
        <v>6</v>
      </c>
      <c r="D1111" s="18">
        <f>SEASON_HRS_TOM*B1111*(1+DIM_TOM)^B1111+SEASON_HRS_CAR*C1111*(1+DIM_CAR)^C1111</f>
        <v>2543.1130293683223</v>
      </c>
      <c r="E1111" s="18">
        <f>(FARMER_FIELD_HRS+A1111*TEMP_HRS)-D1111</f>
        <v>1056.8869706316777</v>
      </c>
      <c r="F1111" s="21">
        <f>IF(E1111&lt;0,0,MIN(COUNTIF(Labor!$C$59:$C$88,"&lt;="&amp;E1111),MAXBED_MES,TOTAL_BEDS-B1111-C1111))</f>
        <v>18</v>
      </c>
      <c r="G1111" s="21">
        <f>B1111+C1111+F1111</f>
        <v>34</v>
      </c>
      <c r="H1111" s="22">
        <f>IF(E1111&lt;0,-999999999,B1111*(PRICE_TOM-FERT_TOM)+C1111*(PRICE_CAR-FERT_CAR)+F1111*(PRICE_MES-FERT_MES)-(FARMER_SALARY+A1111*TEMP_COST)-FIXED_COSTS)</f>
        <v>1884</v>
      </c>
    </row>
    <row r="1112">
      <c r="A1112" s="5" t="n">
        <v>2</v>
      </c>
      <c r="B1112" s="5" t="n">
        <v>10</v>
      </c>
      <c r="C1112" s="5" t="n">
        <v>7</v>
      </c>
      <c r="D1112" s="18">
        <f>SEASON_HRS_TOM*B1112*(1+DIM_TOM)^B1112+SEASON_HRS_CAR*C1112*(1+DIM_CAR)^C1112</f>
        <v>2583.992222360326</v>
      </c>
      <c r="E1112" s="18">
        <f>(FARMER_FIELD_HRS+A1112*TEMP_HRS)-D1112</f>
        <v>1016.0077776396738</v>
      </c>
      <c r="F1112" s="21">
        <f>IF(E1112&lt;0,0,MIN(COUNTIF(Labor!$C$59:$C$88,"&lt;="&amp;E1112),MAXBED_MES,TOTAL_BEDS-B1112-C1112))</f>
        <v>18</v>
      </c>
      <c r="G1112" s="21">
        <f>B1112+C1112+F1112</f>
        <v>35</v>
      </c>
      <c r="H1112" s="22">
        <f>IF(E1112&lt;0,-999999999,B1112*(PRICE_TOM-FERT_TOM)+C1112*(PRICE_CAR-FERT_CAR)+F1112*(PRICE_MES-FERT_MES)-(FARMER_SALARY+A1112*TEMP_COST)-FIXED_COSTS)</f>
        <v>3538</v>
      </c>
    </row>
    <row r="1113">
      <c r="A1113" s="5" t="n">
        <v>2</v>
      </c>
      <c r="B1113" s="5" t="n">
        <v>10</v>
      </c>
      <c r="C1113" s="5" t="n">
        <v>8</v>
      </c>
      <c r="D1113" s="18">
        <f>SEASON_HRS_TOM*B1113*(1+DIM_TOM)^B1113+SEASON_HRS_CAR*C1113*(1+DIM_CAR)^C1113</f>
        <v>2626.784909492382</v>
      </c>
      <c r="E1113" s="18">
        <f>(FARMER_FIELD_HRS+A1113*TEMP_HRS)-D1113</f>
        <v>973.2150905076178</v>
      </c>
      <c r="F1113" s="21">
        <f>IF(E1113&lt;0,0,MIN(COUNTIF(Labor!$C$59:$C$88,"&lt;="&amp;E1113),MAXBED_MES,TOTAL_BEDS-B1113-C1113))</f>
        <v>17</v>
      </c>
      <c r="G1113" s="21">
        <f>B1113+C1113+F1113</f>
        <v>35</v>
      </c>
      <c r="H1113" s="22">
        <f>IF(E1113&lt;0,-999999999,B1113*(PRICE_TOM-FERT_TOM)+C1113*(PRICE_CAR-FERT_CAR)+F1113*(PRICE_MES-FERT_MES)-(FARMER_SALARY+A1113*TEMP_COST)-FIXED_COSTS)</f>
        <v>3372</v>
      </c>
    </row>
    <row r="1114">
      <c r="A1114" s="5" t="n">
        <v>2</v>
      </c>
      <c r="B1114" s="5" t="n">
        <v>10</v>
      </c>
      <c r="C1114" s="5" t="n">
        <v>9</v>
      </c>
      <c r="D1114" s="18">
        <f>SEASON_HRS_TOM*B1114*(1+DIM_TOM)^B1114+SEASON_HRS_CAR*C1114*(1+DIM_CAR)^C1114</f>
        <v>2671.5612159758716</v>
      </c>
      <c r="E1114" s="18">
        <f>(FARMER_FIELD_HRS+A1114*TEMP_HRS)-D1114</f>
        <v>928.4387840241284</v>
      </c>
      <c r="F1114" s="21">
        <f>IF(E1114&lt;0,0,MIN(COUNTIF(Labor!$C$59:$C$88,"&lt;="&amp;E1114),MAXBED_MES,TOTAL_BEDS-B1114-C1114))</f>
        <v>16</v>
      </c>
      <c r="G1114" s="21">
        <f>B1114+C1114+F1114</f>
        <v>35</v>
      </c>
      <c r="H1114" s="22">
        <f>IF(E1114&lt;0,-999999999,B1114*(PRICE_TOM-FERT_TOM)+C1114*(PRICE_CAR-FERT_CAR)+F1114*(PRICE_MES-FERT_MES)-(FARMER_SALARY+A1114*TEMP_COST)-FIXED_COSTS)</f>
        <v>3206</v>
      </c>
    </row>
    <row r="1115">
      <c r="A1115" s="5" t="n">
        <v>2</v>
      </c>
      <c r="B1115" s="5" t="n">
        <v>10</v>
      </c>
      <c r="C1115" s="5" t="n">
        <v>10</v>
      </c>
      <c r="D1115" s="18">
        <f>SEASON_HRS_TOM*B1115*(1+DIM_TOM)^B1115+SEASON_HRS_CAR*C1115*(1+DIM_CAR)^C1115</f>
        <v>2718.393577348909</v>
      </c>
      <c r="E1115" s="18">
        <f>(FARMER_FIELD_HRS+A1115*TEMP_HRS)-D1115</f>
        <v>881.6064226510912</v>
      </c>
      <c r="F1115" s="21">
        <f>IF(E1115&lt;0,0,MIN(COUNTIF(Labor!$C$59:$C$88,"&lt;="&amp;E1115),MAXBED_MES,TOTAL_BEDS-B1115-C1115))</f>
        <v>16</v>
      </c>
      <c r="G1115" s="21">
        <f>B1115+C1115+F1115</f>
        <v>36</v>
      </c>
      <c r="H1115" s="22">
        <f>IF(E1115&lt;0,-999999999,B1115*(PRICE_TOM-FERT_TOM)+C1115*(PRICE_CAR-FERT_CAR)+F1115*(PRICE_MES-FERT_MES)-(FARMER_SALARY+A1115*TEMP_COST)-FIXED_COSTS)</f>
        <v>4860</v>
      </c>
    </row>
    <row r="1116">
      <c r="A1116" s="5" t="n">
        <v>2</v>
      </c>
      <c r="B1116" s="5" t="n">
        <v>10</v>
      </c>
      <c r="C1116" s="5" t="n">
        <v>11</v>
      </c>
      <c r="D1116" s="18">
        <f>SEASON_HRS_TOM*B1116*(1+DIM_TOM)^B1116+SEASON_HRS_CAR*C1116*(1+DIM_CAR)^C1116</f>
        <v>2767.3568111644195</v>
      </c>
      <c r="E1116" s="18">
        <f>(FARMER_FIELD_HRS+A1116*TEMP_HRS)-D1116</f>
        <v>832.6431888355805</v>
      </c>
      <c r="F1116" s="21">
        <f>IF(E1116&lt;0,0,MIN(COUNTIF(Labor!$C$59:$C$88,"&lt;="&amp;E1116),MAXBED_MES,TOTAL_BEDS-B1116-C1116))</f>
        <v>15</v>
      </c>
      <c r="G1116" s="21">
        <f>B1116+C1116+F1116</f>
        <v>36</v>
      </c>
      <c r="H1116" s="22">
        <f>IF(E1116&lt;0,-999999999,B1116*(PRICE_TOM-FERT_TOM)+C1116*(PRICE_CAR-FERT_CAR)+F1116*(PRICE_MES-FERT_MES)-(FARMER_SALARY+A1116*TEMP_COST)-FIXED_COSTS)</f>
        <v>4694</v>
      </c>
    </row>
    <row r="1117">
      <c r="A1117" s="5" t="n">
        <v>2</v>
      </c>
      <c r="B1117" s="5" t="n">
        <v>10</v>
      </c>
      <c r="C1117" s="5" t="n">
        <v>12</v>
      </c>
      <c r="D1117" s="18">
        <f>SEASON_HRS_TOM*B1117*(1+DIM_TOM)^B1117+SEASON_HRS_CAR*C1117*(1+DIM_CAR)^C1117</f>
        <v>2818.528190818669</v>
      </c>
      <c r="E1117" s="18">
        <f>(FARMER_FIELD_HRS+A1117*TEMP_HRS)-D1117</f>
        <v>781.4718091813311</v>
      </c>
      <c r="F1117" s="21">
        <f>IF(E1117&lt;0,0,MIN(COUNTIF(Labor!$C$59:$C$88,"&lt;="&amp;E1117),MAXBED_MES,TOTAL_BEDS-B1117-C1117))</f>
        <v>14</v>
      </c>
      <c r="G1117" s="21">
        <f>B1117+C1117+F1117</f>
        <v>36</v>
      </c>
      <c r="H1117" s="22">
        <f>IF(E1117&lt;0,-999999999,B1117*(PRICE_TOM-FERT_TOM)+C1117*(PRICE_CAR-FERT_CAR)+F1117*(PRICE_MES-FERT_MES)-(FARMER_SALARY+A1117*TEMP_COST)-FIXED_COSTS)</f>
        <v>4528</v>
      </c>
    </row>
    <row r="1118">
      <c r="A1118" s="5" t="n">
        <v>2</v>
      </c>
      <c r="B1118" s="5" t="n">
        <v>10</v>
      </c>
      <c r="C1118" s="5" t="n">
        <v>13</v>
      </c>
      <c r="D1118" s="18">
        <f>SEASON_HRS_TOM*B1118*(1+DIM_TOM)^B1118+SEASON_HRS_CAR*C1118*(1+DIM_CAR)^C1118</f>
        <v>2871.987521582459</v>
      </c>
      <c r="E1118" s="18">
        <f>(FARMER_FIELD_HRS+A1118*TEMP_HRS)-D1118</f>
        <v>728.0124784175409</v>
      </c>
      <c r="F1118" s="21">
        <f>IF(E1118&lt;0,0,MIN(COUNTIF(Labor!$C$59:$C$88,"&lt;="&amp;E1118),MAXBED_MES,TOTAL_BEDS-B1118-C1118))</f>
        <v>13</v>
      </c>
      <c r="G1118" s="21">
        <f>B1118+C1118+F1118</f>
        <v>36</v>
      </c>
      <c r="H1118" s="22">
        <f>IF(E1118&lt;0,-999999999,B1118*(PRICE_TOM-FERT_TOM)+C1118*(PRICE_CAR-FERT_CAR)+F1118*(PRICE_MES-FERT_MES)-(FARMER_SALARY+A1118*TEMP_COST)-FIXED_COSTS)</f>
        <v>4362</v>
      </c>
    </row>
    <row r="1119">
      <c r="A1119" s="5" t="n">
        <v>2</v>
      </c>
      <c r="B1119" s="5" t="n">
        <v>10</v>
      </c>
      <c r="C1119" s="5" t="n">
        <v>14</v>
      </c>
      <c r="D1119" s="18">
        <f>SEASON_HRS_TOM*B1119*(1+DIM_TOM)^B1119+SEASON_HRS_CAR*C1119*(1+DIM_CAR)^C1119</f>
        <v>2927.8172188989834</v>
      </c>
      <c r="E1119" s="18">
        <f>(FARMER_FIELD_HRS+A1119*TEMP_HRS)-D1119</f>
        <v>672.1827811010166</v>
      </c>
      <c r="F1119" s="21">
        <f>IF(E1119&lt;0,0,MIN(COUNTIF(Labor!$C$59:$C$88,"&lt;="&amp;E1119),MAXBED_MES,TOTAL_BEDS-B1119-C1119))</f>
        <v>12</v>
      </c>
      <c r="G1119" s="21">
        <f>B1119+C1119+F1119</f>
        <v>36</v>
      </c>
      <c r="H1119" s="22">
        <f>IF(E1119&lt;0,-999999999,B1119*(PRICE_TOM-FERT_TOM)+C1119*(PRICE_CAR-FERT_CAR)+F1119*(PRICE_MES-FERT_MES)-(FARMER_SALARY+A1119*TEMP_COST)-FIXED_COSTS)</f>
        <v>4196</v>
      </c>
    </row>
    <row r="1120">
      <c r="A1120" s="5" t="n">
        <v>2</v>
      </c>
      <c r="B1120" s="5" t="n">
        <v>10</v>
      </c>
      <c r="C1120" s="5" t="n">
        <v>15</v>
      </c>
      <c r="D1120" s="18">
        <f>SEASON_HRS_TOM*B1120*(1+DIM_TOM)^B1120+SEASON_HRS_CAR*C1120*(1+DIM_CAR)^C1120</f>
        <v>2986.1023890141514</v>
      </c>
      <c r="E1120" s="18">
        <f>(FARMER_FIELD_HRS+A1120*TEMP_HRS)-D1120</f>
        <v>613.8976109858486</v>
      </c>
      <c r="F1120" s="21">
        <f>IF(E1120&lt;0,0,MIN(COUNTIF(Labor!$C$59:$C$88,"&lt;="&amp;E1120),MAXBED_MES,TOTAL_BEDS-B1120-C1120))</f>
        <v>11</v>
      </c>
      <c r="G1120" s="21">
        <f>B1120+C1120+F1120</f>
        <v>36</v>
      </c>
      <c r="H1120" s="22">
        <f>IF(E1120&lt;0,-999999999,B1120*(PRICE_TOM-FERT_TOM)+C1120*(PRICE_CAR-FERT_CAR)+F1120*(PRICE_MES-FERT_MES)-(FARMER_SALARY+A1120*TEMP_COST)-FIXED_COSTS)</f>
        <v>4030</v>
      </c>
    </row>
    <row r="1121">
      <c r="A1121" s="5" t="n">
        <v>2</v>
      </c>
      <c r="B1121" s="5" t="n">
        <v>10</v>
      </c>
      <c r="C1121" s="5" t="n">
        <v>16</v>
      </c>
      <c r="D1121" s="18">
        <f>SEASON_HRS_TOM*B1121*(1+DIM_TOM)^B1121+SEASON_HRS_CAR*C1121*(1+DIM_CAR)^C1121</f>
        <v>3046.9309120070716</v>
      </c>
      <c r="E1121" s="18">
        <f>(FARMER_FIELD_HRS+A1121*TEMP_HRS)-D1121</f>
        <v>553.0690879929284</v>
      </c>
      <c r="F1121" s="21">
        <f>IF(E1121&lt;0,0,MIN(COUNTIF(Labor!$C$59:$C$88,"&lt;="&amp;E1121),MAXBED_MES,TOTAL_BEDS-B1121-C1121))</f>
        <v>10</v>
      </c>
      <c r="G1121" s="21">
        <f>B1121+C1121+F1121</f>
        <v>36</v>
      </c>
      <c r="H1121" s="22">
        <f>IF(E1121&lt;0,-999999999,B1121*(PRICE_TOM-FERT_TOM)+C1121*(PRICE_CAR-FERT_CAR)+F1121*(PRICE_MES-FERT_MES)-(FARMER_SALARY+A1121*TEMP_COST)-FIXED_COSTS)</f>
        <v>3864</v>
      </c>
    </row>
    <row r="1122">
      <c r="A1122" s="5" t="n">
        <v>2</v>
      </c>
      <c r="B1122" s="5" t="n">
        <v>10</v>
      </c>
      <c r="C1122" s="5" t="n">
        <v>17</v>
      </c>
      <c r="D1122" s="18">
        <f>SEASON_HRS_TOM*B1122*(1+DIM_TOM)^B1122+SEASON_HRS_CAR*C1122*(1+DIM_CAR)^C1122</f>
        <v>3110.393527290311</v>
      </c>
      <c r="E1122" s="18">
        <f>(FARMER_FIELD_HRS+A1122*TEMP_HRS)-D1122</f>
        <v>489.6064727096891</v>
      </c>
      <c r="F1122" s="21">
        <f>IF(E1122&lt;0,0,MIN(COUNTIF(Labor!$C$59:$C$88,"&lt;="&amp;E1122),MAXBED_MES,TOTAL_BEDS-B1122-C1122))</f>
        <v>9</v>
      </c>
      <c r="G1122" s="21">
        <f>B1122+C1122+F1122</f>
        <v>36</v>
      </c>
      <c r="H1122" s="22">
        <f>IF(E1122&lt;0,-999999999,B1122*(PRICE_TOM-FERT_TOM)+C1122*(PRICE_CAR-FERT_CAR)+F1122*(PRICE_MES-FERT_MES)-(FARMER_SALARY+A1122*TEMP_COST)-FIXED_COSTS)</f>
        <v>3698</v>
      </c>
    </row>
    <row r="1123">
      <c r="A1123" s="5" t="n">
        <v>2</v>
      </c>
      <c r="B1123" s="5" t="n">
        <v>10</v>
      </c>
      <c r="C1123" s="5" t="n">
        <v>18</v>
      </c>
      <c r="D1123" s="18">
        <f>SEASON_HRS_TOM*B1123*(1+DIM_TOM)^B1123+SEASON_HRS_CAR*C1123*(1+DIM_CAR)^C1123</f>
        <v>3176.5839216515133</v>
      </c>
      <c r="E1123" s="18">
        <f>(FARMER_FIELD_HRS+A1123*TEMP_HRS)-D1123</f>
        <v>423.41607834848674</v>
      </c>
      <c r="F1123" s="21">
        <f>IF(E1123&lt;0,0,MIN(COUNTIF(Labor!$C$59:$C$88,"&lt;="&amp;E1123),MAXBED_MES,TOTAL_BEDS-B1123-C1123))</f>
        <v>8</v>
      </c>
      <c r="G1123" s="21">
        <f>B1123+C1123+F1123</f>
        <v>36</v>
      </c>
      <c r="H1123" s="22">
        <f>IF(E1123&lt;0,-999999999,B1123*(PRICE_TOM-FERT_TOM)+C1123*(PRICE_CAR-FERT_CAR)+F1123*(PRICE_MES-FERT_MES)-(FARMER_SALARY+A1123*TEMP_COST)-FIXED_COSTS)</f>
        <v>3532</v>
      </c>
    </row>
    <row r="1124">
      <c r="A1124" s="5" t="n">
        <v>2</v>
      </c>
      <c r="B1124" s="5" t="n">
        <v>10</v>
      </c>
      <c r="C1124" s="5" t="n">
        <v>19</v>
      </c>
      <c r="D1124" s="18">
        <f>SEASON_HRS_TOM*B1124*(1+DIM_TOM)^B1124+SEASON_HRS_CAR*C1124*(1+DIM_CAR)^C1124</f>
        <v>3245.598819910026</v>
      </c>
      <c r="E1124" s="18">
        <f>(FARMER_FIELD_HRS+A1124*TEMP_HRS)-D1124</f>
        <v>354.4011800899739</v>
      </c>
      <c r="F1124" s="21">
        <f>IF(E1124&lt;0,0,MIN(COUNTIF(Labor!$C$59:$C$88,"&lt;="&amp;E1124),MAXBED_MES,TOTAL_BEDS-B1124-C1124))</f>
        <v>7</v>
      </c>
      <c r="G1124" s="21">
        <f>B1124+C1124+F1124</f>
        <v>36</v>
      </c>
      <c r="H1124" s="22">
        <f>IF(E1124&lt;0,-999999999,B1124*(PRICE_TOM-FERT_TOM)+C1124*(PRICE_CAR-FERT_CAR)+F1124*(PRICE_MES-FERT_MES)-(FARMER_SALARY+A1124*TEMP_COST)-FIXED_COSTS)</f>
        <v>3366</v>
      </c>
    </row>
    <row r="1125">
      <c r="A1125" s="5" t="n">
        <v>2</v>
      </c>
      <c r="B1125" s="5" t="n">
        <v>10</v>
      </c>
      <c r="C1125" s="5" t="n">
        <v>20</v>
      </c>
      <c r="D1125" s="18">
        <f>SEASON_HRS_TOM*B1125*(1+DIM_TOM)^B1125+SEASON_HRS_CAR*C1125*(1+DIM_CAR)^C1125</f>
        <v>3317.5380782642383</v>
      </c>
      <c r="E1125" s="18">
        <f>(FARMER_FIELD_HRS+A1125*TEMP_HRS)-D1125</f>
        <v>282.46192173576173</v>
      </c>
      <c r="F1125" s="21">
        <f>IF(E1125&lt;0,0,MIN(COUNTIF(Labor!$C$59:$C$88,"&lt;="&amp;E1125),MAXBED_MES,TOTAL_BEDS-B1125-C1125))</f>
        <v>5</v>
      </c>
      <c r="G1125" s="21">
        <f>B1125+C1125+F1125</f>
        <v>35</v>
      </c>
      <c r="H1125" s="22">
        <f>IF(E1125&lt;0,-999999999,B1125*(PRICE_TOM-FERT_TOM)+C1125*(PRICE_CAR-FERT_CAR)+F1125*(PRICE_MES-FERT_MES)-(FARMER_SALARY+A1125*TEMP_COST)-FIXED_COSTS)</f>
        <v>1380</v>
      </c>
    </row>
    <row r="1126">
      <c r="A1126" s="5" t="n">
        <v>2</v>
      </c>
      <c r="B1126" s="5" t="n">
        <v>11</v>
      </c>
      <c r="C1126" s="5" t="n">
        <v>0</v>
      </c>
      <c r="D1126" s="18">
        <f>SEASON_HRS_TOM*B1126*(1+DIM_TOM)^B1126+SEASON_HRS_CAR*C1126*(1+DIM_CAR)^C1126</f>
        <v>2824.5855390489023</v>
      </c>
      <c r="E1126" s="18">
        <f>(FARMER_FIELD_HRS+A1126*TEMP_HRS)-D1126</f>
        <v>775.4144609510977</v>
      </c>
      <c r="F1126" s="21">
        <f>IF(E1126&lt;0,0,MIN(COUNTIF(Labor!$C$59:$C$88,"&lt;="&amp;E1126),MAXBED_MES,TOTAL_BEDS-B1126-C1126))</f>
        <v>14</v>
      </c>
      <c r="G1126" s="21">
        <f>B1126+C1126+F1126</f>
        <v>25</v>
      </c>
      <c r="H1126" s="22">
        <f>IF(E1126&lt;0,-999999999,B1126*(PRICE_TOM-FERT_TOM)+C1126*(PRICE_CAR-FERT_CAR)+F1126*(PRICE_MES-FERT_MES)-(FARMER_SALARY+A1126*TEMP_COST)-FIXED_COSTS)</f>
        <v>-7400</v>
      </c>
    </row>
    <row r="1127">
      <c r="A1127" s="5" t="n">
        <v>2</v>
      </c>
      <c r="B1127" s="5" t="n">
        <v>11</v>
      </c>
      <c r="C1127" s="5" t="n">
        <v>1</v>
      </c>
      <c r="D1127" s="18">
        <f>SEASON_HRS_TOM*B1127*(1+DIM_TOM)^B1127+SEASON_HRS_CAR*C1127*(1+DIM_CAR)^C1127</f>
        <v>2855.3355390489023</v>
      </c>
      <c r="E1127" s="18">
        <f>(FARMER_FIELD_HRS+A1127*TEMP_HRS)-D1127</f>
        <v>744.6644609510977</v>
      </c>
      <c r="F1127" s="21">
        <f>IF(E1127&lt;0,0,MIN(COUNTIF(Labor!$C$59:$C$88,"&lt;="&amp;E1127),MAXBED_MES,TOTAL_BEDS-B1127-C1127))</f>
        <v>13</v>
      </c>
      <c r="G1127" s="21">
        <f>B1127+C1127+F1127</f>
        <v>25</v>
      </c>
      <c r="H1127" s="22">
        <f>IF(E1127&lt;0,-999999999,B1127*(PRICE_TOM-FERT_TOM)+C1127*(PRICE_CAR-FERT_CAR)+F1127*(PRICE_MES-FERT_MES)-(FARMER_SALARY+A1127*TEMP_COST)-FIXED_COSTS)</f>
        <v>-7566</v>
      </c>
    </row>
    <row r="1128">
      <c r="A1128" s="5" t="n">
        <v>2</v>
      </c>
      <c r="B1128" s="5" t="n">
        <v>11</v>
      </c>
      <c r="C1128" s="5" t="n">
        <v>2</v>
      </c>
      <c r="D1128" s="18">
        <f>SEASON_HRS_TOM*B1128*(1+DIM_TOM)^B1128+SEASON_HRS_CAR*C1128*(1+DIM_CAR)^C1128</f>
        <v>2887.6230390489022</v>
      </c>
      <c r="E1128" s="18">
        <f>(FARMER_FIELD_HRS+A1128*TEMP_HRS)-D1128</f>
        <v>712.3769609510978</v>
      </c>
      <c r="F1128" s="21">
        <f>IF(E1128&lt;0,0,MIN(COUNTIF(Labor!$C$59:$C$88,"&lt;="&amp;E1128),MAXBED_MES,TOTAL_BEDS-B1128-C1128))</f>
        <v>13</v>
      </c>
      <c r="G1128" s="21">
        <f>B1128+C1128+F1128</f>
        <v>26</v>
      </c>
      <c r="H1128" s="22">
        <f>IF(E1128&lt;0,-999999999,B1128*(PRICE_TOM-FERT_TOM)+C1128*(PRICE_CAR-FERT_CAR)+F1128*(PRICE_MES-FERT_MES)-(FARMER_SALARY+A1128*TEMP_COST)-FIXED_COSTS)</f>
        <v>-5912</v>
      </c>
    </row>
    <row r="1129">
      <c r="A1129" s="5" t="n">
        <v>2</v>
      </c>
      <c r="B1129" s="5" t="n">
        <v>11</v>
      </c>
      <c r="C1129" s="5" t="n">
        <v>3</v>
      </c>
      <c r="D1129" s="18">
        <f>SEASON_HRS_TOM*B1129*(1+DIM_TOM)^B1129+SEASON_HRS_CAR*C1129*(1+DIM_CAR)^C1129</f>
        <v>2921.505695298902</v>
      </c>
      <c r="E1129" s="18">
        <f>(FARMER_FIELD_HRS+A1129*TEMP_HRS)-D1129</f>
        <v>678.4943047010979</v>
      </c>
      <c r="F1129" s="21">
        <f>IF(E1129&lt;0,0,MIN(COUNTIF(Labor!$C$59:$C$88,"&lt;="&amp;E1129),MAXBED_MES,TOTAL_BEDS-B1129-C1129))</f>
        <v>12</v>
      </c>
      <c r="G1129" s="21">
        <f>B1129+C1129+F1129</f>
        <v>26</v>
      </c>
      <c r="H1129" s="22">
        <f>IF(E1129&lt;0,-999999999,B1129*(PRICE_TOM-FERT_TOM)+C1129*(PRICE_CAR-FERT_CAR)+F1129*(PRICE_MES-FERT_MES)-(FARMER_SALARY+A1129*TEMP_COST)-FIXED_COSTS)</f>
        <v>-6078</v>
      </c>
    </row>
    <row r="1130">
      <c r="A1130" s="5" t="n">
        <v>2</v>
      </c>
      <c r="B1130" s="5" t="n">
        <v>11</v>
      </c>
      <c r="C1130" s="5" t="n">
        <v>4</v>
      </c>
      <c r="D1130" s="18">
        <f>SEASON_HRS_TOM*B1130*(1+DIM_TOM)^B1130+SEASON_HRS_CAR*C1130*(1+DIM_CAR)^C1130</f>
        <v>2957.0430859239023</v>
      </c>
      <c r="E1130" s="18">
        <f>(FARMER_FIELD_HRS+A1130*TEMP_HRS)-D1130</f>
        <v>642.9569140760977</v>
      </c>
      <c r="F1130" s="21">
        <f>IF(E1130&lt;0,0,MIN(COUNTIF(Labor!$C$59:$C$88,"&lt;="&amp;E1130),MAXBED_MES,TOTAL_BEDS-B1130-C1130))</f>
        <v>12</v>
      </c>
      <c r="G1130" s="21">
        <f>B1130+C1130+F1130</f>
        <v>27</v>
      </c>
      <c r="H1130" s="22">
        <f>IF(E1130&lt;0,-999999999,B1130*(PRICE_TOM-FERT_TOM)+C1130*(PRICE_CAR-FERT_CAR)+F1130*(PRICE_MES-FERT_MES)-(FARMER_SALARY+A1130*TEMP_COST)-FIXED_COSTS)</f>
        <v>-4424</v>
      </c>
    </row>
    <row r="1131">
      <c r="A1131" s="5" t="n">
        <v>2</v>
      </c>
      <c r="B1131" s="5" t="n">
        <v>11</v>
      </c>
      <c r="C1131" s="5" t="n">
        <v>5</v>
      </c>
      <c r="D1131" s="18">
        <f>SEASON_HRS_TOM*B1131*(1+DIM_TOM)^B1131+SEASON_HRS_CAR*C1131*(1+DIM_CAR)^C1131</f>
        <v>2994.296770982496</v>
      </c>
      <c r="E1131" s="18">
        <f>(FARMER_FIELD_HRS+A1131*TEMP_HRS)-D1131</f>
        <v>605.7032290175039</v>
      </c>
      <c r="F1131" s="21">
        <f>IF(E1131&lt;0,0,MIN(COUNTIF(Labor!$C$59:$C$88,"&lt;="&amp;E1131),MAXBED_MES,TOTAL_BEDS-B1131-C1131))</f>
        <v>11</v>
      </c>
      <c r="G1131" s="21">
        <f>B1131+C1131+F1131</f>
        <v>27</v>
      </c>
      <c r="H1131" s="22">
        <f>IF(E1131&lt;0,-999999999,B1131*(PRICE_TOM-FERT_TOM)+C1131*(PRICE_CAR-FERT_CAR)+F1131*(PRICE_MES-FERT_MES)-(FARMER_SALARY+A1131*TEMP_COST)-FIXED_COSTS)</f>
        <v>-4590</v>
      </c>
    </row>
    <row r="1132">
      <c r="A1132" s="5" t="n">
        <v>2</v>
      </c>
      <c r="B1132" s="5" t="n">
        <v>11</v>
      </c>
      <c r="C1132" s="5" t="n">
        <v>6</v>
      </c>
      <c r="D1132" s="18">
        <f>SEASON_HRS_TOM*B1132*(1+DIM_TOM)^B1132+SEASON_HRS_CAR*C1132*(1+DIM_CAR)^C1132</f>
        <v>3033.3303543272227</v>
      </c>
      <c r="E1132" s="18">
        <f>(FARMER_FIELD_HRS+A1132*TEMP_HRS)-D1132</f>
        <v>566.6696456727773</v>
      </c>
      <c r="F1132" s="21">
        <f>IF(E1132&lt;0,0,MIN(COUNTIF(Labor!$C$59:$C$88,"&lt;="&amp;E1132),MAXBED_MES,TOTAL_BEDS-B1132-C1132))</f>
        <v>10</v>
      </c>
      <c r="G1132" s="21">
        <f>B1132+C1132+F1132</f>
        <v>27</v>
      </c>
      <c r="H1132" s="22">
        <f>IF(E1132&lt;0,-999999999,B1132*(PRICE_TOM-FERT_TOM)+C1132*(PRICE_CAR-FERT_CAR)+F1132*(PRICE_MES-FERT_MES)-(FARMER_SALARY+A1132*TEMP_COST)-FIXED_COSTS)</f>
        <v>-4756</v>
      </c>
    </row>
    <row r="1133">
      <c r="A1133" s="5" t="n">
        <v>2</v>
      </c>
      <c r="B1133" s="5" t="n">
        <v>11</v>
      </c>
      <c r="C1133" s="5" t="n">
        <v>7</v>
      </c>
      <c r="D1133" s="18">
        <f>SEASON_HRS_TOM*B1133*(1+DIM_TOM)^B1133+SEASON_HRS_CAR*C1133*(1+DIM_CAR)^C1133</f>
        <v>3074.2095473192267</v>
      </c>
      <c r="E1133" s="18">
        <f>(FARMER_FIELD_HRS+A1133*TEMP_HRS)-D1133</f>
        <v>525.7904526807733</v>
      </c>
      <c r="F1133" s="21">
        <f>IF(E1133&lt;0,0,MIN(COUNTIF(Labor!$C$59:$C$88,"&lt;="&amp;E1133),MAXBED_MES,TOTAL_BEDS-B1133-C1133))</f>
        <v>10</v>
      </c>
      <c r="G1133" s="21">
        <f>B1133+C1133+F1133</f>
        <v>28</v>
      </c>
      <c r="H1133" s="22">
        <f>IF(E1133&lt;0,-999999999,B1133*(PRICE_TOM-FERT_TOM)+C1133*(PRICE_CAR-FERT_CAR)+F1133*(PRICE_MES-FERT_MES)-(FARMER_SALARY+A1133*TEMP_COST)-FIXED_COSTS)</f>
        <v>-3102</v>
      </c>
    </row>
    <row r="1134">
      <c r="A1134" s="5" t="n">
        <v>2</v>
      </c>
      <c r="B1134" s="5" t="n">
        <v>11</v>
      </c>
      <c r="C1134" s="5" t="n">
        <v>8</v>
      </c>
      <c r="D1134" s="18">
        <f>SEASON_HRS_TOM*B1134*(1+DIM_TOM)^B1134+SEASON_HRS_CAR*C1134*(1+DIM_CAR)^C1134</f>
        <v>3117.0022344512827</v>
      </c>
      <c r="E1134" s="18">
        <f>(FARMER_FIELD_HRS+A1134*TEMP_HRS)-D1134</f>
        <v>482.9977655487173</v>
      </c>
      <c r="F1134" s="21">
        <f>IF(E1134&lt;0,0,MIN(COUNTIF(Labor!$C$59:$C$88,"&lt;="&amp;E1134),MAXBED_MES,TOTAL_BEDS-B1134-C1134))</f>
        <v>9</v>
      </c>
      <c r="G1134" s="21">
        <f>B1134+C1134+F1134</f>
        <v>28</v>
      </c>
      <c r="H1134" s="22">
        <f>IF(E1134&lt;0,-999999999,B1134*(PRICE_TOM-FERT_TOM)+C1134*(PRICE_CAR-FERT_CAR)+F1134*(PRICE_MES-FERT_MES)-(FARMER_SALARY+A1134*TEMP_COST)-FIXED_COSTS)</f>
        <v>-3268</v>
      </c>
    </row>
    <row r="1135">
      <c r="A1135" s="5" t="n">
        <v>2</v>
      </c>
      <c r="B1135" s="5" t="n">
        <v>11</v>
      </c>
      <c r="C1135" s="5" t="n">
        <v>9</v>
      </c>
      <c r="D1135" s="18">
        <f>SEASON_HRS_TOM*B1135*(1+DIM_TOM)^B1135+SEASON_HRS_CAR*C1135*(1+DIM_CAR)^C1135</f>
        <v>3161.778540934772</v>
      </c>
      <c r="E1135" s="18">
        <f>(FARMER_FIELD_HRS+A1135*TEMP_HRS)-D1135</f>
        <v>438.2214590652279</v>
      </c>
      <c r="F1135" s="21">
        <f>IF(E1135&lt;0,0,MIN(COUNTIF(Labor!$C$59:$C$88,"&lt;="&amp;E1135),MAXBED_MES,TOTAL_BEDS-B1135-C1135))</f>
        <v>8</v>
      </c>
      <c r="G1135" s="21">
        <f>B1135+C1135+F1135</f>
        <v>28</v>
      </c>
      <c r="H1135" s="22">
        <f>IF(E1135&lt;0,-999999999,B1135*(PRICE_TOM-FERT_TOM)+C1135*(PRICE_CAR-FERT_CAR)+F1135*(PRICE_MES-FERT_MES)-(FARMER_SALARY+A1135*TEMP_COST)-FIXED_COSTS)</f>
        <v>-3434</v>
      </c>
    </row>
    <row r="1136">
      <c r="A1136" s="5" t="n">
        <v>2</v>
      </c>
      <c r="B1136" s="5" t="n">
        <v>11</v>
      </c>
      <c r="C1136" s="5" t="n">
        <v>10</v>
      </c>
      <c r="D1136" s="18">
        <f>SEASON_HRS_TOM*B1136*(1+DIM_TOM)^B1136+SEASON_HRS_CAR*C1136*(1+DIM_CAR)^C1136</f>
        <v>3208.6109023078093</v>
      </c>
      <c r="E1136" s="18">
        <f>(FARMER_FIELD_HRS+A1136*TEMP_HRS)-D1136</f>
        <v>391.3890976921907</v>
      </c>
      <c r="F1136" s="21">
        <f>IF(E1136&lt;0,0,MIN(COUNTIF(Labor!$C$59:$C$88,"&lt;="&amp;E1136),MAXBED_MES,TOTAL_BEDS-B1136-C1136))</f>
        <v>7</v>
      </c>
      <c r="G1136" s="21">
        <f>B1136+C1136+F1136</f>
        <v>28</v>
      </c>
      <c r="H1136" s="22">
        <f>IF(E1136&lt;0,-999999999,B1136*(PRICE_TOM-FERT_TOM)+C1136*(PRICE_CAR-FERT_CAR)+F1136*(PRICE_MES-FERT_MES)-(FARMER_SALARY+A1136*TEMP_COST)-FIXED_COSTS)</f>
        <v>-3600</v>
      </c>
    </row>
    <row r="1137">
      <c r="A1137" s="5" t="n">
        <v>2</v>
      </c>
      <c r="B1137" s="5" t="n">
        <v>11</v>
      </c>
      <c r="C1137" s="5" t="n">
        <v>11</v>
      </c>
      <c r="D1137" s="18">
        <f>SEASON_HRS_TOM*B1137*(1+DIM_TOM)^B1137+SEASON_HRS_CAR*C1137*(1+DIM_CAR)^C1137</f>
        <v>3257.57413612332</v>
      </c>
      <c r="E1137" s="18">
        <f>(FARMER_FIELD_HRS+A1137*TEMP_HRS)-D1137</f>
        <v>342.42586387668007</v>
      </c>
      <c r="F1137" s="21">
        <f>IF(E1137&lt;0,0,MIN(COUNTIF(Labor!$C$59:$C$88,"&lt;="&amp;E1137),MAXBED_MES,TOTAL_BEDS-B1137-C1137))</f>
        <v>6</v>
      </c>
      <c r="G1137" s="21">
        <f>B1137+C1137+F1137</f>
        <v>28</v>
      </c>
      <c r="H1137" s="22">
        <f>IF(E1137&lt;0,-999999999,B1137*(PRICE_TOM-FERT_TOM)+C1137*(PRICE_CAR-FERT_CAR)+F1137*(PRICE_MES-FERT_MES)-(FARMER_SALARY+A1137*TEMP_COST)-FIXED_COSTS)</f>
        <v>-3766</v>
      </c>
    </row>
    <row r="1138">
      <c r="A1138" s="5" t="n">
        <v>2</v>
      </c>
      <c r="B1138" s="5" t="n">
        <v>11</v>
      </c>
      <c r="C1138" s="5" t="n">
        <v>12</v>
      </c>
      <c r="D1138" s="18">
        <f>SEASON_HRS_TOM*B1138*(1+DIM_TOM)^B1138+SEASON_HRS_CAR*C1138*(1+DIM_CAR)^C1138</f>
        <v>3308.7455157775694</v>
      </c>
      <c r="E1138" s="18">
        <f>(FARMER_FIELD_HRS+A1138*TEMP_HRS)-D1138</f>
        <v>291.2544842224306</v>
      </c>
      <c r="F1138" s="21">
        <f>IF(E1138&lt;0,0,MIN(COUNTIF(Labor!$C$59:$C$88,"&lt;="&amp;E1138),MAXBED_MES,TOTAL_BEDS-B1138-C1138))</f>
        <v>6</v>
      </c>
      <c r="G1138" s="21">
        <f>B1138+C1138+F1138</f>
        <v>29</v>
      </c>
      <c r="H1138" s="22">
        <f>IF(E1138&lt;0,-999999999,B1138*(PRICE_TOM-FERT_TOM)+C1138*(PRICE_CAR-FERT_CAR)+F1138*(PRICE_MES-FERT_MES)-(FARMER_SALARY+A1138*TEMP_COST)-FIXED_COSTS)</f>
        <v>-2112</v>
      </c>
    </row>
    <row r="1139">
      <c r="A1139" s="5" t="n">
        <v>2</v>
      </c>
      <c r="B1139" s="5" t="n">
        <v>11</v>
      </c>
      <c r="C1139" s="5" t="n">
        <v>13</v>
      </c>
      <c r="D1139" s="18">
        <f>SEASON_HRS_TOM*B1139*(1+DIM_TOM)^B1139+SEASON_HRS_CAR*C1139*(1+DIM_CAR)^C1139</f>
        <v>3362.2048465413595</v>
      </c>
      <c r="E1139" s="18">
        <f>(FARMER_FIELD_HRS+A1139*TEMP_HRS)-D1139</f>
        <v>237.79515345864047</v>
      </c>
      <c r="F1139" s="21">
        <f>IF(E1139&lt;0,0,MIN(COUNTIF(Labor!$C$59:$C$88,"&lt;="&amp;E1139),MAXBED_MES,TOTAL_BEDS-B1139-C1139))</f>
        <v>4</v>
      </c>
      <c r="G1139" s="21">
        <f>B1139+C1139+F1139</f>
        <v>28</v>
      </c>
      <c r="H1139" s="22">
        <f>IF(E1139&lt;0,-999999999,B1139*(PRICE_TOM-FERT_TOM)+C1139*(PRICE_CAR-FERT_CAR)+F1139*(PRICE_MES-FERT_MES)-(FARMER_SALARY+A1139*TEMP_COST)-FIXED_COSTS)</f>
        <v>-4098</v>
      </c>
    </row>
    <row r="1140">
      <c r="A1140" s="5" t="n">
        <v>2</v>
      </c>
      <c r="B1140" s="5" t="n">
        <v>11</v>
      </c>
      <c r="C1140" s="5" t="n">
        <v>14</v>
      </c>
      <c r="D1140" s="18">
        <f>SEASON_HRS_TOM*B1140*(1+DIM_TOM)^B1140+SEASON_HRS_CAR*C1140*(1+DIM_CAR)^C1140</f>
        <v>3418.034543857884</v>
      </c>
      <c r="E1140" s="18">
        <f>(FARMER_FIELD_HRS+A1140*TEMP_HRS)-D1140</f>
        <v>181.96545614211618</v>
      </c>
      <c r="F1140" s="21">
        <f>IF(E1140&lt;0,0,MIN(COUNTIF(Labor!$C$59:$C$88,"&lt;="&amp;E1140),MAXBED_MES,TOTAL_BEDS-B1140-C1140))</f>
        <v>3</v>
      </c>
      <c r="G1140" s="21">
        <f>B1140+C1140+F1140</f>
        <v>28</v>
      </c>
      <c r="H1140" s="22">
        <f>IF(E1140&lt;0,-999999999,B1140*(PRICE_TOM-FERT_TOM)+C1140*(PRICE_CAR-FERT_CAR)+F1140*(PRICE_MES-FERT_MES)-(FARMER_SALARY+A1140*TEMP_COST)-FIXED_COSTS)</f>
        <v>-4264</v>
      </c>
    </row>
    <row r="1141">
      <c r="A1141" s="5" t="n">
        <v>2</v>
      </c>
      <c r="B1141" s="5" t="n">
        <v>11</v>
      </c>
      <c r="C1141" s="5" t="n">
        <v>15</v>
      </c>
      <c r="D1141" s="18">
        <f>SEASON_HRS_TOM*B1141*(1+DIM_TOM)^B1141+SEASON_HRS_CAR*C1141*(1+DIM_CAR)^C1141</f>
        <v>3476.319713973052</v>
      </c>
      <c r="E1141" s="18">
        <f>(FARMER_FIELD_HRS+A1141*TEMP_HRS)-D1141</f>
        <v>123.68028602694812</v>
      </c>
      <c r="F1141" s="21">
        <f>IF(E1141&lt;0,0,MIN(COUNTIF(Labor!$C$59:$C$88,"&lt;="&amp;E1141),MAXBED_MES,TOTAL_BEDS-B1141-C1141))</f>
        <v>2</v>
      </c>
      <c r="G1141" s="21">
        <f>B1141+C1141+F1141</f>
        <v>28</v>
      </c>
      <c r="H1141" s="22">
        <f>IF(E1141&lt;0,-999999999,B1141*(PRICE_TOM-FERT_TOM)+C1141*(PRICE_CAR-FERT_CAR)+F1141*(PRICE_MES-FERT_MES)-(FARMER_SALARY+A1141*TEMP_COST)-FIXED_COSTS)</f>
        <v>-4430</v>
      </c>
    </row>
    <row r="1142">
      <c r="A1142" s="5" t="n">
        <v>2</v>
      </c>
      <c r="B1142" s="5" t="n">
        <v>11</v>
      </c>
      <c r="C1142" s="5" t="n">
        <v>16</v>
      </c>
      <c r="D1142" s="18">
        <f>SEASON_HRS_TOM*B1142*(1+DIM_TOM)^B1142+SEASON_HRS_CAR*C1142*(1+DIM_CAR)^C1142</f>
        <v>3537.148236965972</v>
      </c>
      <c r="E1142" s="18">
        <f>(FARMER_FIELD_HRS+A1142*TEMP_HRS)-D1142</f>
        <v>62.851763034027954</v>
      </c>
      <c r="F1142" s="21">
        <f>IF(E1142&lt;0,0,MIN(COUNTIF(Labor!$C$59:$C$88,"&lt;="&amp;E1142),MAXBED_MES,TOTAL_BEDS-B1142-C1142))</f>
        <v>1</v>
      </c>
      <c r="G1142" s="21">
        <f>B1142+C1142+F1142</f>
        <v>28</v>
      </c>
      <c r="H1142" s="22">
        <f>IF(E1142&lt;0,-999999999,B1142*(PRICE_TOM-FERT_TOM)+C1142*(PRICE_CAR-FERT_CAR)+F1142*(PRICE_MES-FERT_MES)-(FARMER_SALARY+A1142*TEMP_COST)-FIXED_COSTS)</f>
        <v>-4596</v>
      </c>
    </row>
    <row r="1143">
      <c r="A1143" s="5" t="n">
        <v>2</v>
      </c>
      <c r="B1143" s="5" t="n">
        <v>11</v>
      </c>
      <c r="C1143" s="5" t="n">
        <v>17</v>
      </c>
      <c r="D1143" s="18">
        <f>SEASON_HRS_TOM*B1143*(1+DIM_TOM)^B1143+SEASON_HRS_CAR*C1143*(1+DIM_CAR)^C1143</f>
        <v>3600.6108522492113</v>
      </c>
      <c r="E1143" s="18">
        <f>(FARMER_FIELD_HRS+A1143*TEMP_HRS)-D1143</f>
        <v>-0.610852249211348</v>
      </c>
      <c r="F1143" s="21">
        <f>IF(E1143&lt;0,0,MIN(COUNTIF(Labor!$C$59:$C$88,"&lt;="&amp;E1143),MAXBED_MES,TOTAL_BEDS-B1143-C1143))</f>
        <v>0</v>
      </c>
      <c r="G1143" s="21">
        <f>B1143+C1143+F1143</f>
        <v>28</v>
      </c>
      <c r="H1143" s="22">
        <f>IF(E1143&lt;0,-999999999,B1143*(PRICE_TOM-FERT_TOM)+C1143*(PRICE_CAR-FERT_CAR)+F1143*(PRICE_MES-FERT_MES)-(FARMER_SALARY+A1143*TEMP_COST)-FIXED_COSTS)</f>
        <v>-999999999</v>
      </c>
    </row>
    <row r="1144">
      <c r="A1144" s="5" t="n">
        <v>2</v>
      </c>
      <c r="B1144" s="5" t="n">
        <v>11</v>
      </c>
      <c r="C1144" s="5" t="n">
        <v>18</v>
      </c>
      <c r="D1144" s="18">
        <f>SEASON_HRS_TOM*B1144*(1+DIM_TOM)^B1144+SEASON_HRS_CAR*C1144*(1+DIM_CAR)^C1144</f>
        <v>3666.8012466104137</v>
      </c>
      <c r="E1144" s="18">
        <f>(FARMER_FIELD_HRS+A1144*TEMP_HRS)-D1144</f>
        <v>-66.80124661041373</v>
      </c>
      <c r="F1144" s="21">
        <f>IF(E1144&lt;0,0,MIN(COUNTIF(Labor!$C$59:$C$88,"&lt;="&amp;E1144),MAXBED_MES,TOTAL_BEDS-B1144-C1144))</f>
        <v>0</v>
      </c>
      <c r="G1144" s="21">
        <f>B1144+C1144+F1144</f>
        <v>29</v>
      </c>
      <c r="H1144" s="22">
        <f>IF(E1144&lt;0,-999999999,B1144*(PRICE_TOM-FERT_TOM)+C1144*(PRICE_CAR-FERT_CAR)+F1144*(PRICE_MES-FERT_MES)-(FARMER_SALARY+A1144*TEMP_COST)-FIXED_COSTS)</f>
        <v>-999999999</v>
      </c>
    </row>
    <row r="1145">
      <c r="A1145" s="5" t="n">
        <v>2</v>
      </c>
      <c r="B1145" s="5" t="n">
        <v>11</v>
      </c>
      <c r="C1145" s="5" t="n">
        <v>19</v>
      </c>
      <c r="D1145" s="18">
        <f>SEASON_HRS_TOM*B1145*(1+DIM_TOM)^B1145+SEASON_HRS_CAR*C1145*(1+DIM_CAR)^C1145</f>
        <v>3735.8161448689266</v>
      </c>
      <c r="E1145" s="18">
        <f>(FARMER_FIELD_HRS+A1145*TEMP_HRS)-D1145</f>
        <v>-135.81614486892659</v>
      </c>
      <c r="F1145" s="21">
        <f>IF(E1145&lt;0,0,MIN(COUNTIF(Labor!$C$59:$C$88,"&lt;="&amp;E1145),MAXBED_MES,TOTAL_BEDS-B1145-C1145))</f>
        <v>0</v>
      </c>
      <c r="G1145" s="21">
        <f>B1145+C1145+F1145</f>
        <v>30</v>
      </c>
      <c r="H1145" s="22">
        <f>IF(E1145&lt;0,-999999999,B1145*(PRICE_TOM-FERT_TOM)+C1145*(PRICE_CAR-FERT_CAR)+F1145*(PRICE_MES-FERT_MES)-(FARMER_SALARY+A1145*TEMP_COST)-FIXED_COSTS)</f>
        <v>-999999999</v>
      </c>
    </row>
    <row r="1146">
      <c r="A1146" s="5" t="n">
        <v>2</v>
      </c>
      <c r="B1146" s="5" t="n">
        <v>11</v>
      </c>
      <c r="C1146" s="5" t="n">
        <v>20</v>
      </c>
      <c r="D1146" s="18">
        <f>SEASON_HRS_TOM*B1146*(1+DIM_TOM)^B1146+SEASON_HRS_CAR*C1146*(1+DIM_CAR)^C1146</f>
        <v>3807.7554032231387</v>
      </c>
      <c r="E1146" s="18">
        <f>(FARMER_FIELD_HRS+A1146*TEMP_HRS)-D1146</f>
        <v>-207.75540322313873</v>
      </c>
      <c r="F1146" s="21">
        <f>IF(E1146&lt;0,0,MIN(COUNTIF(Labor!$C$59:$C$88,"&lt;="&amp;E1146),MAXBED_MES,TOTAL_BEDS-B1146-C1146))</f>
        <v>0</v>
      </c>
      <c r="G1146" s="21">
        <f>B1146+C1146+F1146</f>
        <v>31</v>
      </c>
      <c r="H1146" s="22">
        <f>IF(E1146&lt;0,-999999999,B1146*(PRICE_TOM-FERT_TOM)+C1146*(PRICE_CAR-FERT_CAR)+F1146*(PRICE_MES-FERT_MES)-(FARMER_SALARY+A1146*TEMP_COST)-FIXED_COSTS)</f>
        <v>-999999999</v>
      </c>
    </row>
    <row r="1147">
      <c r="A1147" s="5" t="n">
        <v>2</v>
      </c>
      <c r="B1147" s="5" t="n">
        <v>12</v>
      </c>
      <c r="C1147" s="5" t="n">
        <v>0</v>
      </c>
      <c r="D1147" s="18">
        <f>SEASON_HRS_TOM*B1147*(1+DIM_TOM)^B1147+SEASON_HRS_CAR*C1147*(1+DIM_CAR)^C1147</f>
        <v>3389.5026468586834</v>
      </c>
      <c r="E1147" s="18">
        <f>(FARMER_FIELD_HRS+A1147*TEMP_HRS)-D1147</f>
        <v>210.49735314131658</v>
      </c>
      <c r="F1147" s="21">
        <f>IF(E1147&lt;0,0,MIN(COUNTIF(Labor!$C$59:$C$88,"&lt;="&amp;E1147),MAXBED_MES,TOTAL_BEDS-B1147-C1147))</f>
        <v>4</v>
      </c>
      <c r="G1147" s="21">
        <f>B1147+C1147+F1147</f>
        <v>16</v>
      </c>
      <c r="H1147" s="22">
        <f>IF(E1147&lt;0,-999999999,B1147*(PRICE_TOM-FERT_TOM)+C1147*(PRICE_CAR-FERT_CAR)+F1147*(PRICE_MES-FERT_MES)-(FARMER_SALARY+A1147*TEMP_COST)-FIXED_COSTS)</f>
        <v>-17680</v>
      </c>
    </row>
    <row r="1148">
      <c r="A1148" s="5" t="n">
        <v>2</v>
      </c>
      <c r="B1148" s="5" t="n">
        <v>12</v>
      </c>
      <c r="C1148" s="5" t="n">
        <v>1</v>
      </c>
      <c r="D1148" s="18">
        <f>SEASON_HRS_TOM*B1148*(1+DIM_TOM)^B1148+SEASON_HRS_CAR*C1148*(1+DIM_CAR)^C1148</f>
        <v>3420.2526468586834</v>
      </c>
      <c r="E1148" s="18">
        <f>(FARMER_FIELD_HRS+A1148*TEMP_HRS)-D1148</f>
        <v>179.74735314131658</v>
      </c>
      <c r="F1148" s="21">
        <f>IF(E1148&lt;0,0,MIN(COUNTIF(Labor!$C$59:$C$88,"&lt;="&amp;E1148),MAXBED_MES,TOTAL_BEDS-B1148-C1148))</f>
        <v>3</v>
      </c>
      <c r="G1148" s="21">
        <f>B1148+C1148+F1148</f>
        <v>16</v>
      </c>
      <c r="H1148" s="22">
        <f>IF(E1148&lt;0,-999999999,B1148*(PRICE_TOM-FERT_TOM)+C1148*(PRICE_CAR-FERT_CAR)+F1148*(PRICE_MES-FERT_MES)-(FARMER_SALARY+A1148*TEMP_COST)-FIXED_COSTS)</f>
        <v>-17846</v>
      </c>
    </row>
    <row r="1149">
      <c r="A1149" s="5" t="n">
        <v>2</v>
      </c>
      <c r="B1149" s="5" t="n">
        <v>12</v>
      </c>
      <c r="C1149" s="5" t="n">
        <v>2</v>
      </c>
      <c r="D1149" s="18">
        <f>SEASON_HRS_TOM*B1149*(1+DIM_TOM)^B1149+SEASON_HRS_CAR*C1149*(1+DIM_CAR)^C1149</f>
        <v>3452.5401468586833</v>
      </c>
      <c r="E1149" s="18">
        <f>(FARMER_FIELD_HRS+A1149*TEMP_HRS)-D1149</f>
        <v>147.45985314131667</v>
      </c>
      <c r="F1149" s="21">
        <f>IF(E1149&lt;0,0,MIN(COUNTIF(Labor!$C$59:$C$88,"&lt;="&amp;E1149),MAXBED_MES,TOTAL_BEDS-B1149-C1149))</f>
        <v>3</v>
      </c>
      <c r="G1149" s="21">
        <f>B1149+C1149+F1149</f>
        <v>17</v>
      </c>
      <c r="H1149" s="22">
        <f>IF(E1149&lt;0,-999999999,B1149*(PRICE_TOM-FERT_TOM)+C1149*(PRICE_CAR-FERT_CAR)+F1149*(PRICE_MES-FERT_MES)-(FARMER_SALARY+A1149*TEMP_COST)-FIXED_COSTS)</f>
        <v>-16192</v>
      </c>
    </row>
    <row r="1150">
      <c r="A1150" s="5" t="n">
        <v>2</v>
      </c>
      <c r="B1150" s="5" t="n">
        <v>12</v>
      </c>
      <c r="C1150" s="5" t="n">
        <v>3</v>
      </c>
      <c r="D1150" s="18">
        <f>SEASON_HRS_TOM*B1150*(1+DIM_TOM)^B1150+SEASON_HRS_CAR*C1150*(1+DIM_CAR)^C1150</f>
        <v>3486.422803108683</v>
      </c>
      <c r="E1150" s="18">
        <f>(FARMER_FIELD_HRS+A1150*TEMP_HRS)-D1150</f>
        <v>113.57719689131682</v>
      </c>
      <c r="F1150" s="21">
        <f>IF(E1150&lt;0,0,MIN(COUNTIF(Labor!$C$59:$C$88,"&lt;="&amp;E1150),MAXBED_MES,TOTAL_BEDS-B1150-C1150))</f>
        <v>2</v>
      </c>
      <c r="G1150" s="21">
        <f>B1150+C1150+F1150</f>
        <v>17</v>
      </c>
      <c r="H1150" s="22">
        <f>IF(E1150&lt;0,-999999999,B1150*(PRICE_TOM-FERT_TOM)+C1150*(PRICE_CAR-FERT_CAR)+F1150*(PRICE_MES-FERT_MES)-(FARMER_SALARY+A1150*TEMP_COST)-FIXED_COSTS)</f>
        <v>-16358</v>
      </c>
    </row>
    <row r="1151">
      <c r="A1151" s="5" t="n">
        <v>2</v>
      </c>
      <c r="B1151" s="5" t="n">
        <v>12</v>
      </c>
      <c r="C1151" s="5" t="n">
        <v>4</v>
      </c>
      <c r="D1151" s="18">
        <f>SEASON_HRS_TOM*B1151*(1+DIM_TOM)^B1151+SEASON_HRS_CAR*C1151*(1+DIM_CAR)^C1151</f>
        <v>3521.9601937336834</v>
      </c>
      <c r="E1151" s="18">
        <f>(FARMER_FIELD_HRS+A1151*TEMP_HRS)-D1151</f>
        <v>78.03980626631665</v>
      </c>
      <c r="F1151" s="21">
        <f>IF(E1151&lt;0,0,MIN(COUNTIF(Labor!$C$59:$C$88,"&lt;="&amp;E1151),MAXBED_MES,TOTAL_BEDS-B1151-C1151))</f>
        <v>1</v>
      </c>
      <c r="G1151" s="21">
        <f>B1151+C1151+F1151</f>
        <v>17</v>
      </c>
      <c r="H1151" s="22">
        <f>IF(E1151&lt;0,-999999999,B1151*(PRICE_TOM-FERT_TOM)+C1151*(PRICE_CAR-FERT_CAR)+F1151*(PRICE_MES-FERT_MES)-(FARMER_SALARY+A1151*TEMP_COST)-FIXED_COSTS)</f>
        <v>-16524</v>
      </c>
    </row>
    <row r="1152">
      <c r="A1152" s="5" t="n">
        <v>2</v>
      </c>
      <c r="B1152" s="5" t="n">
        <v>12</v>
      </c>
      <c r="C1152" s="5" t="n">
        <v>5</v>
      </c>
      <c r="D1152" s="18">
        <f>SEASON_HRS_TOM*B1152*(1+DIM_TOM)^B1152+SEASON_HRS_CAR*C1152*(1+DIM_CAR)^C1152</f>
        <v>3559.2138787922772</v>
      </c>
      <c r="E1152" s="18">
        <f>(FARMER_FIELD_HRS+A1152*TEMP_HRS)-D1152</f>
        <v>40.78612120772277</v>
      </c>
      <c r="F1152" s="21">
        <f>IF(E1152&lt;0,0,MIN(COUNTIF(Labor!$C$59:$C$88,"&lt;="&amp;E1152),MAXBED_MES,TOTAL_BEDS-B1152-C1152))</f>
        <v>0</v>
      </c>
      <c r="G1152" s="21">
        <f>B1152+C1152+F1152</f>
        <v>17</v>
      </c>
      <c r="H1152" s="22">
        <f>IF(E1152&lt;0,-999999999,B1152*(PRICE_TOM-FERT_TOM)+C1152*(PRICE_CAR-FERT_CAR)+F1152*(PRICE_MES-FERT_MES)-(FARMER_SALARY+A1152*TEMP_COST)-FIXED_COSTS)</f>
        <v>-16690</v>
      </c>
    </row>
    <row r="1153">
      <c r="A1153" s="5" t="n">
        <v>2</v>
      </c>
      <c r="B1153" s="5" t="n">
        <v>12</v>
      </c>
      <c r="C1153" s="5" t="n">
        <v>6</v>
      </c>
      <c r="D1153" s="18">
        <f>SEASON_HRS_TOM*B1153*(1+DIM_TOM)^B1153+SEASON_HRS_CAR*C1153*(1+DIM_CAR)^C1153</f>
        <v>3598.247462137004</v>
      </c>
      <c r="E1153" s="18">
        <f>(FARMER_FIELD_HRS+A1153*TEMP_HRS)-D1153</f>
        <v>1.7525378629961779</v>
      </c>
      <c r="F1153" s="21">
        <f>IF(E1153&lt;0,0,MIN(COUNTIF(Labor!$C$59:$C$88,"&lt;="&amp;E1153),MAXBED_MES,TOTAL_BEDS-B1153-C1153))</f>
        <v>0</v>
      </c>
      <c r="G1153" s="21">
        <f>B1153+C1153+F1153</f>
        <v>18</v>
      </c>
      <c r="H1153" s="22">
        <f>IF(E1153&lt;0,-999999999,B1153*(PRICE_TOM-FERT_TOM)+C1153*(PRICE_CAR-FERT_CAR)+F1153*(PRICE_MES-FERT_MES)-(FARMER_SALARY+A1153*TEMP_COST)-FIXED_COSTS)</f>
        <v>-15036</v>
      </c>
    </row>
    <row r="1154">
      <c r="A1154" s="5" t="n">
        <v>2</v>
      </c>
      <c r="B1154" s="5" t="n">
        <v>12</v>
      </c>
      <c r="C1154" s="5" t="n">
        <v>7</v>
      </c>
      <c r="D1154" s="18">
        <f>SEASON_HRS_TOM*B1154*(1+DIM_TOM)^B1154+SEASON_HRS_CAR*C1154*(1+DIM_CAR)^C1154</f>
        <v>3639.126655129008</v>
      </c>
      <c r="E1154" s="18">
        <f>(FARMER_FIELD_HRS+A1154*TEMP_HRS)-D1154</f>
        <v>-39.12665512900821</v>
      </c>
      <c r="F1154" s="21">
        <f>IF(E1154&lt;0,0,MIN(COUNTIF(Labor!$C$59:$C$88,"&lt;="&amp;E1154),MAXBED_MES,TOTAL_BEDS-B1154-C1154))</f>
        <v>0</v>
      </c>
      <c r="G1154" s="21">
        <f>B1154+C1154+F1154</f>
        <v>19</v>
      </c>
      <c r="H1154" s="22">
        <f>IF(E1154&lt;0,-999999999,B1154*(PRICE_TOM-FERT_TOM)+C1154*(PRICE_CAR-FERT_CAR)+F1154*(PRICE_MES-FERT_MES)-(FARMER_SALARY+A1154*TEMP_COST)-FIXED_COSTS)</f>
        <v>-999999999</v>
      </c>
    </row>
    <row r="1155">
      <c r="A1155" s="5" t="n">
        <v>2</v>
      </c>
      <c r="B1155" s="5" t="n">
        <v>12</v>
      </c>
      <c r="C1155" s="5" t="n">
        <v>8</v>
      </c>
      <c r="D1155" s="18">
        <f>SEASON_HRS_TOM*B1155*(1+DIM_TOM)^B1155+SEASON_HRS_CAR*C1155*(1+DIM_CAR)^C1155</f>
        <v>3681.9193422610633</v>
      </c>
      <c r="E1155" s="18">
        <f>(FARMER_FIELD_HRS+A1155*TEMP_HRS)-D1155</f>
        <v>-81.91934226106332</v>
      </c>
      <c r="F1155" s="21">
        <f>IF(E1155&lt;0,0,MIN(COUNTIF(Labor!$C$59:$C$88,"&lt;="&amp;E1155),MAXBED_MES,TOTAL_BEDS-B1155-C1155))</f>
        <v>0</v>
      </c>
      <c r="G1155" s="21">
        <f>B1155+C1155+F1155</f>
        <v>20</v>
      </c>
      <c r="H1155" s="22">
        <f>IF(E1155&lt;0,-999999999,B1155*(PRICE_TOM-FERT_TOM)+C1155*(PRICE_CAR-FERT_CAR)+F1155*(PRICE_MES-FERT_MES)-(FARMER_SALARY+A1155*TEMP_COST)-FIXED_COSTS)</f>
        <v>-999999999</v>
      </c>
    </row>
    <row r="1156">
      <c r="A1156" s="5" t="n">
        <v>2</v>
      </c>
      <c r="B1156" s="5" t="n">
        <v>12</v>
      </c>
      <c r="C1156" s="5" t="n">
        <v>9</v>
      </c>
      <c r="D1156" s="18">
        <f>SEASON_HRS_TOM*B1156*(1+DIM_TOM)^B1156+SEASON_HRS_CAR*C1156*(1+DIM_CAR)^C1156</f>
        <v>3726.695648744553</v>
      </c>
      <c r="E1156" s="18">
        <f>(FARMER_FIELD_HRS+A1156*TEMP_HRS)-D1156</f>
        <v>-126.69564874455318</v>
      </c>
      <c r="F1156" s="21">
        <f>IF(E1156&lt;0,0,MIN(COUNTIF(Labor!$C$59:$C$88,"&lt;="&amp;E1156),MAXBED_MES,TOTAL_BEDS-B1156-C1156))</f>
        <v>0</v>
      </c>
      <c r="G1156" s="21">
        <f>B1156+C1156+F1156</f>
        <v>21</v>
      </c>
      <c r="H1156" s="22">
        <f>IF(E1156&lt;0,-999999999,B1156*(PRICE_TOM-FERT_TOM)+C1156*(PRICE_CAR-FERT_CAR)+F1156*(PRICE_MES-FERT_MES)-(FARMER_SALARY+A1156*TEMP_COST)-FIXED_COSTS)</f>
        <v>-999999999</v>
      </c>
    </row>
    <row r="1157">
      <c r="A1157" s="5" t="n">
        <v>2</v>
      </c>
      <c r="B1157" s="5" t="n">
        <v>12</v>
      </c>
      <c r="C1157" s="5" t="n">
        <v>10</v>
      </c>
      <c r="D1157" s="18">
        <f>SEASON_HRS_TOM*B1157*(1+DIM_TOM)^B1157+SEASON_HRS_CAR*C1157*(1+DIM_CAR)^C1157</f>
        <v>3773.5280101175904</v>
      </c>
      <c r="E1157" s="18">
        <f>(FARMER_FIELD_HRS+A1157*TEMP_HRS)-D1157</f>
        <v>-173.52801011759038</v>
      </c>
      <c r="F1157" s="21">
        <f>IF(E1157&lt;0,0,MIN(COUNTIF(Labor!$C$59:$C$88,"&lt;="&amp;E1157),MAXBED_MES,TOTAL_BEDS-B1157-C1157))</f>
        <v>0</v>
      </c>
      <c r="G1157" s="21">
        <f>B1157+C1157+F1157</f>
        <v>22</v>
      </c>
      <c r="H1157" s="22">
        <f>IF(E1157&lt;0,-999999999,B1157*(PRICE_TOM-FERT_TOM)+C1157*(PRICE_CAR-FERT_CAR)+F1157*(PRICE_MES-FERT_MES)-(FARMER_SALARY+A1157*TEMP_COST)-FIXED_COSTS)</f>
        <v>-999999999</v>
      </c>
    </row>
    <row r="1158">
      <c r="A1158" s="5" t="n">
        <v>2</v>
      </c>
      <c r="B1158" s="5" t="n">
        <v>12</v>
      </c>
      <c r="C1158" s="5" t="n">
        <v>11</v>
      </c>
      <c r="D1158" s="18">
        <f>SEASON_HRS_TOM*B1158*(1+DIM_TOM)^B1158+SEASON_HRS_CAR*C1158*(1+DIM_CAR)^C1158</f>
        <v>3822.491243933101</v>
      </c>
      <c r="E1158" s="18">
        <f>(FARMER_FIELD_HRS+A1158*TEMP_HRS)-D1158</f>
        <v>-222.49124393310103</v>
      </c>
      <c r="F1158" s="21">
        <f>IF(E1158&lt;0,0,MIN(COUNTIF(Labor!$C$59:$C$88,"&lt;="&amp;E1158),MAXBED_MES,TOTAL_BEDS-B1158-C1158))</f>
        <v>0</v>
      </c>
      <c r="G1158" s="21">
        <f>B1158+C1158+F1158</f>
        <v>23</v>
      </c>
      <c r="H1158" s="22">
        <f>IF(E1158&lt;0,-999999999,B1158*(PRICE_TOM-FERT_TOM)+C1158*(PRICE_CAR-FERT_CAR)+F1158*(PRICE_MES-FERT_MES)-(FARMER_SALARY+A1158*TEMP_COST)-FIXED_COSTS)</f>
        <v>-999999999</v>
      </c>
    </row>
    <row r="1159">
      <c r="A1159" s="5" t="n">
        <v>2</v>
      </c>
      <c r="B1159" s="5" t="n">
        <v>12</v>
      </c>
      <c r="C1159" s="5" t="n">
        <v>12</v>
      </c>
      <c r="D1159" s="18">
        <f>SEASON_HRS_TOM*B1159*(1+DIM_TOM)^B1159+SEASON_HRS_CAR*C1159*(1+DIM_CAR)^C1159</f>
        <v>3873.6626235873505</v>
      </c>
      <c r="E1159" s="18">
        <f>(FARMER_FIELD_HRS+A1159*TEMP_HRS)-D1159</f>
        <v>-273.6626235873505</v>
      </c>
      <c r="F1159" s="21">
        <f>IF(E1159&lt;0,0,MIN(COUNTIF(Labor!$C$59:$C$88,"&lt;="&amp;E1159),MAXBED_MES,TOTAL_BEDS-B1159-C1159))</f>
        <v>0</v>
      </c>
      <c r="G1159" s="21">
        <f>B1159+C1159+F1159</f>
        <v>24</v>
      </c>
      <c r="H1159" s="22">
        <f>IF(E1159&lt;0,-999999999,B1159*(PRICE_TOM-FERT_TOM)+C1159*(PRICE_CAR-FERT_CAR)+F1159*(PRICE_MES-FERT_MES)-(FARMER_SALARY+A1159*TEMP_COST)-FIXED_COSTS)</f>
        <v>-999999999</v>
      </c>
    </row>
    <row r="1160">
      <c r="A1160" s="5" t="n">
        <v>2</v>
      </c>
      <c r="B1160" s="5" t="n">
        <v>12</v>
      </c>
      <c r="C1160" s="5" t="n">
        <v>13</v>
      </c>
      <c r="D1160" s="18">
        <f>SEASON_HRS_TOM*B1160*(1+DIM_TOM)^B1160+SEASON_HRS_CAR*C1160*(1+DIM_CAR)^C1160</f>
        <v>3927.1219543511406</v>
      </c>
      <c r="E1160" s="18">
        <f>(FARMER_FIELD_HRS+A1160*TEMP_HRS)-D1160</f>
        <v>-327.12195435114063</v>
      </c>
      <c r="F1160" s="21">
        <f>IF(E1160&lt;0,0,MIN(COUNTIF(Labor!$C$59:$C$88,"&lt;="&amp;E1160),MAXBED_MES,TOTAL_BEDS-B1160-C1160))</f>
        <v>0</v>
      </c>
      <c r="G1160" s="21">
        <f>B1160+C1160+F1160</f>
        <v>25</v>
      </c>
      <c r="H1160" s="22">
        <f>IF(E1160&lt;0,-999999999,B1160*(PRICE_TOM-FERT_TOM)+C1160*(PRICE_CAR-FERT_CAR)+F1160*(PRICE_MES-FERT_MES)-(FARMER_SALARY+A1160*TEMP_COST)-FIXED_COSTS)</f>
        <v>-999999999</v>
      </c>
    </row>
    <row r="1161">
      <c r="A1161" s="5" t="n">
        <v>2</v>
      </c>
      <c r="B1161" s="5" t="n">
        <v>12</v>
      </c>
      <c r="C1161" s="5" t="n">
        <v>14</v>
      </c>
      <c r="D1161" s="18">
        <f>SEASON_HRS_TOM*B1161*(1+DIM_TOM)^B1161+SEASON_HRS_CAR*C1161*(1+DIM_CAR)^C1161</f>
        <v>3982.951651667665</v>
      </c>
      <c r="E1161" s="18">
        <f>(FARMER_FIELD_HRS+A1161*TEMP_HRS)-D1161</f>
        <v>-382.9516516676649</v>
      </c>
      <c r="F1161" s="21">
        <f>IF(E1161&lt;0,0,MIN(COUNTIF(Labor!$C$59:$C$88,"&lt;="&amp;E1161),MAXBED_MES,TOTAL_BEDS-B1161-C1161))</f>
        <v>0</v>
      </c>
      <c r="G1161" s="21">
        <f>B1161+C1161+F1161</f>
        <v>26</v>
      </c>
      <c r="H1161" s="22">
        <f>IF(E1161&lt;0,-999999999,B1161*(PRICE_TOM-FERT_TOM)+C1161*(PRICE_CAR-FERT_CAR)+F1161*(PRICE_MES-FERT_MES)-(FARMER_SALARY+A1161*TEMP_COST)-FIXED_COSTS)</f>
        <v>-999999999</v>
      </c>
    </row>
    <row r="1162">
      <c r="A1162" s="5" t="n">
        <v>2</v>
      </c>
      <c r="B1162" s="5" t="n">
        <v>12</v>
      </c>
      <c r="C1162" s="5" t="n">
        <v>15</v>
      </c>
      <c r="D1162" s="18">
        <f>SEASON_HRS_TOM*B1162*(1+DIM_TOM)^B1162+SEASON_HRS_CAR*C1162*(1+DIM_CAR)^C1162</f>
        <v>4041.2368217828325</v>
      </c>
      <c r="E1162" s="18">
        <f>(FARMER_FIELD_HRS+A1162*TEMP_HRS)-D1162</f>
        <v>-441.2368217828325</v>
      </c>
      <c r="F1162" s="21">
        <f>IF(E1162&lt;0,0,MIN(COUNTIF(Labor!$C$59:$C$88,"&lt;="&amp;E1162),MAXBED_MES,TOTAL_BEDS-B1162-C1162))</f>
        <v>0</v>
      </c>
      <c r="G1162" s="21">
        <f>B1162+C1162+F1162</f>
        <v>27</v>
      </c>
      <c r="H1162" s="22">
        <f>IF(E1162&lt;0,-999999999,B1162*(PRICE_TOM-FERT_TOM)+C1162*(PRICE_CAR-FERT_CAR)+F1162*(PRICE_MES-FERT_MES)-(FARMER_SALARY+A1162*TEMP_COST)-FIXED_COSTS)</f>
        <v>-999999999</v>
      </c>
    </row>
    <row r="1163">
      <c r="A1163" s="5" t="n">
        <v>2</v>
      </c>
      <c r="B1163" s="5" t="n">
        <v>12</v>
      </c>
      <c r="C1163" s="5" t="n">
        <v>16</v>
      </c>
      <c r="D1163" s="18">
        <f>SEASON_HRS_TOM*B1163*(1+DIM_TOM)^B1163+SEASON_HRS_CAR*C1163*(1+DIM_CAR)^C1163</f>
        <v>4102.065344775753</v>
      </c>
      <c r="E1163" s="18">
        <f>(FARMER_FIELD_HRS+A1163*TEMP_HRS)-D1163</f>
        <v>-502.06534477575315</v>
      </c>
      <c r="F1163" s="21">
        <f>IF(E1163&lt;0,0,MIN(COUNTIF(Labor!$C$59:$C$88,"&lt;="&amp;E1163),MAXBED_MES,TOTAL_BEDS-B1163-C1163))</f>
        <v>0</v>
      </c>
      <c r="G1163" s="21">
        <f>B1163+C1163+F1163</f>
        <v>28</v>
      </c>
      <c r="H1163" s="22">
        <f>IF(E1163&lt;0,-999999999,B1163*(PRICE_TOM-FERT_TOM)+C1163*(PRICE_CAR-FERT_CAR)+F1163*(PRICE_MES-FERT_MES)-(FARMER_SALARY+A1163*TEMP_COST)-FIXED_COSTS)</f>
        <v>-999999999</v>
      </c>
    </row>
    <row r="1164">
      <c r="A1164" s="5" t="n">
        <v>2</v>
      </c>
      <c r="B1164" s="5" t="n">
        <v>12</v>
      </c>
      <c r="C1164" s="5" t="n">
        <v>17</v>
      </c>
      <c r="D1164" s="18">
        <f>SEASON_HRS_TOM*B1164*(1+DIM_TOM)^B1164+SEASON_HRS_CAR*C1164*(1+DIM_CAR)^C1164</f>
        <v>4165.527960058992</v>
      </c>
      <c r="E1164" s="18">
        <f>(FARMER_FIELD_HRS+A1164*TEMP_HRS)-D1164</f>
        <v>-565.527960058992</v>
      </c>
      <c r="F1164" s="21">
        <f>IF(E1164&lt;0,0,MIN(COUNTIF(Labor!$C$59:$C$88,"&lt;="&amp;E1164),MAXBED_MES,TOTAL_BEDS-B1164-C1164))</f>
        <v>0</v>
      </c>
      <c r="G1164" s="21">
        <f>B1164+C1164+F1164</f>
        <v>29</v>
      </c>
      <c r="H1164" s="22">
        <f>IF(E1164&lt;0,-999999999,B1164*(PRICE_TOM-FERT_TOM)+C1164*(PRICE_CAR-FERT_CAR)+F1164*(PRICE_MES-FERT_MES)-(FARMER_SALARY+A1164*TEMP_COST)-FIXED_COSTS)</f>
        <v>-999999999</v>
      </c>
    </row>
    <row r="1165">
      <c r="A1165" s="5" t="n">
        <v>2</v>
      </c>
      <c r="B1165" s="5" t="n">
        <v>12</v>
      </c>
      <c r="C1165" s="5" t="n">
        <v>18</v>
      </c>
      <c r="D1165" s="18">
        <f>SEASON_HRS_TOM*B1165*(1+DIM_TOM)^B1165+SEASON_HRS_CAR*C1165*(1+DIM_CAR)^C1165</f>
        <v>4231.718354420195</v>
      </c>
      <c r="E1165" s="18">
        <f>(FARMER_FIELD_HRS+A1165*TEMP_HRS)-D1165</f>
        <v>-631.7183544201953</v>
      </c>
      <c r="F1165" s="21">
        <f>IF(E1165&lt;0,0,MIN(COUNTIF(Labor!$C$59:$C$88,"&lt;="&amp;E1165),MAXBED_MES,TOTAL_BEDS-B1165-C1165))</f>
        <v>0</v>
      </c>
      <c r="G1165" s="21">
        <f>B1165+C1165+F1165</f>
        <v>30</v>
      </c>
      <c r="H1165" s="22">
        <f>IF(E1165&lt;0,-999999999,B1165*(PRICE_TOM-FERT_TOM)+C1165*(PRICE_CAR-FERT_CAR)+F1165*(PRICE_MES-FERT_MES)-(FARMER_SALARY+A1165*TEMP_COST)-FIXED_COSTS)</f>
        <v>-999999999</v>
      </c>
    </row>
    <row r="1166">
      <c r="A1166" s="5" t="n">
        <v>2</v>
      </c>
      <c r="B1166" s="5" t="n">
        <v>12</v>
      </c>
      <c r="C1166" s="5" t="n">
        <v>19</v>
      </c>
      <c r="D1166" s="18">
        <f>SEASON_HRS_TOM*B1166*(1+DIM_TOM)^B1166+SEASON_HRS_CAR*C1166*(1+DIM_CAR)^C1166</f>
        <v>4300.733252678708</v>
      </c>
      <c r="E1166" s="18">
        <f>(FARMER_FIELD_HRS+A1166*TEMP_HRS)-D1166</f>
        <v>-700.7332526787077</v>
      </c>
      <c r="F1166" s="21">
        <f>IF(E1166&lt;0,0,MIN(COUNTIF(Labor!$C$59:$C$88,"&lt;="&amp;E1166),MAXBED_MES,TOTAL_BEDS-B1166-C1166))</f>
        <v>0</v>
      </c>
      <c r="G1166" s="21">
        <f>B1166+C1166+F1166</f>
        <v>31</v>
      </c>
      <c r="H1166" s="22">
        <f>IF(E1166&lt;0,-999999999,B1166*(PRICE_TOM-FERT_TOM)+C1166*(PRICE_CAR-FERT_CAR)+F1166*(PRICE_MES-FERT_MES)-(FARMER_SALARY+A1166*TEMP_COST)-FIXED_COSTS)</f>
        <v>-999999999</v>
      </c>
    </row>
    <row r="1167">
      <c r="A1167" s="5" t="n">
        <v>2</v>
      </c>
      <c r="B1167" s="5" t="n">
        <v>12</v>
      </c>
      <c r="C1167" s="5" t="n">
        <v>20</v>
      </c>
      <c r="D1167" s="18">
        <f>SEASON_HRS_TOM*B1167*(1+DIM_TOM)^B1167+SEASON_HRS_CAR*C1167*(1+DIM_CAR)^C1167</f>
        <v>4372.67251103292</v>
      </c>
      <c r="E1167" s="18">
        <f>(FARMER_FIELD_HRS+A1167*TEMP_HRS)-D1167</f>
        <v>-772.6725110329198</v>
      </c>
      <c r="F1167" s="21">
        <f>IF(E1167&lt;0,0,MIN(COUNTIF(Labor!$C$59:$C$88,"&lt;="&amp;E1167),MAXBED_MES,TOTAL_BEDS-B1167-C1167))</f>
        <v>0</v>
      </c>
      <c r="G1167" s="21">
        <f>B1167+C1167+F1167</f>
        <v>32</v>
      </c>
      <c r="H1167" s="22">
        <f>IF(E1167&lt;0,-999999999,B1167*(PRICE_TOM-FERT_TOM)+C1167*(PRICE_CAR-FERT_CAR)+F1167*(PRICE_MES-FERT_MES)-(FARMER_SALARY+A1167*TEMP_COST)-FIXED_COSTS)</f>
        <v>-999999999</v>
      </c>
    </row>
    <row r="1168">
      <c r="A1168" s="5" t="n">
        <v>2</v>
      </c>
      <c r="B1168" s="5" t="n">
        <v>13</v>
      </c>
      <c r="C1168" s="5" t="n">
        <v>0</v>
      </c>
      <c r="D1168" s="18">
        <f>SEASON_HRS_TOM*B1168*(1+DIM_TOM)^B1168+SEASON_HRS_CAR*C1168*(1+DIM_CAR)^C1168</f>
        <v>4039.1573208399313</v>
      </c>
      <c r="E1168" s="18">
        <f>(FARMER_FIELD_HRS+A1168*TEMP_HRS)-D1168</f>
        <v>-439.15732083993134</v>
      </c>
      <c r="F1168" s="21">
        <f>IF(E1168&lt;0,0,MIN(COUNTIF(Labor!$C$59:$C$88,"&lt;="&amp;E1168),MAXBED_MES,TOTAL_BEDS-B1168-C1168))</f>
        <v>0</v>
      </c>
      <c r="G1168" s="21">
        <f>B1168+C1168+F1168</f>
        <v>13</v>
      </c>
      <c r="H1168" s="22">
        <f>IF(E1168&lt;0,-999999999,B1168*(PRICE_TOM-FERT_TOM)+C1168*(PRICE_CAR-FERT_CAR)+F1168*(PRICE_MES-FERT_MES)-(FARMER_SALARY+A1168*TEMP_COST)-FIXED_COSTS)</f>
        <v>-999999999</v>
      </c>
    </row>
    <row r="1169">
      <c r="A1169" s="5" t="n">
        <v>2</v>
      </c>
      <c r="B1169" s="5" t="n">
        <v>13</v>
      </c>
      <c r="C1169" s="5" t="n">
        <v>1</v>
      </c>
      <c r="D1169" s="18">
        <f>SEASON_HRS_TOM*B1169*(1+DIM_TOM)^B1169+SEASON_HRS_CAR*C1169*(1+DIM_CAR)^C1169</f>
        <v>4069.9073208399313</v>
      </c>
      <c r="E1169" s="18">
        <f>(FARMER_FIELD_HRS+A1169*TEMP_HRS)-D1169</f>
        <v>-469.90732083993134</v>
      </c>
      <c r="F1169" s="21">
        <f>IF(E1169&lt;0,0,MIN(COUNTIF(Labor!$C$59:$C$88,"&lt;="&amp;E1169),MAXBED_MES,TOTAL_BEDS-B1169-C1169))</f>
        <v>0</v>
      </c>
      <c r="G1169" s="21">
        <f>B1169+C1169+F1169</f>
        <v>14</v>
      </c>
      <c r="H1169" s="22">
        <f>IF(E1169&lt;0,-999999999,B1169*(PRICE_TOM-FERT_TOM)+C1169*(PRICE_CAR-FERT_CAR)+F1169*(PRICE_MES-FERT_MES)-(FARMER_SALARY+A1169*TEMP_COST)-FIXED_COSTS)</f>
        <v>-999999999</v>
      </c>
    </row>
    <row r="1170">
      <c r="A1170" s="5" t="n">
        <v>2</v>
      </c>
      <c r="B1170" s="5" t="n">
        <v>13</v>
      </c>
      <c r="C1170" s="5" t="n">
        <v>2</v>
      </c>
      <c r="D1170" s="18">
        <f>SEASON_HRS_TOM*B1170*(1+DIM_TOM)^B1170+SEASON_HRS_CAR*C1170*(1+DIM_CAR)^C1170</f>
        <v>4102.194820839932</v>
      </c>
      <c r="E1170" s="18">
        <f>(FARMER_FIELD_HRS+A1170*TEMP_HRS)-D1170</f>
        <v>-502.1948208399317</v>
      </c>
      <c r="F1170" s="21">
        <f>IF(E1170&lt;0,0,MIN(COUNTIF(Labor!$C$59:$C$88,"&lt;="&amp;E1170),MAXBED_MES,TOTAL_BEDS-B1170-C1170))</f>
        <v>0</v>
      </c>
      <c r="G1170" s="21">
        <f>B1170+C1170+F1170</f>
        <v>15</v>
      </c>
      <c r="H1170" s="22">
        <f>IF(E1170&lt;0,-999999999,B1170*(PRICE_TOM-FERT_TOM)+C1170*(PRICE_CAR-FERT_CAR)+F1170*(PRICE_MES-FERT_MES)-(FARMER_SALARY+A1170*TEMP_COST)-FIXED_COSTS)</f>
        <v>-999999999</v>
      </c>
    </row>
    <row r="1171">
      <c r="A1171" s="5" t="n">
        <v>2</v>
      </c>
      <c r="B1171" s="5" t="n">
        <v>13</v>
      </c>
      <c r="C1171" s="5" t="n">
        <v>3</v>
      </c>
      <c r="D1171" s="18">
        <f>SEASON_HRS_TOM*B1171*(1+DIM_TOM)^B1171+SEASON_HRS_CAR*C1171*(1+DIM_CAR)^C1171</f>
        <v>4136.077477089932</v>
      </c>
      <c r="E1171" s="18">
        <f>(FARMER_FIELD_HRS+A1171*TEMP_HRS)-D1171</f>
        <v>-536.0774770899316</v>
      </c>
      <c r="F1171" s="21">
        <f>IF(E1171&lt;0,0,MIN(COUNTIF(Labor!$C$59:$C$88,"&lt;="&amp;E1171),MAXBED_MES,TOTAL_BEDS-B1171-C1171))</f>
        <v>0</v>
      </c>
      <c r="G1171" s="21">
        <f>B1171+C1171+F1171</f>
        <v>16</v>
      </c>
      <c r="H1171" s="22">
        <f>IF(E1171&lt;0,-999999999,B1171*(PRICE_TOM-FERT_TOM)+C1171*(PRICE_CAR-FERT_CAR)+F1171*(PRICE_MES-FERT_MES)-(FARMER_SALARY+A1171*TEMP_COST)-FIXED_COSTS)</f>
        <v>-999999999</v>
      </c>
    </row>
    <row r="1172">
      <c r="A1172" s="5" t="n">
        <v>2</v>
      </c>
      <c r="B1172" s="5" t="n">
        <v>13</v>
      </c>
      <c r="C1172" s="5" t="n">
        <v>4</v>
      </c>
      <c r="D1172" s="18">
        <f>SEASON_HRS_TOM*B1172*(1+DIM_TOM)^B1172+SEASON_HRS_CAR*C1172*(1+DIM_CAR)^C1172</f>
        <v>4171.614867714931</v>
      </c>
      <c r="E1172" s="18">
        <f>(FARMER_FIELD_HRS+A1172*TEMP_HRS)-D1172</f>
        <v>-571.6148677149313</v>
      </c>
      <c r="F1172" s="21">
        <f>IF(E1172&lt;0,0,MIN(COUNTIF(Labor!$C$59:$C$88,"&lt;="&amp;E1172),MAXBED_MES,TOTAL_BEDS-B1172-C1172))</f>
        <v>0</v>
      </c>
      <c r="G1172" s="21">
        <f>B1172+C1172+F1172</f>
        <v>17</v>
      </c>
      <c r="H1172" s="22">
        <f>IF(E1172&lt;0,-999999999,B1172*(PRICE_TOM-FERT_TOM)+C1172*(PRICE_CAR-FERT_CAR)+F1172*(PRICE_MES-FERT_MES)-(FARMER_SALARY+A1172*TEMP_COST)-FIXED_COSTS)</f>
        <v>-999999999</v>
      </c>
    </row>
    <row r="1173">
      <c r="A1173" s="5" t="n">
        <v>2</v>
      </c>
      <c r="B1173" s="5" t="n">
        <v>13</v>
      </c>
      <c r="C1173" s="5" t="n">
        <v>5</v>
      </c>
      <c r="D1173" s="18">
        <f>SEASON_HRS_TOM*B1173*(1+DIM_TOM)^B1173+SEASON_HRS_CAR*C1173*(1+DIM_CAR)^C1173</f>
        <v>4208.868552773525</v>
      </c>
      <c r="E1173" s="18">
        <f>(FARMER_FIELD_HRS+A1173*TEMP_HRS)-D1173</f>
        <v>-608.8685527735252</v>
      </c>
      <c r="F1173" s="21">
        <f>IF(E1173&lt;0,0,MIN(COUNTIF(Labor!$C$59:$C$88,"&lt;="&amp;E1173),MAXBED_MES,TOTAL_BEDS-B1173-C1173))</f>
        <v>0</v>
      </c>
      <c r="G1173" s="21">
        <f>B1173+C1173+F1173</f>
        <v>18</v>
      </c>
      <c r="H1173" s="22">
        <f>IF(E1173&lt;0,-999999999,B1173*(PRICE_TOM-FERT_TOM)+C1173*(PRICE_CAR-FERT_CAR)+F1173*(PRICE_MES-FERT_MES)-(FARMER_SALARY+A1173*TEMP_COST)-FIXED_COSTS)</f>
        <v>-999999999</v>
      </c>
    </row>
    <row r="1174">
      <c r="A1174" s="5" t="n">
        <v>2</v>
      </c>
      <c r="B1174" s="5" t="n">
        <v>13</v>
      </c>
      <c r="C1174" s="5" t="n">
        <v>6</v>
      </c>
      <c r="D1174" s="18">
        <f>SEASON_HRS_TOM*B1174*(1+DIM_TOM)^B1174+SEASON_HRS_CAR*C1174*(1+DIM_CAR)^C1174</f>
        <v>4247.902136118251</v>
      </c>
      <c r="E1174" s="18">
        <f>(FARMER_FIELD_HRS+A1174*TEMP_HRS)-D1174</f>
        <v>-647.9021361182513</v>
      </c>
      <c r="F1174" s="21">
        <f>IF(E1174&lt;0,0,MIN(COUNTIF(Labor!$C$59:$C$88,"&lt;="&amp;E1174),MAXBED_MES,TOTAL_BEDS-B1174-C1174))</f>
        <v>0</v>
      </c>
      <c r="G1174" s="21">
        <f>B1174+C1174+F1174</f>
        <v>19</v>
      </c>
      <c r="H1174" s="22">
        <f>IF(E1174&lt;0,-999999999,B1174*(PRICE_TOM-FERT_TOM)+C1174*(PRICE_CAR-FERT_CAR)+F1174*(PRICE_MES-FERT_MES)-(FARMER_SALARY+A1174*TEMP_COST)-FIXED_COSTS)</f>
        <v>-999999999</v>
      </c>
    </row>
    <row r="1175">
      <c r="A1175" s="5" t="n">
        <v>2</v>
      </c>
      <c r="B1175" s="5" t="n">
        <v>13</v>
      </c>
      <c r="C1175" s="5" t="n">
        <v>7</v>
      </c>
      <c r="D1175" s="18">
        <f>SEASON_HRS_TOM*B1175*(1+DIM_TOM)^B1175+SEASON_HRS_CAR*C1175*(1+DIM_CAR)^C1175</f>
        <v>4288.781329110256</v>
      </c>
      <c r="E1175" s="18">
        <f>(FARMER_FIELD_HRS+A1175*TEMP_HRS)-D1175</f>
        <v>-688.7813291102557</v>
      </c>
      <c r="F1175" s="21">
        <f>IF(E1175&lt;0,0,MIN(COUNTIF(Labor!$C$59:$C$88,"&lt;="&amp;E1175),MAXBED_MES,TOTAL_BEDS-B1175-C1175))</f>
        <v>0</v>
      </c>
      <c r="G1175" s="21">
        <f>B1175+C1175+F1175</f>
        <v>20</v>
      </c>
      <c r="H1175" s="22">
        <f>IF(E1175&lt;0,-999999999,B1175*(PRICE_TOM-FERT_TOM)+C1175*(PRICE_CAR-FERT_CAR)+F1175*(PRICE_MES-FERT_MES)-(FARMER_SALARY+A1175*TEMP_COST)-FIXED_COSTS)</f>
        <v>-999999999</v>
      </c>
    </row>
    <row r="1176">
      <c r="A1176" s="5" t="n">
        <v>2</v>
      </c>
      <c r="B1176" s="5" t="n">
        <v>13</v>
      </c>
      <c r="C1176" s="5" t="n">
        <v>8</v>
      </c>
      <c r="D1176" s="18">
        <f>SEASON_HRS_TOM*B1176*(1+DIM_TOM)^B1176+SEASON_HRS_CAR*C1176*(1+DIM_CAR)^C1176</f>
        <v>4331.574016242312</v>
      </c>
      <c r="E1176" s="18">
        <f>(FARMER_FIELD_HRS+A1176*TEMP_HRS)-D1176</f>
        <v>-731.5740162423117</v>
      </c>
      <c r="F1176" s="21">
        <f>IF(E1176&lt;0,0,MIN(COUNTIF(Labor!$C$59:$C$88,"&lt;="&amp;E1176),MAXBED_MES,TOTAL_BEDS-B1176-C1176))</f>
        <v>0</v>
      </c>
      <c r="G1176" s="21">
        <f>B1176+C1176+F1176</f>
        <v>21</v>
      </c>
      <c r="H1176" s="22">
        <f>IF(E1176&lt;0,-999999999,B1176*(PRICE_TOM-FERT_TOM)+C1176*(PRICE_CAR-FERT_CAR)+F1176*(PRICE_MES-FERT_MES)-(FARMER_SALARY+A1176*TEMP_COST)-FIXED_COSTS)</f>
        <v>-999999999</v>
      </c>
    </row>
    <row r="1177">
      <c r="A1177" s="5" t="n">
        <v>2</v>
      </c>
      <c r="B1177" s="5" t="n">
        <v>13</v>
      </c>
      <c r="C1177" s="5" t="n">
        <v>9</v>
      </c>
      <c r="D1177" s="18">
        <f>SEASON_HRS_TOM*B1177*(1+DIM_TOM)^B1177+SEASON_HRS_CAR*C1177*(1+DIM_CAR)^C1177</f>
        <v>4376.350322725801</v>
      </c>
      <c r="E1177" s="18">
        <f>(FARMER_FIELD_HRS+A1177*TEMP_HRS)-D1177</f>
        <v>-776.3503227258007</v>
      </c>
      <c r="F1177" s="21">
        <f>IF(E1177&lt;0,0,MIN(COUNTIF(Labor!$C$59:$C$88,"&lt;="&amp;E1177),MAXBED_MES,TOTAL_BEDS-B1177-C1177))</f>
        <v>0</v>
      </c>
      <c r="G1177" s="21">
        <f>B1177+C1177+F1177</f>
        <v>22</v>
      </c>
      <c r="H1177" s="22">
        <f>IF(E1177&lt;0,-999999999,B1177*(PRICE_TOM-FERT_TOM)+C1177*(PRICE_CAR-FERT_CAR)+F1177*(PRICE_MES-FERT_MES)-(FARMER_SALARY+A1177*TEMP_COST)-FIXED_COSTS)</f>
        <v>-999999999</v>
      </c>
    </row>
    <row r="1178">
      <c r="A1178" s="5" t="n">
        <v>2</v>
      </c>
      <c r="B1178" s="5" t="n">
        <v>13</v>
      </c>
      <c r="C1178" s="5" t="n">
        <v>10</v>
      </c>
      <c r="D1178" s="18">
        <f>SEASON_HRS_TOM*B1178*(1+DIM_TOM)^B1178+SEASON_HRS_CAR*C1178*(1+DIM_CAR)^C1178</f>
        <v>4423.182684098839</v>
      </c>
      <c r="E1178" s="18">
        <f>(FARMER_FIELD_HRS+A1178*TEMP_HRS)-D1178</f>
        <v>-823.1826840988388</v>
      </c>
      <c r="F1178" s="21">
        <f>IF(E1178&lt;0,0,MIN(COUNTIF(Labor!$C$59:$C$88,"&lt;="&amp;E1178),MAXBED_MES,TOTAL_BEDS-B1178-C1178))</f>
        <v>0</v>
      </c>
      <c r="G1178" s="21">
        <f>B1178+C1178+F1178</f>
        <v>23</v>
      </c>
      <c r="H1178" s="22">
        <f>IF(E1178&lt;0,-999999999,B1178*(PRICE_TOM-FERT_TOM)+C1178*(PRICE_CAR-FERT_CAR)+F1178*(PRICE_MES-FERT_MES)-(FARMER_SALARY+A1178*TEMP_COST)-FIXED_COSTS)</f>
        <v>-999999999</v>
      </c>
    </row>
    <row r="1179">
      <c r="A1179" s="5" t="n">
        <v>2</v>
      </c>
      <c r="B1179" s="5" t="n">
        <v>13</v>
      </c>
      <c r="C1179" s="5" t="n">
        <v>11</v>
      </c>
      <c r="D1179" s="18">
        <f>SEASON_HRS_TOM*B1179*(1+DIM_TOM)^B1179+SEASON_HRS_CAR*C1179*(1+DIM_CAR)^C1179</f>
        <v>4472.145917914349</v>
      </c>
      <c r="E1179" s="18">
        <f>(FARMER_FIELD_HRS+A1179*TEMP_HRS)-D1179</f>
        <v>-872.1459179143494</v>
      </c>
      <c r="F1179" s="21">
        <f>IF(E1179&lt;0,0,MIN(COUNTIF(Labor!$C$59:$C$88,"&lt;="&amp;E1179),MAXBED_MES,TOTAL_BEDS-B1179-C1179))</f>
        <v>0</v>
      </c>
      <c r="G1179" s="21">
        <f>B1179+C1179+F1179</f>
        <v>24</v>
      </c>
      <c r="H1179" s="22">
        <f>IF(E1179&lt;0,-999999999,B1179*(PRICE_TOM-FERT_TOM)+C1179*(PRICE_CAR-FERT_CAR)+F1179*(PRICE_MES-FERT_MES)-(FARMER_SALARY+A1179*TEMP_COST)-FIXED_COSTS)</f>
        <v>-999999999</v>
      </c>
    </row>
    <row r="1180">
      <c r="A1180" s="5" t="n">
        <v>2</v>
      </c>
      <c r="B1180" s="5" t="n">
        <v>13</v>
      </c>
      <c r="C1180" s="5" t="n">
        <v>12</v>
      </c>
      <c r="D1180" s="18">
        <f>SEASON_HRS_TOM*B1180*(1+DIM_TOM)^B1180+SEASON_HRS_CAR*C1180*(1+DIM_CAR)^C1180</f>
        <v>4523.317297568598</v>
      </c>
      <c r="E1180" s="18">
        <f>(FARMER_FIELD_HRS+A1180*TEMP_HRS)-D1180</f>
        <v>-923.3172975685984</v>
      </c>
      <c r="F1180" s="21">
        <f>IF(E1180&lt;0,0,MIN(COUNTIF(Labor!$C$59:$C$88,"&lt;="&amp;E1180),MAXBED_MES,TOTAL_BEDS-B1180-C1180))</f>
        <v>0</v>
      </c>
      <c r="G1180" s="21">
        <f>B1180+C1180+F1180</f>
        <v>25</v>
      </c>
      <c r="H1180" s="22">
        <f>IF(E1180&lt;0,-999999999,B1180*(PRICE_TOM-FERT_TOM)+C1180*(PRICE_CAR-FERT_CAR)+F1180*(PRICE_MES-FERT_MES)-(FARMER_SALARY+A1180*TEMP_COST)-FIXED_COSTS)</f>
        <v>-999999999</v>
      </c>
    </row>
    <row r="1181">
      <c r="A1181" s="5" t="n">
        <v>2</v>
      </c>
      <c r="B1181" s="5" t="n">
        <v>13</v>
      </c>
      <c r="C1181" s="5" t="n">
        <v>13</v>
      </c>
      <c r="D1181" s="18">
        <f>SEASON_HRS_TOM*B1181*(1+DIM_TOM)^B1181+SEASON_HRS_CAR*C1181*(1+DIM_CAR)^C1181</f>
        <v>4576.776628332388</v>
      </c>
      <c r="E1181" s="18">
        <f>(FARMER_FIELD_HRS+A1181*TEMP_HRS)-D1181</f>
        <v>-976.7766283323881</v>
      </c>
      <c r="F1181" s="21">
        <f>IF(E1181&lt;0,0,MIN(COUNTIF(Labor!$C$59:$C$88,"&lt;="&amp;E1181),MAXBED_MES,TOTAL_BEDS-B1181-C1181))</f>
        <v>0</v>
      </c>
      <c r="G1181" s="21">
        <f>B1181+C1181+F1181</f>
        <v>26</v>
      </c>
      <c r="H1181" s="22">
        <f>IF(E1181&lt;0,-999999999,B1181*(PRICE_TOM-FERT_TOM)+C1181*(PRICE_CAR-FERT_CAR)+F1181*(PRICE_MES-FERT_MES)-(FARMER_SALARY+A1181*TEMP_COST)-FIXED_COSTS)</f>
        <v>-999999999</v>
      </c>
    </row>
    <row r="1182">
      <c r="A1182" s="5" t="n">
        <v>2</v>
      </c>
      <c r="B1182" s="5" t="n">
        <v>13</v>
      </c>
      <c r="C1182" s="5" t="n">
        <v>14</v>
      </c>
      <c r="D1182" s="18">
        <f>SEASON_HRS_TOM*B1182*(1+DIM_TOM)^B1182+SEASON_HRS_CAR*C1182*(1+DIM_CAR)^C1182</f>
        <v>4632.606325648913</v>
      </c>
      <c r="E1182" s="18">
        <f>(FARMER_FIELD_HRS+A1182*TEMP_HRS)-D1182</f>
        <v>-1032.6063256489133</v>
      </c>
      <c r="F1182" s="21">
        <f>IF(E1182&lt;0,0,MIN(COUNTIF(Labor!$C$59:$C$88,"&lt;="&amp;E1182),MAXBED_MES,TOTAL_BEDS-B1182-C1182))</f>
        <v>0</v>
      </c>
      <c r="G1182" s="21">
        <f>B1182+C1182+F1182</f>
        <v>27</v>
      </c>
      <c r="H1182" s="22">
        <f>IF(E1182&lt;0,-999999999,B1182*(PRICE_TOM-FERT_TOM)+C1182*(PRICE_CAR-FERT_CAR)+F1182*(PRICE_MES-FERT_MES)-(FARMER_SALARY+A1182*TEMP_COST)-FIXED_COSTS)</f>
        <v>-999999999</v>
      </c>
    </row>
    <row r="1183">
      <c r="A1183" s="5" t="n">
        <v>2</v>
      </c>
      <c r="B1183" s="5" t="n">
        <v>13</v>
      </c>
      <c r="C1183" s="5" t="n">
        <v>15</v>
      </c>
      <c r="D1183" s="18">
        <f>SEASON_HRS_TOM*B1183*(1+DIM_TOM)^B1183+SEASON_HRS_CAR*C1183*(1+DIM_CAR)^C1183</f>
        <v>4690.891495764081</v>
      </c>
      <c r="E1183" s="18">
        <f>(FARMER_FIELD_HRS+A1183*TEMP_HRS)-D1183</f>
        <v>-1090.891495764081</v>
      </c>
      <c r="F1183" s="21">
        <f>IF(E1183&lt;0,0,MIN(COUNTIF(Labor!$C$59:$C$88,"&lt;="&amp;E1183),MAXBED_MES,TOTAL_BEDS-B1183-C1183))</f>
        <v>0</v>
      </c>
      <c r="G1183" s="21">
        <f>B1183+C1183+F1183</f>
        <v>28</v>
      </c>
      <c r="H1183" s="22">
        <f>IF(E1183&lt;0,-999999999,B1183*(PRICE_TOM-FERT_TOM)+C1183*(PRICE_CAR-FERT_CAR)+F1183*(PRICE_MES-FERT_MES)-(FARMER_SALARY+A1183*TEMP_COST)-FIXED_COSTS)</f>
        <v>-999999999</v>
      </c>
    </row>
    <row r="1184">
      <c r="A1184" s="5" t="n">
        <v>2</v>
      </c>
      <c r="B1184" s="5" t="n">
        <v>13</v>
      </c>
      <c r="C1184" s="5" t="n">
        <v>16</v>
      </c>
      <c r="D1184" s="18">
        <f>SEASON_HRS_TOM*B1184*(1+DIM_TOM)^B1184+SEASON_HRS_CAR*C1184*(1+DIM_CAR)^C1184</f>
        <v>4751.7200187570015</v>
      </c>
      <c r="E1184" s="18">
        <f>(FARMER_FIELD_HRS+A1184*TEMP_HRS)-D1184</f>
        <v>-1151.7200187570015</v>
      </c>
      <c r="F1184" s="21">
        <f>IF(E1184&lt;0,0,MIN(COUNTIF(Labor!$C$59:$C$88,"&lt;="&amp;E1184),MAXBED_MES,TOTAL_BEDS-B1184-C1184))</f>
        <v>0</v>
      </c>
      <c r="G1184" s="21">
        <f>B1184+C1184+F1184</f>
        <v>29</v>
      </c>
      <c r="H1184" s="22">
        <f>IF(E1184&lt;0,-999999999,B1184*(PRICE_TOM-FERT_TOM)+C1184*(PRICE_CAR-FERT_CAR)+F1184*(PRICE_MES-FERT_MES)-(FARMER_SALARY+A1184*TEMP_COST)-FIXED_COSTS)</f>
        <v>-999999999</v>
      </c>
    </row>
    <row r="1185">
      <c r="A1185" s="5" t="n">
        <v>2</v>
      </c>
      <c r="B1185" s="5" t="n">
        <v>13</v>
      </c>
      <c r="C1185" s="5" t="n">
        <v>17</v>
      </c>
      <c r="D1185" s="18">
        <f>SEASON_HRS_TOM*B1185*(1+DIM_TOM)^B1185+SEASON_HRS_CAR*C1185*(1+DIM_CAR)^C1185</f>
        <v>4815.18263404024</v>
      </c>
      <c r="E1185" s="18">
        <f>(FARMER_FIELD_HRS+A1185*TEMP_HRS)-D1185</f>
        <v>-1215.1826340402404</v>
      </c>
      <c r="F1185" s="21">
        <f>IF(E1185&lt;0,0,MIN(COUNTIF(Labor!$C$59:$C$88,"&lt;="&amp;E1185),MAXBED_MES,TOTAL_BEDS-B1185-C1185))</f>
        <v>0</v>
      </c>
      <c r="G1185" s="21">
        <f>B1185+C1185+F1185</f>
        <v>30</v>
      </c>
      <c r="H1185" s="22">
        <f>IF(E1185&lt;0,-999999999,B1185*(PRICE_TOM-FERT_TOM)+C1185*(PRICE_CAR-FERT_CAR)+F1185*(PRICE_MES-FERT_MES)-(FARMER_SALARY+A1185*TEMP_COST)-FIXED_COSTS)</f>
        <v>-999999999</v>
      </c>
    </row>
    <row r="1186">
      <c r="A1186" s="5" t="n">
        <v>2</v>
      </c>
      <c r="B1186" s="5" t="n">
        <v>13</v>
      </c>
      <c r="C1186" s="5" t="n">
        <v>18</v>
      </c>
      <c r="D1186" s="18">
        <f>SEASON_HRS_TOM*B1186*(1+DIM_TOM)^B1186+SEASON_HRS_CAR*C1186*(1+DIM_CAR)^C1186</f>
        <v>4881.373028401443</v>
      </c>
      <c r="E1186" s="18">
        <f>(FARMER_FIELD_HRS+A1186*TEMP_HRS)-D1186</f>
        <v>-1281.3730284014428</v>
      </c>
      <c r="F1186" s="21">
        <f>IF(E1186&lt;0,0,MIN(COUNTIF(Labor!$C$59:$C$88,"&lt;="&amp;E1186),MAXBED_MES,TOTAL_BEDS-B1186-C1186))</f>
        <v>0</v>
      </c>
      <c r="G1186" s="21">
        <f>B1186+C1186+F1186</f>
        <v>31</v>
      </c>
      <c r="H1186" s="22">
        <f>IF(E1186&lt;0,-999999999,B1186*(PRICE_TOM-FERT_TOM)+C1186*(PRICE_CAR-FERT_CAR)+F1186*(PRICE_MES-FERT_MES)-(FARMER_SALARY+A1186*TEMP_COST)-FIXED_COSTS)</f>
        <v>-999999999</v>
      </c>
    </row>
    <row r="1187">
      <c r="A1187" s="5" t="n">
        <v>2</v>
      </c>
      <c r="B1187" s="5" t="n">
        <v>13</v>
      </c>
      <c r="C1187" s="5" t="n">
        <v>19</v>
      </c>
      <c r="D1187" s="18">
        <f>SEASON_HRS_TOM*B1187*(1+DIM_TOM)^B1187+SEASON_HRS_CAR*C1187*(1+DIM_CAR)^C1187</f>
        <v>4950.387926659955</v>
      </c>
      <c r="E1187" s="18">
        <f>(FARMER_FIELD_HRS+A1187*TEMP_HRS)-D1187</f>
        <v>-1350.3879266599552</v>
      </c>
      <c r="F1187" s="21">
        <f>IF(E1187&lt;0,0,MIN(COUNTIF(Labor!$C$59:$C$88,"&lt;="&amp;E1187),MAXBED_MES,TOTAL_BEDS-B1187-C1187))</f>
        <v>0</v>
      </c>
      <c r="G1187" s="21">
        <f>B1187+C1187+F1187</f>
        <v>32</v>
      </c>
      <c r="H1187" s="22">
        <f>IF(E1187&lt;0,-999999999,B1187*(PRICE_TOM-FERT_TOM)+C1187*(PRICE_CAR-FERT_CAR)+F1187*(PRICE_MES-FERT_MES)-(FARMER_SALARY+A1187*TEMP_COST)-FIXED_COSTS)</f>
        <v>-999999999</v>
      </c>
    </row>
    <row r="1188">
      <c r="A1188" s="5" t="n">
        <v>2</v>
      </c>
      <c r="B1188" s="5" t="n">
        <v>13</v>
      </c>
      <c r="C1188" s="5" t="n">
        <v>20</v>
      </c>
      <c r="D1188" s="18">
        <f>SEASON_HRS_TOM*B1188*(1+DIM_TOM)^B1188+SEASON_HRS_CAR*C1188*(1+DIM_CAR)^C1188</f>
        <v>5022.327185014168</v>
      </c>
      <c r="E1188" s="18">
        <f>(FARMER_FIELD_HRS+A1188*TEMP_HRS)-D1188</f>
        <v>-1422.3271850141682</v>
      </c>
      <c r="F1188" s="21">
        <f>IF(E1188&lt;0,0,MIN(COUNTIF(Labor!$C$59:$C$88,"&lt;="&amp;E1188),MAXBED_MES,TOTAL_BEDS-B1188-C1188))</f>
        <v>0</v>
      </c>
      <c r="G1188" s="21">
        <f>B1188+C1188+F1188</f>
        <v>33</v>
      </c>
      <c r="H1188" s="22">
        <f>IF(E1188&lt;0,-999999999,B1188*(PRICE_TOM-FERT_TOM)+C1188*(PRICE_CAR-FERT_CAR)+F1188*(PRICE_MES-FERT_MES)-(FARMER_SALARY+A1188*TEMP_COST)-FIXED_COSTS)</f>
        <v>-999999999</v>
      </c>
    </row>
    <row r="1189">
      <c r="A1189" s="5" t="n">
        <v>2</v>
      </c>
      <c r="B1189" s="5" t="n">
        <v>14</v>
      </c>
      <c r="C1189" s="5" t="n">
        <v>0</v>
      </c>
      <c r="D1189" s="18">
        <f>SEASON_HRS_TOM*B1189*(1+DIM_TOM)^B1189+SEASON_HRS_CAR*C1189*(1+DIM_CAR)^C1189</f>
        <v>4784.847903148842</v>
      </c>
      <c r="E1189" s="18">
        <f>(FARMER_FIELD_HRS+A1189*TEMP_HRS)-D1189</f>
        <v>-1184.8479031488423</v>
      </c>
      <c r="F1189" s="21">
        <f>IF(E1189&lt;0,0,MIN(COUNTIF(Labor!$C$59:$C$88,"&lt;="&amp;E1189),MAXBED_MES,TOTAL_BEDS-B1189-C1189))</f>
        <v>0</v>
      </c>
      <c r="G1189" s="21">
        <f>B1189+C1189+F1189</f>
        <v>14</v>
      </c>
      <c r="H1189" s="22">
        <f>IF(E1189&lt;0,-999999999,B1189*(PRICE_TOM-FERT_TOM)+C1189*(PRICE_CAR-FERT_CAR)+F1189*(PRICE_MES-FERT_MES)-(FARMER_SALARY+A1189*TEMP_COST)-FIXED_COSTS)</f>
        <v>-999999999</v>
      </c>
    </row>
    <row r="1190">
      <c r="A1190" s="5" t="n">
        <v>2</v>
      </c>
      <c r="B1190" s="5" t="n">
        <v>14</v>
      </c>
      <c r="C1190" s="5" t="n">
        <v>1</v>
      </c>
      <c r="D1190" s="18">
        <f>SEASON_HRS_TOM*B1190*(1+DIM_TOM)^B1190+SEASON_HRS_CAR*C1190*(1+DIM_CAR)^C1190</f>
        <v>4815.597903148842</v>
      </c>
      <c r="E1190" s="18">
        <f>(FARMER_FIELD_HRS+A1190*TEMP_HRS)-D1190</f>
        <v>-1215.5979031488423</v>
      </c>
      <c r="F1190" s="21">
        <f>IF(E1190&lt;0,0,MIN(COUNTIF(Labor!$C$59:$C$88,"&lt;="&amp;E1190),MAXBED_MES,TOTAL_BEDS-B1190-C1190))</f>
        <v>0</v>
      </c>
      <c r="G1190" s="21">
        <f>B1190+C1190+F1190</f>
        <v>15</v>
      </c>
      <c r="H1190" s="22">
        <f>IF(E1190&lt;0,-999999999,B1190*(PRICE_TOM-FERT_TOM)+C1190*(PRICE_CAR-FERT_CAR)+F1190*(PRICE_MES-FERT_MES)-(FARMER_SALARY+A1190*TEMP_COST)-FIXED_COSTS)</f>
        <v>-999999999</v>
      </c>
    </row>
    <row r="1191">
      <c r="A1191" s="5" t="n">
        <v>2</v>
      </c>
      <c r="B1191" s="5" t="n">
        <v>14</v>
      </c>
      <c r="C1191" s="5" t="n">
        <v>2</v>
      </c>
      <c r="D1191" s="18">
        <f>SEASON_HRS_TOM*B1191*(1+DIM_TOM)^B1191+SEASON_HRS_CAR*C1191*(1+DIM_CAR)^C1191</f>
        <v>4847.885403148843</v>
      </c>
      <c r="E1191" s="18">
        <f>(FARMER_FIELD_HRS+A1191*TEMP_HRS)-D1191</f>
        <v>-1247.8854031488427</v>
      </c>
      <c r="F1191" s="21">
        <f>IF(E1191&lt;0,0,MIN(COUNTIF(Labor!$C$59:$C$88,"&lt;="&amp;E1191),MAXBED_MES,TOTAL_BEDS-B1191-C1191))</f>
        <v>0</v>
      </c>
      <c r="G1191" s="21">
        <f>B1191+C1191+F1191</f>
        <v>16</v>
      </c>
      <c r="H1191" s="22">
        <f>IF(E1191&lt;0,-999999999,B1191*(PRICE_TOM-FERT_TOM)+C1191*(PRICE_CAR-FERT_CAR)+F1191*(PRICE_MES-FERT_MES)-(FARMER_SALARY+A1191*TEMP_COST)-FIXED_COSTS)</f>
        <v>-999999999</v>
      </c>
    </row>
    <row r="1192">
      <c r="A1192" s="5" t="n">
        <v>2</v>
      </c>
      <c r="B1192" s="5" t="n">
        <v>14</v>
      </c>
      <c r="C1192" s="5" t="n">
        <v>3</v>
      </c>
      <c r="D1192" s="18">
        <f>SEASON_HRS_TOM*B1192*(1+DIM_TOM)^B1192+SEASON_HRS_CAR*C1192*(1+DIM_CAR)^C1192</f>
        <v>4881.7680593988425</v>
      </c>
      <c r="E1192" s="18">
        <f>(FARMER_FIELD_HRS+A1192*TEMP_HRS)-D1192</f>
        <v>-1281.7680593988425</v>
      </c>
      <c r="F1192" s="21">
        <f>IF(E1192&lt;0,0,MIN(COUNTIF(Labor!$C$59:$C$88,"&lt;="&amp;E1192),MAXBED_MES,TOTAL_BEDS-B1192-C1192))</f>
        <v>0</v>
      </c>
      <c r="G1192" s="21">
        <f>B1192+C1192+F1192</f>
        <v>17</v>
      </c>
      <c r="H1192" s="22">
        <f>IF(E1192&lt;0,-999999999,B1192*(PRICE_TOM-FERT_TOM)+C1192*(PRICE_CAR-FERT_CAR)+F1192*(PRICE_MES-FERT_MES)-(FARMER_SALARY+A1192*TEMP_COST)-FIXED_COSTS)</f>
        <v>-999999999</v>
      </c>
    </row>
    <row r="1193">
      <c r="A1193" s="5" t="n">
        <v>2</v>
      </c>
      <c r="B1193" s="5" t="n">
        <v>14</v>
      </c>
      <c r="C1193" s="5" t="n">
        <v>4</v>
      </c>
      <c r="D1193" s="18">
        <f>SEASON_HRS_TOM*B1193*(1+DIM_TOM)^B1193+SEASON_HRS_CAR*C1193*(1+DIM_CAR)^C1193</f>
        <v>4917.305450023842</v>
      </c>
      <c r="E1193" s="18">
        <f>(FARMER_FIELD_HRS+A1193*TEMP_HRS)-D1193</f>
        <v>-1317.3054500238422</v>
      </c>
      <c r="F1193" s="21">
        <f>IF(E1193&lt;0,0,MIN(COUNTIF(Labor!$C$59:$C$88,"&lt;="&amp;E1193),MAXBED_MES,TOTAL_BEDS-B1193-C1193))</f>
        <v>0</v>
      </c>
      <c r="G1193" s="21">
        <f>B1193+C1193+F1193</f>
        <v>18</v>
      </c>
      <c r="H1193" s="22">
        <f>IF(E1193&lt;0,-999999999,B1193*(PRICE_TOM-FERT_TOM)+C1193*(PRICE_CAR-FERT_CAR)+F1193*(PRICE_MES-FERT_MES)-(FARMER_SALARY+A1193*TEMP_COST)-FIXED_COSTS)</f>
        <v>-999999999</v>
      </c>
    </row>
    <row r="1194">
      <c r="A1194" s="5" t="n">
        <v>2</v>
      </c>
      <c r="B1194" s="5" t="n">
        <v>14</v>
      </c>
      <c r="C1194" s="5" t="n">
        <v>5</v>
      </c>
      <c r="D1194" s="18">
        <f>SEASON_HRS_TOM*B1194*(1+DIM_TOM)^B1194+SEASON_HRS_CAR*C1194*(1+DIM_CAR)^C1194</f>
        <v>4954.559135082436</v>
      </c>
      <c r="E1194" s="18">
        <f>(FARMER_FIELD_HRS+A1194*TEMP_HRS)-D1194</f>
        <v>-1354.5591350824361</v>
      </c>
      <c r="F1194" s="21">
        <f>IF(E1194&lt;0,0,MIN(COUNTIF(Labor!$C$59:$C$88,"&lt;="&amp;E1194),MAXBED_MES,TOTAL_BEDS-B1194-C1194))</f>
        <v>0</v>
      </c>
      <c r="G1194" s="21">
        <f>B1194+C1194+F1194</f>
        <v>19</v>
      </c>
      <c r="H1194" s="22">
        <f>IF(E1194&lt;0,-999999999,B1194*(PRICE_TOM-FERT_TOM)+C1194*(PRICE_CAR-FERT_CAR)+F1194*(PRICE_MES-FERT_MES)-(FARMER_SALARY+A1194*TEMP_COST)-FIXED_COSTS)</f>
        <v>-999999999</v>
      </c>
    </row>
    <row r="1195">
      <c r="A1195" s="5" t="n">
        <v>2</v>
      </c>
      <c r="B1195" s="5" t="n">
        <v>14</v>
      </c>
      <c r="C1195" s="5" t="n">
        <v>6</v>
      </c>
      <c r="D1195" s="18">
        <f>SEASON_HRS_TOM*B1195*(1+DIM_TOM)^B1195+SEASON_HRS_CAR*C1195*(1+DIM_CAR)^C1195</f>
        <v>4993.592718427162</v>
      </c>
      <c r="E1195" s="18">
        <f>(FARMER_FIELD_HRS+A1195*TEMP_HRS)-D1195</f>
        <v>-1393.5927184271623</v>
      </c>
      <c r="F1195" s="21">
        <f>IF(E1195&lt;0,0,MIN(COUNTIF(Labor!$C$59:$C$88,"&lt;="&amp;E1195),MAXBED_MES,TOTAL_BEDS-B1195-C1195))</f>
        <v>0</v>
      </c>
      <c r="G1195" s="21">
        <f>B1195+C1195+F1195</f>
        <v>20</v>
      </c>
      <c r="H1195" s="22">
        <f>IF(E1195&lt;0,-999999999,B1195*(PRICE_TOM-FERT_TOM)+C1195*(PRICE_CAR-FERT_CAR)+F1195*(PRICE_MES-FERT_MES)-(FARMER_SALARY+A1195*TEMP_COST)-FIXED_COSTS)</f>
        <v>-999999999</v>
      </c>
    </row>
    <row r="1196">
      <c r="A1196" s="5" t="n">
        <v>2</v>
      </c>
      <c r="B1196" s="5" t="n">
        <v>14</v>
      </c>
      <c r="C1196" s="5" t="n">
        <v>7</v>
      </c>
      <c r="D1196" s="18">
        <f>SEASON_HRS_TOM*B1196*(1+DIM_TOM)^B1196+SEASON_HRS_CAR*C1196*(1+DIM_CAR)^C1196</f>
        <v>5034.471911419167</v>
      </c>
      <c r="E1196" s="18">
        <f>(FARMER_FIELD_HRS+A1196*TEMP_HRS)-D1196</f>
        <v>-1434.4719114191666</v>
      </c>
      <c r="F1196" s="21">
        <f>IF(E1196&lt;0,0,MIN(COUNTIF(Labor!$C$59:$C$88,"&lt;="&amp;E1196),MAXBED_MES,TOTAL_BEDS-B1196-C1196))</f>
        <v>0</v>
      </c>
      <c r="G1196" s="21">
        <f>B1196+C1196+F1196</f>
        <v>21</v>
      </c>
      <c r="H1196" s="22">
        <f>IF(E1196&lt;0,-999999999,B1196*(PRICE_TOM-FERT_TOM)+C1196*(PRICE_CAR-FERT_CAR)+F1196*(PRICE_MES-FERT_MES)-(FARMER_SALARY+A1196*TEMP_COST)-FIXED_COSTS)</f>
        <v>-999999999</v>
      </c>
    </row>
    <row r="1197">
      <c r="A1197" s="5" t="n">
        <v>2</v>
      </c>
      <c r="B1197" s="5" t="n">
        <v>14</v>
      </c>
      <c r="C1197" s="5" t="n">
        <v>8</v>
      </c>
      <c r="D1197" s="18">
        <f>SEASON_HRS_TOM*B1197*(1+DIM_TOM)^B1197+SEASON_HRS_CAR*C1197*(1+DIM_CAR)^C1197</f>
        <v>5077.264598551223</v>
      </c>
      <c r="E1197" s="18">
        <f>(FARMER_FIELD_HRS+A1197*TEMP_HRS)-D1197</f>
        <v>-1477.2645985512227</v>
      </c>
      <c r="F1197" s="21">
        <f>IF(E1197&lt;0,0,MIN(COUNTIF(Labor!$C$59:$C$88,"&lt;="&amp;E1197),MAXBED_MES,TOTAL_BEDS-B1197-C1197))</f>
        <v>0</v>
      </c>
      <c r="G1197" s="21">
        <f>B1197+C1197+F1197</f>
        <v>22</v>
      </c>
      <c r="H1197" s="22">
        <f>IF(E1197&lt;0,-999999999,B1197*(PRICE_TOM-FERT_TOM)+C1197*(PRICE_CAR-FERT_CAR)+F1197*(PRICE_MES-FERT_MES)-(FARMER_SALARY+A1197*TEMP_COST)-FIXED_COSTS)</f>
        <v>-999999999</v>
      </c>
    </row>
    <row r="1198">
      <c r="A1198" s="5" t="n">
        <v>2</v>
      </c>
      <c r="B1198" s="5" t="n">
        <v>14</v>
      </c>
      <c r="C1198" s="5" t="n">
        <v>9</v>
      </c>
      <c r="D1198" s="18">
        <f>SEASON_HRS_TOM*B1198*(1+DIM_TOM)^B1198+SEASON_HRS_CAR*C1198*(1+DIM_CAR)^C1198</f>
        <v>5122.040905034712</v>
      </c>
      <c r="E1198" s="18">
        <f>(FARMER_FIELD_HRS+A1198*TEMP_HRS)-D1198</f>
        <v>-1522.0409050347116</v>
      </c>
      <c r="F1198" s="21">
        <f>IF(E1198&lt;0,0,MIN(COUNTIF(Labor!$C$59:$C$88,"&lt;="&amp;E1198),MAXBED_MES,TOTAL_BEDS-B1198-C1198))</f>
        <v>0</v>
      </c>
      <c r="G1198" s="21">
        <f>B1198+C1198+F1198</f>
        <v>23</v>
      </c>
      <c r="H1198" s="22">
        <f>IF(E1198&lt;0,-999999999,B1198*(PRICE_TOM-FERT_TOM)+C1198*(PRICE_CAR-FERT_CAR)+F1198*(PRICE_MES-FERT_MES)-(FARMER_SALARY+A1198*TEMP_COST)-FIXED_COSTS)</f>
        <v>-999999999</v>
      </c>
    </row>
    <row r="1199">
      <c r="A1199" s="5" t="n">
        <v>2</v>
      </c>
      <c r="B1199" s="5" t="n">
        <v>14</v>
      </c>
      <c r="C1199" s="5" t="n">
        <v>10</v>
      </c>
      <c r="D1199" s="18">
        <f>SEASON_HRS_TOM*B1199*(1+DIM_TOM)^B1199+SEASON_HRS_CAR*C1199*(1+DIM_CAR)^C1199</f>
        <v>5168.87326640775</v>
      </c>
      <c r="E1199" s="18">
        <f>(FARMER_FIELD_HRS+A1199*TEMP_HRS)-D1199</f>
        <v>-1568.8732664077497</v>
      </c>
      <c r="F1199" s="21">
        <f>IF(E1199&lt;0,0,MIN(COUNTIF(Labor!$C$59:$C$88,"&lt;="&amp;E1199),MAXBED_MES,TOTAL_BEDS-B1199-C1199))</f>
        <v>0</v>
      </c>
      <c r="G1199" s="21">
        <f>B1199+C1199+F1199</f>
        <v>24</v>
      </c>
      <c r="H1199" s="22">
        <f>IF(E1199&lt;0,-999999999,B1199*(PRICE_TOM-FERT_TOM)+C1199*(PRICE_CAR-FERT_CAR)+F1199*(PRICE_MES-FERT_MES)-(FARMER_SALARY+A1199*TEMP_COST)-FIXED_COSTS)</f>
        <v>-999999999</v>
      </c>
    </row>
    <row r="1200">
      <c r="A1200" s="5" t="n">
        <v>2</v>
      </c>
      <c r="B1200" s="5" t="n">
        <v>14</v>
      </c>
      <c r="C1200" s="5" t="n">
        <v>11</v>
      </c>
      <c r="D1200" s="18">
        <f>SEASON_HRS_TOM*B1200*(1+DIM_TOM)^B1200+SEASON_HRS_CAR*C1200*(1+DIM_CAR)^C1200</f>
        <v>5217.83650022326</v>
      </c>
      <c r="E1200" s="18">
        <f>(FARMER_FIELD_HRS+A1200*TEMP_HRS)-D1200</f>
        <v>-1617.8365002232604</v>
      </c>
      <c r="F1200" s="21">
        <f>IF(E1200&lt;0,0,MIN(COUNTIF(Labor!$C$59:$C$88,"&lt;="&amp;E1200),MAXBED_MES,TOTAL_BEDS-B1200-C1200))</f>
        <v>0</v>
      </c>
      <c r="G1200" s="21">
        <f>B1200+C1200+F1200</f>
        <v>25</v>
      </c>
      <c r="H1200" s="22">
        <f>IF(E1200&lt;0,-999999999,B1200*(PRICE_TOM-FERT_TOM)+C1200*(PRICE_CAR-FERT_CAR)+F1200*(PRICE_MES-FERT_MES)-(FARMER_SALARY+A1200*TEMP_COST)-FIXED_COSTS)</f>
        <v>-999999999</v>
      </c>
    </row>
    <row r="1201">
      <c r="A1201" s="5" t="n">
        <v>2</v>
      </c>
      <c r="B1201" s="5" t="n">
        <v>14</v>
      </c>
      <c r="C1201" s="5" t="n">
        <v>12</v>
      </c>
      <c r="D1201" s="18">
        <f>SEASON_HRS_TOM*B1201*(1+DIM_TOM)^B1201+SEASON_HRS_CAR*C1201*(1+DIM_CAR)^C1201</f>
        <v>5269.007879877509</v>
      </c>
      <c r="E1201" s="18">
        <f>(FARMER_FIELD_HRS+A1201*TEMP_HRS)-D1201</f>
        <v>-1669.0078798775094</v>
      </c>
      <c r="F1201" s="21">
        <f>IF(E1201&lt;0,0,MIN(COUNTIF(Labor!$C$59:$C$88,"&lt;="&amp;E1201),MAXBED_MES,TOTAL_BEDS-B1201-C1201))</f>
        <v>0</v>
      </c>
      <c r="G1201" s="21">
        <f>B1201+C1201+F1201</f>
        <v>26</v>
      </c>
      <c r="H1201" s="22">
        <f>IF(E1201&lt;0,-999999999,B1201*(PRICE_TOM-FERT_TOM)+C1201*(PRICE_CAR-FERT_CAR)+F1201*(PRICE_MES-FERT_MES)-(FARMER_SALARY+A1201*TEMP_COST)-FIXED_COSTS)</f>
        <v>-999999999</v>
      </c>
    </row>
    <row r="1202">
      <c r="A1202" s="5" t="n">
        <v>2</v>
      </c>
      <c r="B1202" s="5" t="n">
        <v>14</v>
      </c>
      <c r="C1202" s="5" t="n">
        <v>13</v>
      </c>
      <c r="D1202" s="18">
        <f>SEASON_HRS_TOM*B1202*(1+DIM_TOM)^B1202+SEASON_HRS_CAR*C1202*(1+DIM_CAR)^C1202</f>
        <v>5322.467210641299</v>
      </c>
      <c r="E1202" s="18">
        <f>(FARMER_FIELD_HRS+A1202*TEMP_HRS)-D1202</f>
        <v>-1722.467210641299</v>
      </c>
      <c r="F1202" s="21">
        <f>IF(E1202&lt;0,0,MIN(COUNTIF(Labor!$C$59:$C$88,"&lt;="&amp;E1202),MAXBED_MES,TOTAL_BEDS-B1202-C1202))</f>
        <v>0</v>
      </c>
      <c r="G1202" s="21">
        <f>B1202+C1202+F1202</f>
        <v>27</v>
      </c>
      <c r="H1202" s="22">
        <f>IF(E1202&lt;0,-999999999,B1202*(PRICE_TOM-FERT_TOM)+C1202*(PRICE_CAR-FERT_CAR)+F1202*(PRICE_MES-FERT_MES)-(FARMER_SALARY+A1202*TEMP_COST)-FIXED_COSTS)</f>
        <v>-999999999</v>
      </c>
    </row>
    <row r="1203">
      <c r="A1203" s="5" t="n">
        <v>2</v>
      </c>
      <c r="B1203" s="5" t="n">
        <v>14</v>
      </c>
      <c r="C1203" s="5" t="n">
        <v>14</v>
      </c>
      <c r="D1203" s="18">
        <f>SEASON_HRS_TOM*B1203*(1+DIM_TOM)^B1203+SEASON_HRS_CAR*C1203*(1+DIM_CAR)^C1203</f>
        <v>5378.296907957824</v>
      </c>
      <c r="E1203" s="18">
        <f>(FARMER_FIELD_HRS+A1203*TEMP_HRS)-D1203</f>
        <v>-1778.2969079578243</v>
      </c>
      <c r="F1203" s="21">
        <f>IF(E1203&lt;0,0,MIN(COUNTIF(Labor!$C$59:$C$88,"&lt;="&amp;E1203),MAXBED_MES,TOTAL_BEDS-B1203-C1203))</f>
        <v>0</v>
      </c>
      <c r="G1203" s="21">
        <f>B1203+C1203+F1203</f>
        <v>28</v>
      </c>
      <c r="H1203" s="22">
        <f>IF(E1203&lt;0,-999999999,B1203*(PRICE_TOM-FERT_TOM)+C1203*(PRICE_CAR-FERT_CAR)+F1203*(PRICE_MES-FERT_MES)-(FARMER_SALARY+A1203*TEMP_COST)-FIXED_COSTS)</f>
        <v>-999999999</v>
      </c>
    </row>
    <row r="1204">
      <c r="A1204" s="5" t="n">
        <v>2</v>
      </c>
      <c r="B1204" s="5" t="n">
        <v>14</v>
      </c>
      <c r="C1204" s="5" t="n">
        <v>15</v>
      </c>
      <c r="D1204" s="18">
        <f>SEASON_HRS_TOM*B1204*(1+DIM_TOM)^B1204+SEASON_HRS_CAR*C1204*(1+DIM_CAR)^C1204</f>
        <v>5436.582078072992</v>
      </c>
      <c r="E1204" s="18">
        <f>(FARMER_FIELD_HRS+A1204*TEMP_HRS)-D1204</f>
        <v>-1836.5820780729919</v>
      </c>
      <c r="F1204" s="21">
        <f>IF(E1204&lt;0,0,MIN(COUNTIF(Labor!$C$59:$C$88,"&lt;="&amp;E1204),MAXBED_MES,TOTAL_BEDS-B1204-C1204))</f>
        <v>0</v>
      </c>
      <c r="G1204" s="21">
        <f>B1204+C1204+F1204</f>
        <v>29</v>
      </c>
      <c r="H1204" s="22">
        <f>IF(E1204&lt;0,-999999999,B1204*(PRICE_TOM-FERT_TOM)+C1204*(PRICE_CAR-FERT_CAR)+F1204*(PRICE_MES-FERT_MES)-(FARMER_SALARY+A1204*TEMP_COST)-FIXED_COSTS)</f>
        <v>-999999999</v>
      </c>
    </row>
    <row r="1205">
      <c r="A1205" s="5" t="n">
        <v>2</v>
      </c>
      <c r="B1205" s="5" t="n">
        <v>14</v>
      </c>
      <c r="C1205" s="5" t="n">
        <v>16</v>
      </c>
      <c r="D1205" s="18">
        <f>SEASON_HRS_TOM*B1205*(1+DIM_TOM)^B1205+SEASON_HRS_CAR*C1205*(1+DIM_CAR)^C1205</f>
        <v>5497.4106010659125</v>
      </c>
      <c r="E1205" s="18">
        <f>(FARMER_FIELD_HRS+A1205*TEMP_HRS)-D1205</f>
        <v>-1897.4106010659125</v>
      </c>
      <c r="F1205" s="21">
        <f>IF(E1205&lt;0,0,MIN(COUNTIF(Labor!$C$59:$C$88,"&lt;="&amp;E1205),MAXBED_MES,TOTAL_BEDS-B1205-C1205))</f>
        <v>0</v>
      </c>
      <c r="G1205" s="21">
        <f>B1205+C1205+F1205</f>
        <v>30</v>
      </c>
      <c r="H1205" s="22">
        <f>IF(E1205&lt;0,-999999999,B1205*(PRICE_TOM-FERT_TOM)+C1205*(PRICE_CAR-FERT_CAR)+F1205*(PRICE_MES-FERT_MES)-(FARMER_SALARY+A1205*TEMP_COST)-FIXED_COSTS)</f>
        <v>-999999999</v>
      </c>
    </row>
    <row r="1206">
      <c r="A1206" s="5" t="n">
        <v>2</v>
      </c>
      <c r="B1206" s="5" t="n">
        <v>14</v>
      </c>
      <c r="C1206" s="5" t="n">
        <v>17</v>
      </c>
      <c r="D1206" s="18">
        <f>SEASON_HRS_TOM*B1206*(1+DIM_TOM)^B1206+SEASON_HRS_CAR*C1206*(1+DIM_CAR)^C1206</f>
        <v>5560.873216349151</v>
      </c>
      <c r="E1206" s="18">
        <f>(FARMER_FIELD_HRS+A1206*TEMP_HRS)-D1206</f>
        <v>-1960.8732163491513</v>
      </c>
      <c r="F1206" s="21">
        <f>IF(E1206&lt;0,0,MIN(COUNTIF(Labor!$C$59:$C$88,"&lt;="&amp;E1206),MAXBED_MES,TOTAL_BEDS-B1206-C1206))</f>
        <v>0</v>
      </c>
      <c r="G1206" s="21">
        <f>B1206+C1206+F1206</f>
        <v>31</v>
      </c>
      <c r="H1206" s="22">
        <f>IF(E1206&lt;0,-999999999,B1206*(PRICE_TOM-FERT_TOM)+C1206*(PRICE_CAR-FERT_CAR)+F1206*(PRICE_MES-FERT_MES)-(FARMER_SALARY+A1206*TEMP_COST)-FIXED_COSTS)</f>
        <v>-999999999</v>
      </c>
    </row>
    <row r="1207">
      <c r="A1207" s="5" t="n">
        <v>2</v>
      </c>
      <c r="B1207" s="5" t="n">
        <v>14</v>
      </c>
      <c r="C1207" s="5" t="n">
        <v>18</v>
      </c>
      <c r="D1207" s="18">
        <f>SEASON_HRS_TOM*B1207*(1+DIM_TOM)^B1207+SEASON_HRS_CAR*C1207*(1+DIM_CAR)^C1207</f>
        <v>5627.063610710354</v>
      </c>
      <c r="E1207" s="18">
        <f>(FARMER_FIELD_HRS+A1207*TEMP_HRS)-D1207</f>
        <v>-2027.0636107103537</v>
      </c>
      <c r="F1207" s="21">
        <f>IF(E1207&lt;0,0,MIN(COUNTIF(Labor!$C$59:$C$88,"&lt;="&amp;E1207),MAXBED_MES,TOTAL_BEDS-B1207-C1207))</f>
        <v>0</v>
      </c>
      <c r="G1207" s="21">
        <f>B1207+C1207+F1207</f>
        <v>32</v>
      </c>
      <c r="H1207" s="22">
        <f>IF(E1207&lt;0,-999999999,B1207*(PRICE_TOM-FERT_TOM)+C1207*(PRICE_CAR-FERT_CAR)+F1207*(PRICE_MES-FERT_MES)-(FARMER_SALARY+A1207*TEMP_COST)-FIXED_COSTS)</f>
        <v>-999999999</v>
      </c>
    </row>
    <row r="1208">
      <c r="A1208" s="5" t="n">
        <v>2</v>
      </c>
      <c r="B1208" s="5" t="n">
        <v>14</v>
      </c>
      <c r="C1208" s="5" t="n">
        <v>19</v>
      </c>
      <c r="D1208" s="18">
        <f>SEASON_HRS_TOM*B1208*(1+DIM_TOM)^B1208+SEASON_HRS_CAR*C1208*(1+DIM_CAR)^C1208</f>
        <v>5696.078508968866</v>
      </c>
      <c r="E1208" s="18">
        <f>(FARMER_FIELD_HRS+A1208*TEMP_HRS)-D1208</f>
        <v>-2096.078508968866</v>
      </c>
      <c r="F1208" s="21">
        <f>IF(E1208&lt;0,0,MIN(COUNTIF(Labor!$C$59:$C$88,"&lt;="&amp;E1208),MAXBED_MES,TOTAL_BEDS-B1208-C1208))</f>
        <v>0</v>
      </c>
      <c r="G1208" s="21">
        <f>B1208+C1208+F1208</f>
        <v>33</v>
      </c>
      <c r="H1208" s="22">
        <f>IF(E1208&lt;0,-999999999,B1208*(PRICE_TOM-FERT_TOM)+C1208*(PRICE_CAR-FERT_CAR)+F1208*(PRICE_MES-FERT_MES)-(FARMER_SALARY+A1208*TEMP_COST)-FIXED_COSTS)</f>
        <v>-999999999</v>
      </c>
    </row>
    <row r="1209">
      <c r="A1209" s="5" t="n">
        <v>2</v>
      </c>
      <c r="B1209" s="5" t="n">
        <v>14</v>
      </c>
      <c r="C1209" s="5" t="n">
        <v>20</v>
      </c>
      <c r="D1209" s="18">
        <f>SEASON_HRS_TOM*B1209*(1+DIM_TOM)^B1209+SEASON_HRS_CAR*C1209*(1+DIM_CAR)^C1209</f>
        <v>5768.017767323079</v>
      </c>
      <c r="E1209" s="18">
        <f>(FARMER_FIELD_HRS+A1209*TEMP_HRS)-D1209</f>
        <v>-2168.017767323079</v>
      </c>
      <c r="F1209" s="21">
        <f>IF(E1209&lt;0,0,MIN(COUNTIF(Labor!$C$59:$C$88,"&lt;="&amp;E1209),MAXBED_MES,TOTAL_BEDS-B1209-C1209))</f>
        <v>0</v>
      </c>
      <c r="G1209" s="21">
        <f>B1209+C1209+F1209</f>
        <v>34</v>
      </c>
      <c r="H1209" s="22">
        <f>IF(E1209&lt;0,-999999999,B1209*(PRICE_TOM-FERT_TOM)+C1209*(PRICE_CAR-FERT_CAR)+F1209*(PRICE_MES-FERT_MES)-(FARMER_SALARY+A1209*TEMP_COST)-FIXED_COSTS)</f>
        <v>-999999999</v>
      </c>
    </row>
    <row r="1210">
      <c r="A1210" s="5" t="n">
        <v>2</v>
      </c>
      <c r="B1210" s="5" t="n">
        <v>15</v>
      </c>
      <c r="C1210" s="5" t="n">
        <v>0</v>
      </c>
      <c r="D1210" s="18">
        <f>SEASON_HRS_TOM*B1210*(1+DIM_TOM)^B1210+SEASON_HRS_CAR*C1210*(1+DIM_CAR)^C1210</f>
        <v>5639.285028711136</v>
      </c>
      <c r="E1210" s="18">
        <f>(FARMER_FIELD_HRS+A1210*TEMP_HRS)-D1210</f>
        <v>-2039.285028711136</v>
      </c>
      <c r="F1210" s="21">
        <f>IF(E1210&lt;0,0,MIN(COUNTIF(Labor!$C$59:$C$88,"&lt;="&amp;E1210),MAXBED_MES,TOTAL_BEDS-B1210-C1210))</f>
        <v>0</v>
      </c>
      <c r="G1210" s="21">
        <f>B1210+C1210+F1210</f>
        <v>15</v>
      </c>
      <c r="H1210" s="22">
        <f>IF(E1210&lt;0,-999999999,B1210*(PRICE_TOM-FERT_TOM)+C1210*(PRICE_CAR-FERT_CAR)+F1210*(PRICE_MES-FERT_MES)-(FARMER_SALARY+A1210*TEMP_COST)-FIXED_COSTS)</f>
        <v>-999999999</v>
      </c>
    </row>
    <row r="1211">
      <c r="A1211" s="5" t="n">
        <v>2</v>
      </c>
      <c r="B1211" s="5" t="n">
        <v>15</v>
      </c>
      <c r="C1211" s="5" t="n">
        <v>1</v>
      </c>
      <c r="D1211" s="18">
        <f>SEASON_HRS_TOM*B1211*(1+DIM_TOM)^B1211+SEASON_HRS_CAR*C1211*(1+DIM_CAR)^C1211</f>
        <v>5670.035028711136</v>
      </c>
      <c r="E1211" s="18">
        <f>(FARMER_FIELD_HRS+A1211*TEMP_HRS)-D1211</f>
        <v>-2070.035028711136</v>
      </c>
      <c r="F1211" s="21">
        <f>IF(E1211&lt;0,0,MIN(COUNTIF(Labor!$C$59:$C$88,"&lt;="&amp;E1211),MAXBED_MES,TOTAL_BEDS-B1211-C1211))</f>
        <v>0</v>
      </c>
      <c r="G1211" s="21">
        <f>B1211+C1211+F1211</f>
        <v>16</v>
      </c>
      <c r="H1211" s="22">
        <f>IF(E1211&lt;0,-999999999,B1211*(PRICE_TOM-FERT_TOM)+C1211*(PRICE_CAR-FERT_CAR)+F1211*(PRICE_MES-FERT_MES)-(FARMER_SALARY+A1211*TEMP_COST)-FIXED_COSTS)</f>
        <v>-999999999</v>
      </c>
    </row>
    <row r="1212">
      <c r="A1212" s="5" t="n">
        <v>2</v>
      </c>
      <c r="B1212" s="5" t="n">
        <v>15</v>
      </c>
      <c r="C1212" s="5" t="n">
        <v>2</v>
      </c>
      <c r="D1212" s="18">
        <f>SEASON_HRS_TOM*B1212*(1+DIM_TOM)^B1212+SEASON_HRS_CAR*C1212*(1+DIM_CAR)^C1212</f>
        <v>5702.322528711136</v>
      </c>
      <c r="E1212" s="18">
        <f>(FARMER_FIELD_HRS+A1212*TEMP_HRS)-D1212</f>
        <v>-2102.3225287111363</v>
      </c>
      <c r="F1212" s="21">
        <f>IF(E1212&lt;0,0,MIN(COUNTIF(Labor!$C$59:$C$88,"&lt;="&amp;E1212),MAXBED_MES,TOTAL_BEDS-B1212-C1212))</f>
        <v>0</v>
      </c>
      <c r="G1212" s="21">
        <f>B1212+C1212+F1212</f>
        <v>17</v>
      </c>
      <c r="H1212" s="22">
        <f>IF(E1212&lt;0,-999999999,B1212*(PRICE_TOM-FERT_TOM)+C1212*(PRICE_CAR-FERT_CAR)+F1212*(PRICE_MES-FERT_MES)-(FARMER_SALARY+A1212*TEMP_COST)-FIXED_COSTS)</f>
        <v>-999999999</v>
      </c>
    </row>
    <row r="1213">
      <c r="A1213" s="5" t="n">
        <v>2</v>
      </c>
      <c r="B1213" s="5" t="n">
        <v>15</v>
      </c>
      <c r="C1213" s="5" t="n">
        <v>3</v>
      </c>
      <c r="D1213" s="18">
        <f>SEASON_HRS_TOM*B1213*(1+DIM_TOM)^B1213+SEASON_HRS_CAR*C1213*(1+DIM_CAR)^C1213</f>
        <v>5736.205184961136</v>
      </c>
      <c r="E1213" s="18">
        <f>(FARMER_FIELD_HRS+A1213*TEMP_HRS)-D1213</f>
        <v>-2136.205184961136</v>
      </c>
      <c r="F1213" s="21">
        <f>IF(E1213&lt;0,0,MIN(COUNTIF(Labor!$C$59:$C$88,"&lt;="&amp;E1213),MAXBED_MES,TOTAL_BEDS-B1213-C1213))</f>
        <v>0</v>
      </c>
      <c r="G1213" s="21">
        <f>B1213+C1213+F1213</f>
        <v>18</v>
      </c>
      <c r="H1213" s="22">
        <f>IF(E1213&lt;0,-999999999,B1213*(PRICE_TOM-FERT_TOM)+C1213*(PRICE_CAR-FERT_CAR)+F1213*(PRICE_MES-FERT_MES)-(FARMER_SALARY+A1213*TEMP_COST)-FIXED_COSTS)</f>
        <v>-999999999</v>
      </c>
    </row>
    <row r="1214">
      <c r="A1214" s="5" t="n">
        <v>2</v>
      </c>
      <c r="B1214" s="5" t="n">
        <v>15</v>
      </c>
      <c r="C1214" s="5" t="n">
        <v>4</v>
      </c>
      <c r="D1214" s="18">
        <f>SEASON_HRS_TOM*B1214*(1+DIM_TOM)^B1214+SEASON_HRS_CAR*C1214*(1+DIM_CAR)^C1214</f>
        <v>5771.742575586136</v>
      </c>
      <c r="E1214" s="18">
        <f>(FARMER_FIELD_HRS+A1214*TEMP_HRS)-D1214</f>
        <v>-2171.742575586136</v>
      </c>
      <c r="F1214" s="21">
        <f>IF(E1214&lt;0,0,MIN(COUNTIF(Labor!$C$59:$C$88,"&lt;="&amp;E1214),MAXBED_MES,TOTAL_BEDS-B1214-C1214))</f>
        <v>0</v>
      </c>
      <c r="G1214" s="21">
        <f>B1214+C1214+F1214</f>
        <v>19</v>
      </c>
      <c r="H1214" s="22">
        <f>IF(E1214&lt;0,-999999999,B1214*(PRICE_TOM-FERT_TOM)+C1214*(PRICE_CAR-FERT_CAR)+F1214*(PRICE_MES-FERT_MES)-(FARMER_SALARY+A1214*TEMP_COST)-FIXED_COSTS)</f>
        <v>-999999999</v>
      </c>
    </row>
    <row r="1215">
      <c r="A1215" s="5" t="n">
        <v>2</v>
      </c>
      <c r="B1215" s="5" t="n">
        <v>15</v>
      </c>
      <c r="C1215" s="5" t="n">
        <v>5</v>
      </c>
      <c r="D1215" s="18">
        <f>SEASON_HRS_TOM*B1215*(1+DIM_TOM)^B1215+SEASON_HRS_CAR*C1215*(1+DIM_CAR)^C1215</f>
        <v>5808.99626064473</v>
      </c>
      <c r="E1215" s="18">
        <f>(FARMER_FIELD_HRS+A1215*TEMP_HRS)-D1215</f>
        <v>-2208.99626064473</v>
      </c>
      <c r="F1215" s="21">
        <f>IF(E1215&lt;0,0,MIN(COUNTIF(Labor!$C$59:$C$88,"&lt;="&amp;E1215),MAXBED_MES,TOTAL_BEDS-B1215-C1215))</f>
        <v>0</v>
      </c>
      <c r="G1215" s="21">
        <f>B1215+C1215+F1215</f>
        <v>20</v>
      </c>
      <c r="H1215" s="22">
        <f>IF(E1215&lt;0,-999999999,B1215*(PRICE_TOM-FERT_TOM)+C1215*(PRICE_CAR-FERT_CAR)+F1215*(PRICE_MES-FERT_MES)-(FARMER_SALARY+A1215*TEMP_COST)-FIXED_COSTS)</f>
        <v>-999999999</v>
      </c>
    </row>
    <row r="1216">
      <c r="A1216" s="5" t="n">
        <v>2</v>
      </c>
      <c r="B1216" s="5" t="n">
        <v>15</v>
      </c>
      <c r="C1216" s="5" t="n">
        <v>6</v>
      </c>
      <c r="D1216" s="18">
        <f>SEASON_HRS_TOM*B1216*(1+DIM_TOM)^B1216+SEASON_HRS_CAR*C1216*(1+DIM_CAR)^C1216</f>
        <v>5848.029843989456</v>
      </c>
      <c r="E1216" s="18">
        <f>(FARMER_FIELD_HRS+A1216*TEMP_HRS)-D1216</f>
        <v>-2248.029843989456</v>
      </c>
      <c r="F1216" s="21">
        <f>IF(E1216&lt;0,0,MIN(COUNTIF(Labor!$C$59:$C$88,"&lt;="&amp;E1216),MAXBED_MES,TOTAL_BEDS-B1216-C1216))</f>
        <v>0</v>
      </c>
      <c r="G1216" s="21">
        <f>B1216+C1216+F1216</f>
        <v>21</v>
      </c>
      <c r="H1216" s="22">
        <f>IF(E1216&lt;0,-999999999,B1216*(PRICE_TOM-FERT_TOM)+C1216*(PRICE_CAR-FERT_CAR)+F1216*(PRICE_MES-FERT_MES)-(FARMER_SALARY+A1216*TEMP_COST)-FIXED_COSTS)</f>
        <v>-999999999</v>
      </c>
    </row>
    <row r="1217">
      <c r="A1217" s="5" t="n">
        <v>2</v>
      </c>
      <c r="B1217" s="5" t="n">
        <v>15</v>
      </c>
      <c r="C1217" s="5" t="n">
        <v>7</v>
      </c>
      <c r="D1217" s="18">
        <f>SEASON_HRS_TOM*B1217*(1+DIM_TOM)^B1217+SEASON_HRS_CAR*C1217*(1+DIM_CAR)^C1217</f>
        <v>5888.90903698146</v>
      </c>
      <c r="E1217" s="18">
        <f>(FARMER_FIELD_HRS+A1217*TEMP_HRS)-D1217</f>
        <v>-2288.9090369814603</v>
      </c>
      <c r="F1217" s="21">
        <f>IF(E1217&lt;0,0,MIN(COUNTIF(Labor!$C$59:$C$88,"&lt;="&amp;E1217),MAXBED_MES,TOTAL_BEDS-B1217-C1217))</f>
        <v>0</v>
      </c>
      <c r="G1217" s="21">
        <f>B1217+C1217+F1217</f>
        <v>22</v>
      </c>
      <c r="H1217" s="22">
        <f>IF(E1217&lt;0,-999999999,B1217*(PRICE_TOM-FERT_TOM)+C1217*(PRICE_CAR-FERT_CAR)+F1217*(PRICE_MES-FERT_MES)-(FARMER_SALARY+A1217*TEMP_COST)-FIXED_COSTS)</f>
        <v>-999999999</v>
      </c>
    </row>
    <row r="1218">
      <c r="A1218" s="5" t="n">
        <v>2</v>
      </c>
      <c r="B1218" s="5" t="n">
        <v>15</v>
      </c>
      <c r="C1218" s="5" t="n">
        <v>8</v>
      </c>
      <c r="D1218" s="18">
        <f>SEASON_HRS_TOM*B1218*(1+DIM_TOM)^B1218+SEASON_HRS_CAR*C1218*(1+DIM_CAR)^C1218</f>
        <v>5931.701724113516</v>
      </c>
      <c r="E1218" s="18">
        <f>(FARMER_FIELD_HRS+A1218*TEMP_HRS)-D1218</f>
        <v>-2331.7017241135163</v>
      </c>
      <c r="F1218" s="21">
        <f>IF(E1218&lt;0,0,MIN(COUNTIF(Labor!$C$59:$C$88,"&lt;="&amp;E1218),MAXBED_MES,TOTAL_BEDS-B1218-C1218))</f>
        <v>0</v>
      </c>
      <c r="G1218" s="21">
        <f>B1218+C1218+F1218</f>
        <v>23</v>
      </c>
      <c r="H1218" s="22">
        <f>IF(E1218&lt;0,-999999999,B1218*(PRICE_TOM-FERT_TOM)+C1218*(PRICE_CAR-FERT_CAR)+F1218*(PRICE_MES-FERT_MES)-(FARMER_SALARY+A1218*TEMP_COST)-FIXED_COSTS)</f>
        <v>-999999999</v>
      </c>
    </row>
    <row r="1219">
      <c r="A1219" s="5" t="n">
        <v>2</v>
      </c>
      <c r="B1219" s="5" t="n">
        <v>15</v>
      </c>
      <c r="C1219" s="5" t="n">
        <v>9</v>
      </c>
      <c r="D1219" s="18">
        <f>SEASON_HRS_TOM*B1219*(1+DIM_TOM)^B1219+SEASON_HRS_CAR*C1219*(1+DIM_CAR)^C1219</f>
        <v>5976.478030597005</v>
      </c>
      <c r="E1219" s="18">
        <f>(FARMER_FIELD_HRS+A1219*TEMP_HRS)-D1219</f>
        <v>-2376.4780305970053</v>
      </c>
      <c r="F1219" s="21">
        <f>IF(E1219&lt;0,0,MIN(COUNTIF(Labor!$C$59:$C$88,"&lt;="&amp;E1219),MAXBED_MES,TOTAL_BEDS-B1219-C1219))</f>
        <v>0</v>
      </c>
      <c r="G1219" s="21">
        <f>B1219+C1219+F1219</f>
        <v>24</v>
      </c>
      <c r="H1219" s="22">
        <f>IF(E1219&lt;0,-999999999,B1219*(PRICE_TOM-FERT_TOM)+C1219*(PRICE_CAR-FERT_CAR)+F1219*(PRICE_MES-FERT_MES)-(FARMER_SALARY+A1219*TEMP_COST)-FIXED_COSTS)</f>
        <v>-999999999</v>
      </c>
    </row>
    <row r="1220">
      <c r="A1220" s="5" t="n">
        <v>2</v>
      </c>
      <c r="B1220" s="5" t="n">
        <v>15</v>
      </c>
      <c r="C1220" s="5" t="n">
        <v>10</v>
      </c>
      <c r="D1220" s="18">
        <f>SEASON_HRS_TOM*B1220*(1+DIM_TOM)^B1220+SEASON_HRS_CAR*C1220*(1+DIM_CAR)^C1220</f>
        <v>6023.310391970043</v>
      </c>
      <c r="E1220" s="18">
        <f>(FARMER_FIELD_HRS+A1220*TEMP_HRS)-D1220</f>
        <v>-2423.3103919700434</v>
      </c>
      <c r="F1220" s="21">
        <f>IF(E1220&lt;0,0,MIN(COUNTIF(Labor!$C$59:$C$88,"&lt;="&amp;E1220),MAXBED_MES,TOTAL_BEDS-B1220-C1220))</f>
        <v>0</v>
      </c>
      <c r="G1220" s="21">
        <f>B1220+C1220+F1220</f>
        <v>25</v>
      </c>
      <c r="H1220" s="22">
        <f>IF(E1220&lt;0,-999999999,B1220*(PRICE_TOM-FERT_TOM)+C1220*(PRICE_CAR-FERT_CAR)+F1220*(PRICE_MES-FERT_MES)-(FARMER_SALARY+A1220*TEMP_COST)-FIXED_COSTS)</f>
        <v>-999999999</v>
      </c>
    </row>
    <row r="1221">
      <c r="A1221" s="5" t="n">
        <v>2</v>
      </c>
      <c r="B1221" s="5" t="n">
        <v>15</v>
      </c>
      <c r="C1221" s="5" t="n">
        <v>11</v>
      </c>
      <c r="D1221" s="18">
        <f>SEASON_HRS_TOM*B1221*(1+DIM_TOM)^B1221+SEASON_HRS_CAR*C1221*(1+DIM_CAR)^C1221</f>
        <v>6072.273625785554</v>
      </c>
      <c r="E1221" s="18">
        <f>(FARMER_FIELD_HRS+A1221*TEMP_HRS)-D1221</f>
        <v>-2472.273625785554</v>
      </c>
      <c r="F1221" s="21">
        <f>IF(E1221&lt;0,0,MIN(COUNTIF(Labor!$C$59:$C$88,"&lt;="&amp;E1221),MAXBED_MES,TOTAL_BEDS-B1221-C1221))</f>
        <v>0</v>
      </c>
      <c r="G1221" s="21">
        <f>B1221+C1221+F1221</f>
        <v>26</v>
      </c>
      <c r="H1221" s="22">
        <f>IF(E1221&lt;0,-999999999,B1221*(PRICE_TOM-FERT_TOM)+C1221*(PRICE_CAR-FERT_CAR)+F1221*(PRICE_MES-FERT_MES)-(FARMER_SALARY+A1221*TEMP_COST)-FIXED_COSTS)</f>
        <v>-999999999</v>
      </c>
    </row>
    <row r="1222">
      <c r="A1222" s="5" t="n">
        <v>2</v>
      </c>
      <c r="B1222" s="5" t="n">
        <v>15</v>
      </c>
      <c r="C1222" s="5" t="n">
        <v>12</v>
      </c>
      <c r="D1222" s="18">
        <f>SEASON_HRS_TOM*B1222*(1+DIM_TOM)^B1222+SEASON_HRS_CAR*C1222*(1+DIM_CAR)^C1222</f>
        <v>6123.445005439803</v>
      </c>
      <c r="E1222" s="18">
        <f>(FARMER_FIELD_HRS+A1222*TEMP_HRS)-D1222</f>
        <v>-2523.445005439803</v>
      </c>
      <c r="F1222" s="21">
        <f>IF(E1222&lt;0,0,MIN(COUNTIF(Labor!$C$59:$C$88,"&lt;="&amp;E1222),MAXBED_MES,TOTAL_BEDS-B1222-C1222))</f>
        <v>0</v>
      </c>
      <c r="G1222" s="21">
        <f>B1222+C1222+F1222</f>
        <v>27</v>
      </c>
      <c r="H1222" s="22">
        <f>IF(E1222&lt;0,-999999999,B1222*(PRICE_TOM-FERT_TOM)+C1222*(PRICE_CAR-FERT_CAR)+F1222*(PRICE_MES-FERT_MES)-(FARMER_SALARY+A1222*TEMP_COST)-FIXED_COSTS)</f>
        <v>-999999999</v>
      </c>
    </row>
    <row r="1223">
      <c r="A1223" s="5" t="n">
        <v>2</v>
      </c>
      <c r="B1223" s="5" t="n">
        <v>15</v>
      </c>
      <c r="C1223" s="5" t="n">
        <v>13</v>
      </c>
      <c r="D1223" s="18">
        <f>SEASON_HRS_TOM*B1223*(1+DIM_TOM)^B1223+SEASON_HRS_CAR*C1223*(1+DIM_CAR)^C1223</f>
        <v>6176.904336203593</v>
      </c>
      <c r="E1223" s="18">
        <f>(FARMER_FIELD_HRS+A1223*TEMP_HRS)-D1223</f>
        <v>-2576.9043362035927</v>
      </c>
      <c r="F1223" s="21">
        <f>IF(E1223&lt;0,0,MIN(COUNTIF(Labor!$C$59:$C$88,"&lt;="&amp;E1223),MAXBED_MES,TOTAL_BEDS-B1223-C1223))</f>
        <v>0</v>
      </c>
      <c r="G1223" s="21">
        <f>B1223+C1223+F1223</f>
        <v>28</v>
      </c>
      <c r="H1223" s="22">
        <f>IF(E1223&lt;0,-999999999,B1223*(PRICE_TOM-FERT_TOM)+C1223*(PRICE_CAR-FERT_CAR)+F1223*(PRICE_MES-FERT_MES)-(FARMER_SALARY+A1223*TEMP_COST)-FIXED_COSTS)</f>
        <v>-999999999</v>
      </c>
    </row>
    <row r="1224">
      <c r="A1224" s="5" t="n">
        <v>2</v>
      </c>
      <c r="B1224" s="5" t="n">
        <v>15</v>
      </c>
      <c r="C1224" s="5" t="n">
        <v>14</v>
      </c>
      <c r="D1224" s="18">
        <f>SEASON_HRS_TOM*B1224*(1+DIM_TOM)^B1224+SEASON_HRS_CAR*C1224*(1+DIM_CAR)^C1224</f>
        <v>6232.734033520118</v>
      </c>
      <c r="E1224" s="18">
        <f>(FARMER_FIELD_HRS+A1224*TEMP_HRS)-D1224</f>
        <v>-2632.734033520118</v>
      </c>
      <c r="F1224" s="21">
        <f>IF(E1224&lt;0,0,MIN(COUNTIF(Labor!$C$59:$C$88,"&lt;="&amp;E1224),MAXBED_MES,TOTAL_BEDS-B1224-C1224))</f>
        <v>0</v>
      </c>
      <c r="G1224" s="21">
        <f>B1224+C1224+F1224</f>
        <v>29</v>
      </c>
      <c r="H1224" s="22">
        <f>IF(E1224&lt;0,-999999999,B1224*(PRICE_TOM-FERT_TOM)+C1224*(PRICE_CAR-FERT_CAR)+F1224*(PRICE_MES-FERT_MES)-(FARMER_SALARY+A1224*TEMP_COST)-FIXED_COSTS)</f>
        <v>-999999999</v>
      </c>
    </row>
    <row r="1225">
      <c r="A1225" s="5" t="n">
        <v>2</v>
      </c>
      <c r="B1225" s="5" t="n">
        <v>15</v>
      </c>
      <c r="C1225" s="5" t="n">
        <v>15</v>
      </c>
      <c r="D1225" s="18">
        <f>SEASON_HRS_TOM*B1225*(1+DIM_TOM)^B1225+SEASON_HRS_CAR*C1225*(1+DIM_CAR)^C1225</f>
        <v>6291.0192036352855</v>
      </c>
      <c r="E1225" s="18">
        <f>(FARMER_FIELD_HRS+A1225*TEMP_HRS)-D1225</f>
        <v>-2691.0192036352855</v>
      </c>
      <c r="F1225" s="21">
        <f>IF(E1225&lt;0,0,MIN(COUNTIF(Labor!$C$59:$C$88,"&lt;="&amp;E1225),MAXBED_MES,TOTAL_BEDS-B1225-C1225))</f>
        <v>0</v>
      </c>
      <c r="G1225" s="21">
        <f>B1225+C1225+F1225</f>
        <v>30</v>
      </c>
      <c r="H1225" s="22">
        <f>IF(E1225&lt;0,-999999999,B1225*(PRICE_TOM-FERT_TOM)+C1225*(PRICE_CAR-FERT_CAR)+F1225*(PRICE_MES-FERT_MES)-(FARMER_SALARY+A1225*TEMP_COST)-FIXED_COSTS)</f>
        <v>-999999999</v>
      </c>
    </row>
    <row r="1226">
      <c r="A1226" s="5" t="n">
        <v>2</v>
      </c>
      <c r="B1226" s="5" t="n">
        <v>15</v>
      </c>
      <c r="C1226" s="5" t="n">
        <v>16</v>
      </c>
      <c r="D1226" s="18">
        <f>SEASON_HRS_TOM*B1226*(1+DIM_TOM)^B1226+SEASON_HRS_CAR*C1226*(1+DIM_CAR)^C1226</f>
        <v>6351.847726628206</v>
      </c>
      <c r="E1226" s="18">
        <f>(FARMER_FIELD_HRS+A1226*TEMP_HRS)-D1226</f>
        <v>-2751.847726628206</v>
      </c>
      <c r="F1226" s="21">
        <f>IF(E1226&lt;0,0,MIN(COUNTIF(Labor!$C$59:$C$88,"&lt;="&amp;E1226),MAXBED_MES,TOTAL_BEDS-B1226-C1226))</f>
        <v>0</v>
      </c>
      <c r="G1226" s="21">
        <f>B1226+C1226+F1226</f>
        <v>31</v>
      </c>
      <c r="H1226" s="22">
        <f>IF(E1226&lt;0,-999999999,B1226*(PRICE_TOM-FERT_TOM)+C1226*(PRICE_CAR-FERT_CAR)+F1226*(PRICE_MES-FERT_MES)-(FARMER_SALARY+A1226*TEMP_COST)-FIXED_COSTS)</f>
        <v>-999999999</v>
      </c>
    </row>
    <row r="1227">
      <c r="A1227" s="5" t="n">
        <v>2</v>
      </c>
      <c r="B1227" s="5" t="n">
        <v>15</v>
      </c>
      <c r="C1227" s="5" t="n">
        <v>17</v>
      </c>
      <c r="D1227" s="18">
        <f>SEASON_HRS_TOM*B1227*(1+DIM_TOM)^B1227+SEASON_HRS_CAR*C1227*(1+DIM_CAR)^C1227</f>
        <v>6415.310341911445</v>
      </c>
      <c r="E1227" s="18">
        <f>(FARMER_FIELD_HRS+A1227*TEMP_HRS)-D1227</f>
        <v>-2815.310341911445</v>
      </c>
      <c r="F1227" s="21">
        <f>IF(E1227&lt;0,0,MIN(COUNTIF(Labor!$C$59:$C$88,"&lt;="&amp;E1227),MAXBED_MES,TOTAL_BEDS-B1227-C1227))</f>
        <v>0</v>
      </c>
      <c r="G1227" s="21">
        <f>B1227+C1227+F1227</f>
        <v>32</v>
      </c>
      <c r="H1227" s="22">
        <f>IF(E1227&lt;0,-999999999,B1227*(PRICE_TOM-FERT_TOM)+C1227*(PRICE_CAR-FERT_CAR)+F1227*(PRICE_MES-FERT_MES)-(FARMER_SALARY+A1227*TEMP_COST)-FIXED_COSTS)</f>
        <v>-999999999</v>
      </c>
    </row>
    <row r="1228">
      <c r="A1228" s="5" t="n">
        <v>2</v>
      </c>
      <c r="B1228" s="5" t="n">
        <v>15</v>
      </c>
      <c r="C1228" s="5" t="n">
        <v>18</v>
      </c>
      <c r="D1228" s="18">
        <f>SEASON_HRS_TOM*B1228*(1+DIM_TOM)^B1228+SEASON_HRS_CAR*C1228*(1+DIM_CAR)^C1228</f>
        <v>6481.500736272647</v>
      </c>
      <c r="E1228" s="18">
        <f>(FARMER_FIELD_HRS+A1228*TEMP_HRS)-D1228</f>
        <v>-2881.5007362726474</v>
      </c>
      <c r="F1228" s="21">
        <f>IF(E1228&lt;0,0,MIN(COUNTIF(Labor!$C$59:$C$88,"&lt;="&amp;E1228),MAXBED_MES,TOTAL_BEDS-B1228-C1228))</f>
        <v>0</v>
      </c>
      <c r="G1228" s="21">
        <f>B1228+C1228+F1228</f>
        <v>33</v>
      </c>
      <c r="H1228" s="22">
        <f>IF(E1228&lt;0,-999999999,B1228*(PRICE_TOM-FERT_TOM)+C1228*(PRICE_CAR-FERT_CAR)+F1228*(PRICE_MES-FERT_MES)-(FARMER_SALARY+A1228*TEMP_COST)-FIXED_COSTS)</f>
        <v>-999999999</v>
      </c>
    </row>
    <row r="1229">
      <c r="A1229" s="5" t="n">
        <v>2</v>
      </c>
      <c r="B1229" s="5" t="n">
        <v>15</v>
      </c>
      <c r="C1229" s="5" t="n">
        <v>19</v>
      </c>
      <c r="D1229" s="18">
        <f>SEASON_HRS_TOM*B1229*(1+DIM_TOM)^B1229+SEASON_HRS_CAR*C1229*(1+DIM_CAR)^C1229</f>
        <v>6550.51563453116</v>
      </c>
      <c r="E1229" s="18">
        <f>(FARMER_FIELD_HRS+A1229*TEMP_HRS)-D1229</f>
        <v>-2950.51563453116</v>
      </c>
      <c r="F1229" s="21">
        <f>IF(E1229&lt;0,0,MIN(COUNTIF(Labor!$C$59:$C$88,"&lt;="&amp;E1229),MAXBED_MES,TOTAL_BEDS-B1229-C1229))</f>
        <v>0</v>
      </c>
      <c r="G1229" s="21">
        <f>B1229+C1229+F1229</f>
        <v>34</v>
      </c>
      <c r="H1229" s="22">
        <f>IF(E1229&lt;0,-999999999,B1229*(PRICE_TOM-FERT_TOM)+C1229*(PRICE_CAR-FERT_CAR)+F1229*(PRICE_MES-FERT_MES)-(FARMER_SALARY+A1229*TEMP_COST)-FIXED_COSTS)</f>
        <v>-999999999</v>
      </c>
    </row>
    <row r="1230">
      <c r="A1230" s="5" t="n">
        <v>2</v>
      </c>
      <c r="B1230" s="5" t="n">
        <v>15</v>
      </c>
      <c r="C1230" s="5" t="n">
        <v>20</v>
      </c>
      <c r="D1230" s="18">
        <f>SEASON_HRS_TOM*B1230*(1+DIM_TOM)^B1230+SEASON_HRS_CAR*C1230*(1+DIM_CAR)^C1230</f>
        <v>6622.454892885373</v>
      </c>
      <c r="E1230" s="18">
        <f>(FARMER_FIELD_HRS+A1230*TEMP_HRS)-D1230</f>
        <v>-3022.454892885373</v>
      </c>
      <c r="F1230" s="21">
        <f>IF(E1230&lt;0,0,MIN(COUNTIF(Labor!$C$59:$C$88,"&lt;="&amp;E1230),MAXBED_MES,TOTAL_BEDS-B1230-C1230))</f>
        <v>0</v>
      </c>
      <c r="G1230" s="21">
        <f>B1230+C1230+F1230</f>
        <v>35</v>
      </c>
      <c r="H1230" s="22">
        <f>IF(E1230&lt;0,-999999999,B1230*(PRICE_TOM-FERT_TOM)+C1230*(PRICE_CAR-FERT_CAR)+F1230*(PRICE_MES-FERT_MES)-(FARMER_SALARY+A1230*TEMP_COST)-FIXED_COSTS)</f>
        <v>-999999999</v>
      </c>
    </row>
    <row r="1231">
      <c r="A1231" s="5" t="n">
        <v>2</v>
      </c>
      <c r="B1231" s="5" t="n">
        <v>16</v>
      </c>
      <c r="C1231" s="5" t="n">
        <v>0</v>
      </c>
      <c r="D1231" s="18">
        <f>SEASON_HRS_TOM*B1231*(1+DIM_TOM)^B1231+SEASON_HRS_CAR*C1231*(1+DIM_CAR)^C1231</f>
        <v>6616.7611003544</v>
      </c>
      <c r="E1231" s="18">
        <f>(FARMER_FIELD_HRS+A1231*TEMP_HRS)-D1231</f>
        <v>-3016.7611003544</v>
      </c>
      <c r="F1231" s="21">
        <f>IF(E1231&lt;0,0,MIN(COUNTIF(Labor!$C$59:$C$88,"&lt;="&amp;E1231),MAXBED_MES,TOTAL_BEDS-B1231-C1231))</f>
        <v>0</v>
      </c>
      <c r="G1231" s="21">
        <f>B1231+C1231+F1231</f>
        <v>16</v>
      </c>
      <c r="H1231" s="22">
        <f>IF(E1231&lt;0,-999999999,B1231*(PRICE_TOM-FERT_TOM)+C1231*(PRICE_CAR-FERT_CAR)+F1231*(PRICE_MES-FERT_MES)-(FARMER_SALARY+A1231*TEMP_COST)-FIXED_COSTS)</f>
        <v>-999999999</v>
      </c>
    </row>
    <row r="1232">
      <c r="A1232" s="5" t="n">
        <v>2</v>
      </c>
      <c r="B1232" s="5" t="n">
        <v>16</v>
      </c>
      <c r="C1232" s="5" t="n">
        <v>1</v>
      </c>
      <c r="D1232" s="18">
        <f>SEASON_HRS_TOM*B1232*(1+DIM_TOM)^B1232+SEASON_HRS_CAR*C1232*(1+DIM_CAR)^C1232</f>
        <v>6647.5111003544</v>
      </c>
      <c r="E1232" s="18">
        <f>(FARMER_FIELD_HRS+A1232*TEMP_HRS)-D1232</f>
        <v>-3047.5111003544</v>
      </c>
      <c r="F1232" s="21">
        <f>IF(E1232&lt;0,0,MIN(COUNTIF(Labor!$C$59:$C$88,"&lt;="&amp;E1232),MAXBED_MES,TOTAL_BEDS-B1232-C1232))</f>
        <v>0</v>
      </c>
      <c r="G1232" s="21">
        <f>B1232+C1232+F1232</f>
        <v>17</v>
      </c>
      <c r="H1232" s="22">
        <f>IF(E1232&lt;0,-999999999,B1232*(PRICE_TOM-FERT_TOM)+C1232*(PRICE_CAR-FERT_CAR)+F1232*(PRICE_MES-FERT_MES)-(FARMER_SALARY+A1232*TEMP_COST)-FIXED_COSTS)</f>
        <v>-999999999</v>
      </c>
    </row>
    <row r="1233">
      <c r="A1233" s="5" t="n">
        <v>2</v>
      </c>
      <c r="B1233" s="5" t="n">
        <v>16</v>
      </c>
      <c r="C1233" s="5" t="n">
        <v>2</v>
      </c>
      <c r="D1233" s="18">
        <f>SEASON_HRS_TOM*B1233*(1+DIM_TOM)^B1233+SEASON_HRS_CAR*C1233*(1+DIM_CAR)^C1233</f>
        <v>6679.7986003544</v>
      </c>
      <c r="E1233" s="18">
        <f>(FARMER_FIELD_HRS+A1233*TEMP_HRS)-D1233</f>
        <v>-3079.7986003544</v>
      </c>
      <c r="F1233" s="21">
        <f>IF(E1233&lt;0,0,MIN(COUNTIF(Labor!$C$59:$C$88,"&lt;="&amp;E1233),MAXBED_MES,TOTAL_BEDS-B1233-C1233))</f>
        <v>0</v>
      </c>
      <c r="G1233" s="21">
        <f>B1233+C1233+F1233</f>
        <v>18</v>
      </c>
      <c r="H1233" s="22">
        <f>IF(E1233&lt;0,-999999999,B1233*(PRICE_TOM-FERT_TOM)+C1233*(PRICE_CAR-FERT_CAR)+F1233*(PRICE_MES-FERT_MES)-(FARMER_SALARY+A1233*TEMP_COST)-FIXED_COSTS)</f>
        <v>-999999999</v>
      </c>
    </row>
    <row r="1234">
      <c r="A1234" s="5" t="n">
        <v>2</v>
      </c>
      <c r="B1234" s="5" t="n">
        <v>16</v>
      </c>
      <c r="C1234" s="5" t="n">
        <v>3</v>
      </c>
      <c r="D1234" s="18">
        <f>SEASON_HRS_TOM*B1234*(1+DIM_TOM)^B1234+SEASON_HRS_CAR*C1234*(1+DIM_CAR)^C1234</f>
        <v>6713.6812566044</v>
      </c>
      <c r="E1234" s="18">
        <f>(FARMER_FIELD_HRS+A1234*TEMP_HRS)-D1234</f>
        <v>-3113.6812566044</v>
      </c>
      <c r="F1234" s="21">
        <f>IF(E1234&lt;0,0,MIN(COUNTIF(Labor!$C$59:$C$88,"&lt;="&amp;E1234),MAXBED_MES,TOTAL_BEDS-B1234-C1234))</f>
        <v>0</v>
      </c>
      <c r="G1234" s="21">
        <f>B1234+C1234+F1234</f>
        <v>19</v>
      </c>
      <c r="H1234" s="22">
        <f>IF(E1234&lt;0,-999999999,B1234*(PRICE_TOM-FERT_TOM)+C1234*(PRICE_CAR-FERT_CAR)+F1234*(PRICE_MES-FERT_MES)-(FARMER_SALARY+A1234*TEMP_COST)-FIXED_COSTS)</f>
        <v>-999999999</v>
      </c>
    </row>
    <row r="1235">
      <c r="A1235" s="5" t="n">
        <v>2</v>
      </c>
      <c r="B1235" s="5" t="n">
        <v>16</v>
      </c>
      <c r="C1235" s="5" t="n">
        <v>4</v>
      </c>
      <c r="D1235" s="18">
        <f>SEASON_HRS_TOM*B1235*(1+DIM_TOM)^B1235+SEASON_HRS_CAR*C1235*(1+DIM_CAR)^C1235</f>
        <v>6749.2186472294</v>
      </c>
      <c r="E1235" s="18">
        <f>(FARMER_FIELD_HRS+A1235*TEMP_HRS)-D1235</f>
        <v>-3149.2186472293997</v>
      </c>
      <c r="F1235" s="21">
        <f>IF(E1235&lt;0,0,MIN(COUNTIF(Labor!$C$59:$C$88,"&lt;="&amp;E1235),MAXBED_MES,TOTAL_BEDS-B1235-C1235))</f>
        <v>0</v>
      </c>
      <c r="G1235" s="21">
        <f>B1235+C1235+F1235</f>
        <v>20</v>
      </c>
      <c r="H1235" s="22">
        <f>IF(E1235&lt;0,-999999999,B1235*(PRICE_TOM-FERT_TOM)+C1235*(PRICE_CAR-FERT_CAR)+F1235*(PRICE_MES-FERT_MES)-(FARMER_SALARY+A1235*TEMP_COST)-FIXED_COSTS)</f>
        <v>-999999999</v>
      </c>
    </row>
    <row r="1236">
      <c r="A1236" s="5" t="n">
        <v>2</v>
      </c>
      <c r="B1236" s="5" t="n">
        <v>16</v>
      </c>
      <c r="C1236" s="5" t="n">
        <v>5</v>
      </c>
      <c r="D1236" s="18">
        <f>SEASON_HRS_TOM*B1236*(1+DIM_TOM)^B1236+SEASON_HRS_CAR*C1236*(1+DIM_CAR)^C1236</f>
        <v>6786.472332287994</v>
      </c>
      <c r="E1236" s="18">
        <f>(FARMER_FIELD_HRS+A1236*TEMP_HRS)-D1236</f>
        <v>-3186.4723322879936</v>
      </c>
      <c r="F1236" s="21">
        <f>IF(E1236&lt;0,0,MIN(COUNTIF(Labor!$C$59:$C$88,"&lt;="&amp;E1236),MAXBED_MES,TOTAL_BEDS-B1236-C1236))</f>
        <v>0</v>
      </c>
      <c r="G1236" s="21">
        <f>B1236+C1236+F1236</f>
        <v>21</v>
      </c>
      <c r="H1236" s="22">
        <f>IF(E1236&lt;0,-999999999,B1236*(PRICE_TOM-FERT_TOM)+C1236*(PRICE_CAR-FERT_CAR)+F1236*(PRICE_MES-FERT_MES)-(FARMER_SALARY+A1236*TEMP_COST)-FIXED_COSTS)</f>
        <v>-999999999</v>
      </c>
    </row>
    <row r="1237">
      <c r="A1237" s="5" t="n">
        <v>2</v>
      </c>
      <c r="B1237" s="5" t="n">
        <v>16</v>
      </c>
      <c r="C1237" s="5" t="n">
        <v>6</v>
      </c>
      <c r="D1237" s="18">
        <f>SEASON_HRS_TOM*B1237*(1+DIM_TOM)^B1237+SEASON_HRS_CAR*C1237*(1+DIM_CAR)^C1237</f>
        <v>6825.50591563272</v>
      </c>
      <c r="E1237" s="18">
        <f>(FARMER_FIELD_HRS+A1237*TEMP_HRS)-D1237</f>
        <v>-3225.5059156327197</v>
      </c>
      <c r="F1237" s="21">
        <f>IF(E1237&lt;0,0,MIN(COUNTIF(Labor!$C$59:$C$88,"&lt;="&amp;E1237),MAXBED_MES,TOTAL_BEDS-B1237-C1237))</f>
        <v>0</v>
      </c>
      <c r="G1237" s="21">
        <f>B1237+C1237+F1237</f>
        <v>22</v>
      </c>
      <c r="H1237" s="22">
        <f>IF(E1237&lt;0,-999999999,B1237*(PRICE_TOM-FERT_TOM)+C1237*(PRICE_CAR-FERT_CAR)+F1237*(PRICE_MES-FERT_MES)-(FARMER_SALARY+A1237*TEMP_COST)-FIXED_COSTS)</f>
        <v>-999999999</v>
      </c>
    </row>
    <row r="1238">
      <c r="A1238" s="5" t="n">
        <v>2</v>
      </c>
      <c r="B1238" s="5" t="n">
        <v>16</v>
      </c>
      <c r="C1238" s="5" t="n">
        <v>7</v>
      </c>
      <c r="D1238" s="18">
        <f>SEASON_HRS_TOM*B1238*(1+DIM_TOM)^B1238+SEASON_HRS_CAR*C1238*(1+DIM_CAR)^C1238</f>
        <v>6866.385108624724</v>
      </c>
      <c r="E1238" s="18">
        <f>(FARMER_FIELD_HRS+A1238*TEMP_HRS)-D1238</f>
        <v>-3266.385108624724</v>
      </c>
      <c r="F1238" s="21">
        <f>IF(E1238&lt;0,0,MIN(COUNTIF(Labor!$C$59:$C$88,"&lt;="&amp;E1238),MAXBED_MES,TOTAL_BEDS-B1238-C1238))</f>
        <v>0</v>
      </c>
      <c r="G1238" s="21">
        <f>B1238+C1238+F1238</f>
        <v>23</v>
      </c>
      <c r="H1238" s="22">
        <f>IF(E1238&lt;0,-999999999,B1238*(PRICE_TOM-FERT_TOM)+C1238*(PRICE_CAR-FERT_CAR)+F1238*(PRICE_MES-FERT_MES)-(FARMER_SALARY+A1238*TEMP_COST)-FIXED_COSTS)</f>
        <v>-999999999</v>
      </c>
    </row>
    <row r="1239">
      <c r="A1239" s="5" t="n">
        <v>2</v>
      </c>
      <c r="B1239" s="5" t="n">
        <v>16</v>
      </c>
      <c r="C1239" s="5" t="n">
        <v>8</v>
      </c>
      <c r="D1239" s="18">
        <f>SEASON_HRS_TOM*B1239*(1+DIM_TOM)^B1239+SEASON_HRS_CAR*C1239*(1+DIM_CAR)^C1239</f>
        <v>6909.17779575678</v>
      </c>
      <c r="E1239" s="18">
        <f>(FARMER_FIELD_HRS+A1239*TEMP_HRS)-D1239</f>
        <v>-3309.17779575678</v>
      </c>
      <c r="F1239" s="21">
        <f>IF(E1239&lt;0,0,MIN(COUNTIF(Labor!$C$59:$C$88,"&lt;="&amp;E1239),MAXBED_MES,TOTAL_BEDS-B1239-C1239))</f>
        <v>0</v>
      </c>
      <c r="G1239" s="21">
        <f>B1239+C1239+F1239</f>
        <v>24</v>
      </c>
      <c r="H1239" s="22">
        <f>IF(E1239&lt;0,-999999999,B1239*(PRICE_TOM-FERT_TOM)+C1239*(PRICE_CAR-FERT_CAR)+F1239*(PRICE_MES-FERT_MES)-(FARMER_SALARY+A1239*TEMP_COST)-FIXED_COSTS)</f>
        <v>-999999999</v>
      </c>
    </row>
    <row r="1240">
      <c r="A1240" s="5" t="n">
        <v>2</v>
      </c>
      <c r="B1240" s="5" t="n">
        <v>16</v>
      </c>
      <c r="C1240" s="5" t="n">
        <v>9</v>
      </c>
      <c r="D1240" s="18">
        <f>SEASON_HRS_TOM*B1240*(1+DIM_TOM)^B1240+SEASON_HRS_CAR*C1240*(1+DIM_CAR)^C1240</f>
        <v>6953.954102240269</v>
      </c>
      <c r="E1240" s="18">
        <f>(FARMER_FIELD_HRS+A1240*TEMP_HRS)-D1240</f>
        <v>-3353.954102240269</v>
      </c>
      <c r="F1240" s="21">
        <f>IF(E1240&lt;0,0,MIN(COUNTIF(Labor!$C$59:$C$88,"&lt;="&amp;E1240),MAXBED_MES,TOTAL_BEDS-B1240-C1240))</f>
        <v>0</v>
      </c>
      <c r="G1240" s="21">
        <f>B1240+C1240+F1240</f>
        <v>25</v>
      </c>
      <c r="H1240" s="22">
        <f>IF(E1240&lt;0,-999999999,B1240*(PRICE_TOM-FERT_TOM)+C1240*(PRICE_CAR-FERT_CAR)+F1240*(PRICE_MES-FERT_MES)-(FARMER_SALARY+A1240*TEMP_COST)-FIXED_COSTS)</f>
        <v>-999999999</v>
      </c>
    </row>
    <row r="1241">
      <c r="A1241" s="5" t="n">
        <v>2</v>
      </c>
      <c r="B1241" s="5" t="n">
        <v>16</v>
      </c>
      <c r="C1241" s="5" t="n">
        <v>10</v>
      </c>
      <c r="D1241" s="18">
        <f>SEASON_HRS_TOM*B1241*(1+DIM_TOM)^B1241+SEASON_HRS_CAR*C1241*(1+DIM_CAR)^C1241</f>
        <v>7000.786463613307</v>
      </c>
      <c r="E1241" s="18">
        <f>(FARMER_FIELD_HRS+A1241*TEMP_HRS)-D1241</f>
        <v>-3400.786463613307</v>
      </c>
      <c r="F1241" s="21">
        <f>IF(E1241&lt;0,0,MIN(COUNTIF(Labor!$C$59:$C$88,"&lt;="&amp;E1241),MAXBED_MES,TOTAL_BEDS-B1241-C1241))</f>
        <v>0</v>
      </c>
      <c r="G1241" s="21">
        <f>B1241+C1241+F1241</f>
        <v>26</v>
      </c>
      <c r="H1241" s="22">
        <f>IF(E1241&lt;0,-999999999,B1241*(PRICE_TOM-FERT_TOM)+C1241*(PRICE_CAR-FERT_CAR)+F1241*(PRICE_MES-FERT_MES)-(FARMER_SALARY+A1241*TEMP_COST)-FIXED_COSTS)</f>
        <v>-999999999</v>
      </c>
    </row>
    <row r="1242">
      <c r="A1242" s="5" t="n">
        <v>2</v>
      </c>
      <c r="B1242" s="5" t="n">
        <v>16</v>
      </c>
      <c r="C1242" s="5" t="n">
        <v>11</v>
      </c>
      <c r="D1242" s="18">
        <f>SEASON_HRS_TOM*B1242*(1+DIM_TOM)^B1242+SEASON_HRS_CAR*C1242*(1+DIM_CAR)^C1242</f>
        <v>7049.749697428817</v>
      </c>
      <c r="E1242" s="18">
        <f>(FARMER_FIELD_HRS+A1242*TEMP_HRS)-D1242</f>
        <v>-3449.749697428817</v>
      </c>
      <c r="F1242" s="21">
        <f>IF(E1242&lt;0,0,MIN(COUNTIF(Labor!$C$59:$C$88,"&lt;="&amp;E1242),MAXBED_MES,TOTAL_BEDS-B1242-C1242))</f>
        <v>0</v>
      </c>
      <c r="G1242" s="21">
        <f>B1242+C1242+F1242</f>
        <v>27</v>
      </c>
      <c r="H1242" s="22">
        <f>IF(E1242&lt;0,-999999999,B1242*(PRICE_TOM-FERT_TOM)+C1242*(PRICE_CAR-FERT_CAR)+F1242*(PRICE_MES-FERT_MES)-(FARMER_SALARY+A1242*TEMP_COST)-FIXED_COSTS)</f>
        <v>-999999999</v>
      </c>
    </row>
    <row r="1243">
      <c r="A1243" s="5" t="n">
        <v>2</v>
      </c>
      <c r="B1243" s="5" t="n">
        <v>16</v>
      </c>
      <c r="C1243" s="5" t="n">
        <v>12</v>
      </c>
      <c r="D1243" s="18">
        <f>SEASON_HRS_TOM*B1243*(1+DIM_TOM)^B1243+SEASON_HRS_CAR*C1243*(1+DIM_CAR)^C1243</f>
        <v>7100.921077083067</v>
      </c>
      <c r="E1243" s="18">
        <f>(FARMER_FIELD_HRS+A1243*TEMP_HRS)-D1243</f>
        <v>-3500.921077083067</v>
      </c>
      <c r="F1243" s="21">
        <f>IF(E1243&lt;0,0,MIN(COUNTIF(Labor!$C$59:$C$88,"&lt;="&amp;E1243),MAXBED_MES,TOTAL_BEDS-B1243-C1243))</f>
        <v>0</v>
      </c>
      <c r="G1243" s="21">
        <f>B1243+C1243+F1243</f>
        <v>28</v>
      </c>
      <c r="H1243" s="22">
        <f>IF(E1243&lt;0,-999999999,B1243*(PRICE_TOM-FERT_TOM)+C1243*(PRICE_CAR-FERT_CAR)+F1243*(PRICE_MES-FERT_MES)-(FARMER_SALARY+A1243*TEMP_COST)-FIXED_COSTS)</f>
        <v>-999999999</v>
      </c>
    </row>
    <row r="1244">
      <c r="A1244" s="5" t="n">
        <v>2</v>
      </c>
      <c r="B1244" s="5" t="n">
        <v>16</v>
      </c>
      <c r="C1244" s="5" t="n">
        <v>13</v>
      </c>
      <c r="D1244" s="18">
        <f>SEASON_HRS_TOM*B1244*(1+DIM_TOM)^B1244+SEASON_HRS_CAR*C1244*(1+DIM_CAR)^C1244</f>
        <v>7154.3804078468565</v>
      </c>
      <c r="E1244" s="18">
        <f>(FARMER_FIELD_HRS+A1244*TEMP_HRS)-D1244</f>
        <v>-3554.3804078468565</v>
      </c>
      <c r="F1244" s="21">
        <f>IF(E1244&lt;0,0,MIN(COUNTIF(Labor!$C$59:$C$88,"&lt;="&amp;E1244),MAXBED_MES,TOTAL_BEDS-B1244-C1244))</f>
        <v>0</v>
      </c>
      <c r="G1244" s="21">
        <f>B1244+C1244+F1244</f>
        <v>29</v>
      </c>
      <c r="H1244" s="22">
        <f>IF(E1244&lt;0,-999999999,B1244*(PRICE_TOM-FERT_TOM)+C1244*(PRICE_CAR-FERT_CAR)+F1244*(PRICE_MES-FERT_MES)-(FARMER_SALARY+A1244*TEMP_COST)-FIXED_COSTS)</f>
        <v>-999999999</v>
      </c>
    </row>
    <row r="1245">
      <c r="A1245" s="5" t="n">
        <v>2</v>
      </c>
      <c r="B1245" s="5" t="n">
        <v>16</v>
      </c>
      <c r="C1245" s="5" t="n">
        <v>14</v>
      </c>
      <c r="D1245" s="18">
        <f>SEASON_HRS_TOM*B1245*(1+DIM_TOM)^B1245+SEASON_HRS_CAR*C1245*(1+DIM_CAR)^C1245</f>
        <v>7210.210105163382</v>
      </c>
      <c r="E1245" s="18">
        <f>(FARMER_FIELD_HRS+A1245*TEMP_HRS)-D1245</f>
        <v>-3610.2101051633817</v>
      </c>
      <c r="F1245" s="21">
        <f>IF(E1245&lt;0,0,MIN(COUNTIF(Labor!$C$59:$C$88,"&lt;="&amp;E1245),MAXBED_MES,TOTAL_BEDS-B1245-C1245))</f>
        <v>0</v>
      </c>
      <c r="G1245" s="21">
        <f>B1245+C1245+F1245</f>
        <v>30</v>
      </c>
      <c r="H1245" s="22">
        <f>IF(E1245&lt;0,-999999999,B1245*(PRICE_TOM-FERT_TOM)+C1245*(PRICE_CAR-FERT_CAR)+F1245*(PRICE_MES-FERT_MES)-(FARMER_SALARY+A1245*TEMP_COST)-FIXED_COSTS)</f>
        <v>-999999999</v>
      </c>
    </row>
    <row r="1246">
      <c r="A1246" s="5" t="n">
        <v>2</v>
      </c>
      <c r="B1246" s="5" t="n">
        <v>16</v>
      </c>
      <c r="C1246" s="5" t="n">
        <v>15</v>
      </c>
      <c r="D1246" s="18">
        <f>SEASON_HRS_TOM*B1246*(1+DIM_TOM)^B1246+SEASON_HRS_CAR*C1246*(1+DIM_CAR)^C1246</f>
        <v>7268.495275278549</v>
      </c>
      <c r="E1246" s="18">
        <f>(FARMER_FIELD_HRS+A1246*TEMP_HRS)-D1246</f>
        <v>-3668.4952752785493</v>
      </c>
      <c r="F1246" s="21">
        <f>IF(E1246&lt;0,0,MIN(COUNTIF(Labor!$C$59:$C$88,"&lt;="&amp;E1246),MAXBED_MES,TOTAL_BEDS-B1246-C1246))</f>
        <v>0</v>
      </c>
      <c r="G1246" s="21">
        <f>B1246+C1246+F1246</f>
        <v>31</v>
      </c>
      <c r="H1246" s="22">
        <f>IF(E1246&lt;0,-999999999,B1246*(PRICE_TOM-FERT_TOM)+C1246*(PRICE_CAR-FERT_CAR)+F1246*(PRICE_MES-FERT_MES)-(FARMER_SALARY+A1246*TEMP_COST)-FIXED_COSTS)</f>
        <v>-999999999</v>
      </c>
    </row>
    <row r="1247">
      <c r="A1247" s="5" t="n">
        <v>2</v>
      </c>
      <c r="B1247" s="5" t="n">
        <v>16</v>
      </c>
      <c r="C1247" s="5" t="n">
        <v>16</v>
      </c>
      <c r="D1247" s="18">
        <f>SEASON_HRS_TOM*B1247*(1+DIM_TOM)^B1247+SEASON_HRS_CAR*C1247*(1+DIM_CAR)^C1247</f>
        <v>7329.32379827147</v>
      </c>
      <c r="E1247" s="18">
        <f>(FARMER_FIELD_HRS+A1247*TEMP_HRS)-D1247</f>
        <v>-3729.32379827147</v>
      </c>
      <c r="F1247" s="21">
        <f>IF(E1247&lt;0,0,MIN(COUNTIF(Labor!$C$59:$C$88,"&lt;="&amp;E1247),MAXBED_MES,TOTAL_BEDS-B1247-C1247))</f>
        <v>0</v>
      </c>
      <c r="G1247" s="21">
        <f>B1247+C1247+F1247</f>
        <v>32</v>
      </c>
      <c r="H1247" s="22">
        <f>IF(E1247&lt;0,-999999999,B1247*(PRICE_TOM-FERT_TOM)+C1247*(PRICE_CAR-FERT_CAR)+F1247*(PRICE_MES-FERT_MES)-(FARMER_SALARY+A1247*TEMP_COST)-FIXED_COSTS)</f>
        <v>-999999999</v>
      </c>
    </row>
    <row r="1248">
      <c r="A1248" s="5" t="n">
        <v>2</v>
      </c>
      <c r="B1248" s="5" t="n">
        <v>16</v>
      </c>
      <c r="C1248" s="5" t="n">
        <v>17</v>
      </c>
      <c r="D1248" s="18">
        <f>SEASON_HRS_TOM*B1248*(1+DIM_TOM)^B1248+SEASON_HRS_CAR*C1248*(1+DIM_CAR)^C1248</f>
        <v>7392.786413554709</v>
      </c>
      <c r="E1248" s="18">
        <f>(FARMER_FIELD_HRS+A1248*TEMP_HRS)-D1248</f>
        <v>-3792.786413554709</v>
      </c>
      <c r="F1248" s="21">
        <f>IF(E1248&lt;0,0,MIN(COUNTIF(Labor!$C$59:$C$88,"&lt;="&amp;E1248),MAXBED_MES,TOTAL_BEDS-B1248-C1248))</f>
        <v>0</v>
      </c>
      <c r="G1248" s="21">
        <f>B1248+C1248+F1248</f>
        <v>33</v>
      </c>
      <c r="H1248" s="22">
        <f>IF(E1248&lt;0,-999999999,B1248*(PRICE_TOM-FERT_TOM)+C1248*(PRICE_CAR-FERT_CAR)+F1248*(PRICE_MES-FERT_MES)-(FARMER_SALARY+A1248*TEMP_COST)-FIXED_COSTS)</f>
        <v>-999999999</v>
      </c>
    </row>
    <row r="1249">
      <c r="A1249" s="5" t="n">
        <v>2</v>
      </c>
      <c r="B1249" s="5" t="n">
        <v>16</v>
      </c>
      <c r="C1249" s="5" t="n">
        <v>18</v>
      </c>
      <c r="D1249" s="18">
        <f>SEASON_HRS_TOM*B1249*(1+DIM_TOM)^B1249+SEASON_HRS_CAR*C1249*(1+DIM_CAR)^C1249</f>
        <v>7458.976807915911</v>
      </c>
      <c r="E1249" s="18">
        <f>(FARMER_FIELD_HRS+A1249*TEMP_HRS)-D1249</f>
        <v>-3858.976807915911</v>
      </c>
      <c r="F1249" s="21">
        <f>IF(E1249&lt;0,0,MIN(COUNTIF(Labor!$C$59:$C$88,"&lt;="&amp;E1249),MAXBED_MES,TOTAL_BEDS-B1249-C1249))</f>
        <v>0</v>
      </c>
      <c r="G1249" s="21">
        <f>B1249+C1249+F1249</f>
        <v>34</v>
      </c>
      <c r="H1249" s="22">
        <f>IF(E1249&lt;0,-999999999,B1249*(PRICE_TOM-FERT_TOM)+C1249*(PRICE_CAR-FERT_CAR)+F1249*(PRICE_MES-FERT_MES)-(FARMER_SALARY+A1249*TEMP_COST)-FIXED_COSTS)</f>
        <v>-999999999</v>
      </c>
    </row>
    <row r="1250">
      <c r="A1250" s="5" t="n">
        <v>2</v>
      </c>
      <c r="B1250" s="5" t="n">
        <v>16</v>
      </c>
      <c r="C1250" s="5" t="n">
        <v>19</v>
      </c>
      <c r="D1250" s="18">
        <f>SEASON_HRS_TOM*B1250*(1+DIM_TOM)^B1250+SEASON_HRS_CAR*C1250*(1+DIM_CAR)^C1250</f>
        <v>7527.991706174424</v>
      </c>
      <c r="E1250" s="18">
        <f>(FARMER_FIELD_HRS+A1250*TEMP_HRS)-D1250</f>
        <v>-3927.9917061744236</v>
      </c>
      <c r="F1250" s="21">
        <f>IF(E1250&lt;0,0,MIN(COUNTIF(Labor!$C$59:$C$88,"&lt;="&amp;E1250),MAXBED_MES,TOTAL_BEDS-B1250-C1250))</f>
        <v>0</v>
      </c>
      <c r="G1250" s="21">
        <f>B1250+C1250+F1250</f>
        <v>35</v>
      </c>
      <c r="H1250" s="22">
        <f>IF(E1250&lt;0,-999999999,B1250*(PRICE_TOM-FERT_TOM)+C1250*(PRICE_CAR-FERT_CAR)+F1250*(PRICE_MES-FERT_MES)-(FARMER_SALARY+A1250*TEMP_COST)-FIXED_COSTS)</f>
        <v>-999999999</v>
      </c>
    </row>
    <row r="1251">
      <c r="A1251" s="5" t="n">
        <v>2</v>
      </c>
      <c r="B1251" s="5" t="n">
        <v>16</v>
      </c>
      <c r="C1251" s="5" t="n">
        <v>20</v>
      </c>
      <c r="D1251" s="18">
        <f>SEASON_HRS_TOM*B1251*(1+DIM_TOM)^B1251+SEASON_HRS_CAR*C1251*(1+DIM_CAR)^C1251</f>
        <v>7599.930964528637</v>
      </c>
      <c r="E1251" s="18">
        <f>(FARMER_FIELD_HRS+A1251*TEMP_HRS)-D1251</f>
        <v>-3999.9309645286367</v>
      </c>
      <c r="F1251" s="21">
        <f>IF(E1251&lt;0,0,MIN(COUNTIF(Labor!$C$59:$C$88,"&lt;="&amp;E1251),MAXBED_MES,TOTAL_BEDS-B1251-C1251))</f>
        <v>0</v>
      </c>
      <c r="G1251" s="21">
        <f>B1251+C1251+F1251</f>
        <v>36</v>
      </c>
      <c r="H1251" s="22">
        <f>IF(E1251&lt;0,-999999999,B1251*(PRICE_TOM-FERT_TOM)+C1251*(PRICE_CAR-FERT_CAR)+F1251*(PRICE_MES-FERT_MES)-(FARMER_SALARY+A1251*TEMP_COST)-FIXED_COSTS)</f>
        <v>-999999999</v>
      </c>
    </row>
    <row r="1252">
      <c r="A1252" s="5" t="n">
        <v>2</v>
      </c>
      <c r="B1252" s="5" t="n">
        <v>17</v>
      </c>
      <c r="C1252" s="5" t="n">
        <v>0</v>
      </c>
      <c r="D1252" s="18">
        <f>SEASON_HRS_TOM*B1252*(1+DIM_TOM)^B1252+SEASON_HRS_CAR*C1252*(1+DIM_CAR)^C1252</f>
        <v>7733.339536039206</v>
      </c>
      <c r="E1252" s="18">
        <f>(FARMER_FIELD_HRS+A1252*TEMP_HRS)-D1252</f>
        <v>-4133.339536039206</v>
      </c>
      <c r="F1252" s="21">
        <f>IF(E1252&lt;0,0,MIN(COUNTIF(Labor!$C$59:$C$88,"&lt;="&amp;E1252),MAXBED_MES,TOTAL_BEDS-B1252-C1252))</f>
        <v>0</v>
      </c>
      <c r="G1252" s="21">
        <f>B1252+C1252+F1252</f>
        <v>17</v>
      </c>
      <c r="H1252" s="22">
        <f>IF(E1252&lt;0,-999999999,B1252*(PRICE_TOM-FERT_TOM)+C1252*(PRICE_CAR-FERT_CAR)+F1252*(PRICE_MES-FERT_MES)-(FARMER_SALARY+A1252*TEMP_COST)-FIXED_COSTS)</f>
        <v>-999999999</v>
      </c>
    </row>
    <row r="1253">
      <c r="A1253" s="5" t="n">
        <v>2</v>
      </c>
      <c r="B1253" s="5" t="n">
        <v>17</v>
      </c>
      <c r="C1253" s="5" t="n">
        <v>1</v>
      </c>
      <c r="D1253" s="18">
        <f>SEASON_HRS_TOM*B1253*(1+DIM_TOM)^B1253+SEASON_HRS_CAR*C1253*(1+DIM_CAR)^C1253</f>
        <v>7764.089536039206</v>
      </c>
      <c r="E1253" s="18">
        <f>(FARMER_FIELD_HRS+A1253*TEMP_HRS)-D1253</f>
        <v>-4164.089536039206</v>
      </c>
      <c r="F1253" s="21">
        <f>IF(E1253&lt;0,0,MIN(COUNTIF(Labor!$C$59:$C$88,"&lt;="&amp;E1253),MAXBED_MES,TOTAL_BEDS-B1253-C1253))</f>
        <v>0</v>
      </c>
      <c r="G1253" s="21">
        <f>B1253+C1253+F1253</f>
        <v>18</v>
      </c>
      <c r="H1253" s="22">
        <f>IF(E1253&lt;0,-999999999,B1253*(PRICE_TOM-FERT_TOM)+C1253*(PRICE_CAR-FERT_CAR)+F1253*(PRICE_MES-FERT_MES)-(FARMER_SALARY+A1253*TEMP_COST)-FIXED_COSTS)</f>
        <v>-999999999</v>
      </c>
    </row>
    <row r="1254">
      <c r="A1254" s="5" t="n">
        <v>2</v>
      </c>
      <c r="B1254" s="5" t="n">
        <v>17</v>
      </c>
      <c r="C1254" s="5" t="n">
        <v>2</v>
      </c>
      <c r="D1254" s="18">
        <f>SEASON_HRS_TOM*B1254*(1+DIM_TOM)^B1254+SEASON_HRS_CAR*C1254*(1+DIM_CAR)^C1254</f>
        <v>7796.377036039206</v>
      </c>
      <c r="E1254" s="18">
        <f>(FARMER_FIELD_HRS+A1254*TEMP_HRS)-D1254</f>
        <v>-4196.377036039206</v>
      </c>
      <c r="F1254" s="21">
        <f>IF(E1254&lt;0,0,MIN(COUNTIF(Labor!$C$59:$C$88,"&lt;="&amp;E1254),MAXBED_MES,TOTAL_BEDS-B1254-C1254))</f>
        <v>0</v>
      </c>
      <c r="G1254" s="21">
        <f>B1254+C1254+F1254</f>
        <v>19</v>
      </c>
      <c r="H1254" s="22">
        <f>IF(E1254&lt;0,-999999999,B1254*(PRICE_TOM-FERT_TOM)+C1254*(PRICE_CAR-FERT_CAR)+F1254*(PRICE_MES-FERT_MES)-(FARMER_SALARY+A1254*TEMP_COST)-FIXED_COSTS)</f>
        <v>-999999999</v>
      </c>
    </row>
    <row r="1255">
      <c r="A1255" s="5" t="n">
        <v>2</v>
      </c>
      <c r="B1255" s="5" t="n">
        <v>17</v>
      </c>
      <c r="C1255" s="5" t="n">
        <v>3</v>
      </c>
      <c r="D1255" s="18">
        <f>SEASON_HRS_TOM*B1255*(1+DIM_TOM)^B1255+SEASON_HRS_CAR*C1255*(1+DIM_CAR)^C1255</f>
        <v>7830.259692289206</v>
      </c>
      <c r="E1255" s="18">
        <f>(FARMER_FIELD_HRS+A1255*TEMP_HRS)-D1255</f>
        <v>-4230.259692289206</v>
      </c>
      <c r="F1255" s="21">
        <f>IF(E1255&lt;0,0,MIN(COUNTIF(Labor!$C$59:$C$88,"&lt;="&amp;E1255),MAXBED_MES,TOTAL_BEDS-B1255-C1255))</f>
        <v>0</v>
      </c>
      <c r="G1255" s="21">
        <f>B1255+C1255+F1255</f>
        <v>20</v>
      </c>
      <c r="H1255" s="22">
        <f>IF(E1255&lt;0,-999999999,B1255*(PRICE_TOM-FERT_TOM)+C1255*(PRICE_CAR-FERT_CAR)+F1255*(PRICE_MES-FERT_MES)-(FARMER_SALARY+A1255*TEMP_COST)-FIXED_COSTS)</f>
        <v>-999999999</v>
      </c>
    </row>
    <row r="1256">
      <c r="A1256" s="5" t="n">
        <v>2</v>
      </c>
      <c r="B1256" s="5" t="n">
        <v>17</v>
      </c>
      <c r="C1256" s="5" t="n">
        <v>4</v>
      </c>
      <c r="D1256" s="18">
        <f>SEASON_HRS_TOM*B1256*(1+DIM_TOM)^B1256+SEASON_HRS_CAR*C1256*(1+DIM_CAR)^C1256</f>
        <v>7865.797082914206</v>
      </c>
      <c r="E1256" s="18">
        <f>(FARMER_FIELD_HRS+A1256*TEMP_HRS)-D1256</f>
        <v>-4265.797082914206</v>
      </c>
      <c r="F1256" s="21">
        <f>IF(E1256&lt;0,0,MIN(COUNTIF(Labor!$C$59:$C$88,"&lt;="&amp;E1256),MAXBED_MES,TOTAL_BEDS-B1256-C1256))</f>
        <v>0</v>
      </c>
      <c r="G1256" s="21">
        <f>B1256+C1256+F1256</f>
        <v>21</v>
      </c>
      <c r="H1256" s="22">
        <f>IF(E1256&lt;0,-999999999,B1256*(PRICE_TOM-FERT_TOM)+C1256*(PRICE_CAR-FERT_CAR)+F1256*(PRICE_MES-FERT_MES)-(FARMER_SALARY+A1256*TEMP_COST)-FIXED_COSTS)</f>
        <v>-999999999</v>
      </c>
    </row>
    <row r="1257">
      <c r="A1257" s="5" t="n">
        <v>2</v>
      </c>
      <c r="B1257" s="5" t="n">
        <v>17</v>
      </c>
      <c r="C1257" s="5" t="n">
        <v>5</v>
      </c>
      <c r="D1257" s="18">
        <f>SEASON_HRS_TOM*B1257*(1+DIM_TOM)^B1257+SEASON_HRS_CAR*C1257*(1+DIM_CAR)^C1257</f>
        <v>7903.0507679728</v>
      </c>
      <c r="E1257" s="18">
        <f>(FARMER_FIELD_HRS+A1257*TEMP_HRS)-D1257</f>
        <v>-4303.0507679728</v>
      </c>
      <c r="F1257" s="21">
        <f>IF(E1257&lt;0,0,MIN(COUNTIF(Labor!$C$59:$C$88,"&lt;="&amp;E1257),MAXBED_MES,TOTAL_BEDS-B1257-C1257))</f>
        <v>0</v>
      </c>
      <c r="G1257" s="21">
        <f>B1257+C1257+F1257</f>
        <v>22</v>
      </c>
      <c r="H1257" s="22">
        <f>IF(E1257&lt;0,-999999999,B1257*(PRICE_TOM-FERT_TOM)+C1257*(PRICE_CAR-FERT_CAR)+F1257*(PRICE_MES-FERT_MES)-(FARMER_SALARY+A1257*TEMP_COST)-FIXED_COSTS)</f>
        <v>-999999999</v>
      </c>
    </row>
    <row r="1258">
      <c r="A1258" s="5" t="n">
        <v>2</v>
      </c>
      <c r="B1258" s="5" t="n">
        <v>17</v>
      </c>
      <c r="C1258" s="5" t="n">
        <v>6</v>
      </c>
      <c r="D1258" s="18">
        <f>SEASON_HRS_TOM*B1258*(1+DIM_TOM)^B1258+SEASON_HRS_CAR*C1258*(1+DIM_CAR)^C1258</f>
        <v>7942.084351317526</v>
      </c>
      <c r="E1258" s="18">
        <f>(FARMER_FIELD_HRS+A1258*TEMP_HRS)-D1258</f>
        <v>-4342.084351317526</v>
      </c>
      <c r="F1258" s="21">
        <f>IF(E1258&lt;0,0,MIN(COUNTIF(Labor!$C$59:$C$88,"&lt;="&amp;E1258),MAXBED_MES,TOTAL_BEDS-B1258-C1258))</f>
        <v>0</v>
      </c>
      <c r="G1258" s="21">
        <f>B1258+C1258+F1258</f>
        <v>23</v>
      </c>
      <c r="H1258" s="22">
        <f>IF(E1258&lt;0,-999999999,B1258*(PRICE_TOM-FERT_TOM)+C1258*(PRICE_CAR-FERT_CAR)+F1258*(PRICE_MES-FERT_MES)-(FARMER_SALARY+A1258*TEMP_COST)-FIXED_COSTS)</f>
        <v>-999999999</v>
      </c>
    </row>
    <row r="1259">
      <c r="A1259" s="5" t="n">
        <v>2</v>
      </c>
      <c r="B1259" s="5" t="n">
        <v>17</v>
      </c>
      <c r="C1259" s="5" t="n">
        <v>7</v>
      </c>
      <c r="D1259" s="18">
        <f>SEASON_HRS_TOM*B1259*(1+DIM_TOM)^B1259+SEASON_HRS_CAR*C1259*(1+DIM_CAR)^C1259</f>
        <v>7982.96354430953</v>
      </c>
      <c r="E1259" s="18">
        <f>(FARMER_FIELD_HRS+A1259*TEMP_HRS)-D1259</f>
        <v>-4382.96354430953</v>
      </c>
      <c r="F1259" s="21">
        <f>IF(E1259&lt;0,0,MIN(COUNTIF(Labor!$C$59:$C$88,"&lt;="&amp;E1259),MAXBED_MES,TOTAL_BEDS-B1259-C1259))</f>
        <v>0</v>
      </c>
      <c r="G1259" s="21">
        <f>B1259+C1259+F1259</f>
        <v>24</v>
      </c>
      <c r="H1259" s="22">
        <f>IF(E1259&lt;0,-999999999,B1259*(PRICE_TOM-FERT_TOM)+C1259*(PRICE_CAR-FERT_CAR)+F1259*(PRICE_MES-FERT_MES)-(FARMER_SALARY+A1259*TEMP_COST)-FIXED_COSTS)</f>
        <v>-999999999</v>
      </c>
    </row>
    <row r="1260">
      <c r="A1260" s="5" t="n">
        <v>2</v>
      </c>
      <c r="B1260" s="5" t="n">
        <v>17</v>
      </c>
      <c r="C1260" s="5" t="n">
        <v>8</v>
      </c>
      <c r="D1260" s="18">
        <f>SEASON_HRS_TOM*B1260*(1+DIM_TOM)^B1260+SEASON_HRS_CAR*C1260*(1+DIM_CAR)^C1260</f>
        <v>8025.756231441586</v>
      </c>
      <c r="E1260" s="18">
        <f>(FARMER_FIELD_HRS+A1260*TEMP_HRS)-D1260</f>
        <v>-4425.756231441586</v>
      </c>
      <c r="F1260" s="21">
        <f>IF(E1260&lt;0,0,MIN(COUNTIF(Labor!$C$59:$C$88,"&lt;="&amp;E1260),MAXBED_MES,TOTAL_BEDS-B1260-C1260))</f>
        <v>0</v>
      </c>
      <c r="G1260" s="21">
        <f>B1260+C1260+F1260</f>
        <v>25</v>
      </c>
      <c r="H1260" s="22">
        <f>IF(E1260&lt;0,-999999999,B1260*(PRICE_TOM-FERT_TOM)+C1260*(PRICE_CAR-FERT_CAR)+F1260*(PRICE_MES-FERT_MES)-(FARMER_SALARY+A1260*TEMP_COST)-FIXED_COSTS)</f>
        <v>-999999999</v>
      </c>
    </row>
    <row r="1261">
      <c r="A1261" s="5" t="n">
        <v>2</v>
      </c>
      <c r="B1261" s="5" t="n">
        <v>17</v>
      </c>
      <c r="C1261" s="5" t="n">
        <v>9</v>
      </c>
      <c r="D1261" s="18">
        <f>SEASON_HRS_TOM*B1261*(1+DIM_TOM)^B1261+SEASON_HRS_CAR*C1261*(1+DIM_CAR)^C1261</f>
        <v>8070.532537925075</v>
      </c>
      <c r="E1261" s="18">
        <f>(FARMER_FIELD_HRS+A1261*TEMP_HRS)-D1261</f>
        <v>-4470.532537925075</v>
      </c>
      <c r="F1261" s="21">
        <f>IF(E1261&lt;0,0,MIN(COUNTIF(Labor!$C$59:$C$88,"&lt;="&amp;E1261),MAXBED_MES,TOTAL_BEDS-B1261-C1261))</f>
        <v>0</v>
      </c>
      <c r="G1261" s="21">
        <f>B1261+C1261+F1261</f>
        <v>26</v>
      </c>
      <c r="H1261" s="22">
        <f>IF(E1261&lt;0,-999999999,B1261*(PRICE_TOM-FERT_TOM)+C1261*(PRICE_CAR-FERT_CAR)+F1261*(PRICE_MES-FERT_MES)-(FARMER_SALARY+A1261*TEMP_COST)-FIXED_COSTS)</f>
        <v>-999999999</v>
      </c>
    </row>
    <row r="1262">
      <c r="A1262" s="5" t="n">
        <v>2</v>
      </c>
      <c r="B1262" s="5" t="n">
        <v>17</v>
      </c>
      <c r="C1262" s="5" t="n">
        <v>10</v>
      </c>
      <c r="D1262" s="18">
        <f>SEASON_HRS_TOM*B1262*(1+DIM_TOM)^B1262+SEASON_HRS_CAR*C1262*(1+DIM_CAR)^C1262</f>
        <v>8117.364899298113</v>
      </c>
      <c r="E1262" s="18">
        <f>(FARMER_FIELD_HRS+A1262*TEMP_HRS)-D1262</f>
        <v>-4517.364899298113</v>
      </c>
      <c r="F1262" s="21">
        <f>IF(E1262&lt;0,0,MIN(COUNTIF(Labor!$C$59:$C$88,"&lt;="&amp;E1262),MAXBED_MES,TOTAL_BEDS-B1262-C1262))</f>
        <v>0</v>
      </c>
      <c r="G1262" s="21">
        <f>B1262+C1262+F1262</f>
        <v>27</v>
      </c>
      <c r="H1262" s="22">
        <f>IF(E1262&lt;0,-999999999,B1262*(PRICE_TOM-FERT_TOM)+C1262*(PRICE_CAR-FERT_CAR)+F1262*(PRICE_MES-FERT_MES)-(FARMER_SALARY+A1262*TEMP_COST)-FIXED_COSTS)</f>
        <v>-999999999</v>
      </c>
    </row>
    <row r="1263">
      <c r="A1263" s="5" t="n">
        <v>2</v>
      </c>
      <c r="B1263" s="5" t="n">
        <v>17</v>
      </c>
      <c r="C1263" s="5" t="n">
        <v>11</v>
      </c>
      <c r="D1263" s="18">
        <f>SEASON_HRS_TOM*B1263*(1+DIM_TOM)^B1263+SEASON_HRS_CAR*C1263*(1+DIM_CAR)^C1263</f>
        <v>8166.328133113624</v>
      </c>
      <c r="E1263" s="18">
        <f>(FARMER_FIELD_HRS+A1263*TEMP_HRS)-D1263</f>
        <v>-4566.328133113624</v>
      </c>
      <c r="F1263" s="21">
        <f>IF(E1263&lt;0,0,MIN(COUNTIF(Labor!$C$59:$C$88,"&lt;="&amp;E1263),MAXBED_MES,TOTAL_BEDS-B1263-C1263))</f>
        <v>0</v>
      </c>
      <c r="G1263" s="21">
        <f>B1263+C1263+F1263</f>
        <v>28</v>
      </c>
      <c r="H1263" s="22">
        <f>IF(E1263&lt;0,-999999999,B1263*(PRICE_TOM-FERT_TOM)+C1263*(PRICE_CAR-FERT_CAR)+F1263*(PRICE_MES-FERT_MES)-(FARMER_SALARY+A1263*TEMP_COST)-FIXED_COSTS)</f>
        <v>-999999999</v>
      </c>
    </row>
    <row r="1264">
      <c r="A1264" s="5" t="n">
        <v>2</v>
      </c>
      <c r="B1264" s="5" t="n">
        <v>17</v>
      </c>
      <c r="C1264" s="5" t="n">
        <v>12</v>
      </c>
      <c r="D1264" s="18">
        <f>SEASON_HRS_TOM*B1264*(1+DIM_TOM)^B1264+SEASON_HRS_CAR*C1264*(1+DIM_CAR)^C1264</f>
        <v>8217.499512767872</v>
      </c>
      <c r="E1264" s="18">
        <f>(FARMER_FIELD_HRS+A1264*TEMP_HRS)-D1264</f>
        <v>-4617.499512767872</v>
      </c>
      <c r="F1264" s="21">
        <f>IF(E1264&lt;0,0,MIN(COUNTIF(Labor!$C$59:$C$88,"&lt;="&amp;E1264),MAXBED_MES,TOTAL_BEDS-B1264-C1264))</f>
        <v>0</v>
      </c>
      <c r="G1264" s="21">
        <f>B1264+C1264+F1264</f>
        <v>29</v>
      </c>
      <c r="H1264" s="22">
        <f>IF(E1264&lt;0,-999999999,B1264*(PRICE_TOM-FERT_TOM)+C1264*(PRICE_CAR-FERT_CAR)+F1264*(PRICE_MES-FERT_MES)-(FARMER_SALARY+A1264*TEMP_COST)-FIXED_COSTS)</f>
        <v>-999999999</v>
      </c>
    </row>
    <row r="1265">
      <c r="A1265" s="5" t="n">
        <v>2</v>
      </c>
      <c r="B1265" s="5" t="n">
        <v>17</v>
      </c>
      <c r="C1265" s="5" t="n">
        <v>13</v>
      </c>
      <c r="D1265" s="18">
        <f>SEASON_HRS_TOM*B1265*(1+DIM_TOM)^B1265+SEASON_HRS_CAR*C1265*(1+DIM_CAR)^C1265</f>
        <v>8270.958843531664</v>
      </c>
      <c r="E1265" s="18">
        <f>(FARMER_FIELD_HRS+A1265*TEMP_HRS)-D1265</f>
        <v>-4670.958843531664</v>
      </c>
      <c r="F1265" s="21">
        <f>IF(E1265&lt;0,0,MIN(COUNTIF(Labor!$C$59:$C$88,"&lt;="&amp;E1265),MAXBED_MES,TOTAL_BEDS-B1265-C1265))</f>
        <v>0</v>
      </c>
      <c r="G1265" s="21">
        <f>B1265+C1265+F1265</f>
        <v>30</v>
      </c>
      <c r="H1265" s="22">
        <f>IF(E1265&lt;0,-999999999,B1265*(PRICE_TOM-FERT_TOM)+C1265*(PRICE_CAR-FERT_CAR)+F1265*(PRICE_MES-FERT_MES)-(FARMER_SALARY+A1265*TEMP_COST)-FIXED_COSTS)</f>
        <v>-999999999</v>
      </c>
    </row>
    <row r="1266">
      <c r="A1266" s="5" t="n">
        <v>2</v>
      </c>
      <c r="B1266" s="5" t="n">
        <v>17</v>
      </c>
      <c r="C1266" s="5" t="n">
        <v>14</v>
      </c>
      <c r="D1266" s="18">
        <f>SEASON_HRS_TOM*B1266*(1+DIM_TOM)^B1266+SEASON_HRS_CAR*C1266*(1+DIM_CAR)^C1266</f>
        <v>8326.788540848187</v>
      </c>
      <c r="E1266" s="18">
        <f>(FARMER_FIELD_HRS+A1266*TEMP_HRS)-D1266</f>
        <v>-4726.788540848187</v>
      </c>
      <c r="F1266" s="21">
        <f>IF(E1266&lt;0,0,MIN(COUNTIF(Labor!$C$59:$C$88,"&lt;="&amp;E1266),MAXBED_MES,TOTAL_BEDS-B1266-C1266))</f>
        <v>0</v>
      </c>
      <c r="G1266" s="21">
        <f>B1266+C1266+F1266</f>
        <v>31</v>
      </c>
      <c r="H1266" s="22">
        <f>IF(E1266&lt;0,-999999999,B1266*(PRICE_TOM-FERT_TOM)+C1266*(PRICE_CAR-FERT_CAR)+F1266*(PRICE_MES-FERT_MES)-(FARMER_SALARY+A1266*TEMP_COST)-FIXED_COSTS)</f>
        <v>-999999999</v>
      </c>
    </row>
    <row r="1267">
      <c r="A1267" s="5" t="n">
        <v>2</v>
      </c>
      <c r="B1267" s="5" t="n">
        <v>17</v>
      </c>
      <c r="C1267" s="5" t="n">
        <v>15</v>
      </c>
      <c r="D1267" s="18">
        <f>SEASON_HRS_TOM*B1267*(1+DIM_TOM)^B1267+SEASON_HRS_CAR*C1267*(1+DIM_CAR)^C1267</f>
        <v>8385.073710963356</v>
      </c>
      <c r="E1267" s="18">
        <f>(FARMER_FIELD_HRS+A1267*TEMP_HRS)-D1267</f>
        <v>-4785.073710963356</v>
      </c>
      <c r="F1267" s="21">
        <f>IF(E1267&lt;0,0,MIN(COUNTIF(Labor!$C$59:$C$88,"&lt;="&amp;E1267),MAXBED_MES,TOTAL_BEDS-B1267-C1267))</f>
        <v>0</v>
      </c>
      <c r="G1267" s="21">
        <f>B1267+C1267+F1267</f>
        <v>32</v>
      </c>
      <c r="H1267" s="22">
        <f>IF(E1267&lt;0,-999999999,B1267*(PRICE_TOM-FERT_TOM)+C1267*(PRICE_CAR-FERT_CAR)+F1267*(PRICE_MES-FERT_MES)-(FARMER_SALARY+A1267*TEMP_COST)-FIXED_COSTS)</f>
        <v>-999999999</v>
      </c>
    </row>
    <row r="1268">
      <c r="A1268" s="5" t="n">
        <v>2</v>
      </c>
      <c r="B1268" s="5" t="n">
        <v>17</v>
      </c>
      <c r="C1268" s="5" t="n">
        <v>16</v>
      </c>
      <c r="D1268" s="18">
        <f>SEASON_HRS_TOM*B1268*(1+DIM_TOM)^B1268+SEASON_HRS_CAR*C1268*(1+DIM_CAR)^C1268</f>
        <v>8445.902233956276</v>
      </c>
      <c r="E1268" s="18">
        <f>(FARMER_FIELD_HRS+A1268*TEMP_HRS)-D1268</f>
        <v>-4845.902233956276</v>
      </c>
      <c r="F1268" s="21">
        <f>IF(E1268&lt;0,0,MIN(COUNTIF(Labor!$C$59:$C$88,"&lt;="&amp;E1268),MAXBED_MES,TOTAL_BEDS-B1268-C1268))</f>
        <v>0</v>
      </c>
      <c r="G1268" s="21">
        <f>B1268+C1268+F1268</f>
        <v>33</v>
      </c>
      <c r="H1268" s="22">
        <f>IF(E1268&lt;0,-999999999,B1268*(PRICE_TOM-FERT_TOM)+C1268*(PRICE_CAR-FERT_CAR)+F1268*(PRICE_MES-FERT_MES)-(FARMER_SALARY+A1268*TEMP_COST)-FIXED_COSTS)</f>
        <v>-999999999</v>
      </c>
    </row>
    <row r="1269">
      <c r="A1269" s="5" t="n">
        <v>2</v>
      </c>
      <c r="B1269" s="5" t="n">
        <v>17</v>
      </c>
      <c r="C1269" s="5" t="n">
        <v>17</v>
      </c>
      <c r="D1269" s="18">
        <f>SEASON_HRS_TOM*B1269*(1+DIM_TOM)^B1269+SEASON_HRS_CAR*C1269*(1+DIM_CAR)^C1269</f>
        <v>8509.364849239515</v>
      </c>
      <c r="E1269" s="18">
        <f>(FARMER_FIELD_HRS+A1269*TEMP_HRS)-D1269</f>
        <v>-4909.364849239515</v>
      </c>
      <c r="F1269" s="21">
        <f>IF(E1269&lt;0,0,MIN(COUNTIF(Labor!$C$59:$C$88,"&lt;="&amp;E1269),MAXBED_MES,TOTAL_BEDS-B1269-C1269))</f>
        <v>0</v>
      </c>
      <c r="G1269" s="21">
        <f>B1269+C1269+F1269</f>
        <v>34</v>
      </c>
      <c r="H1269" s="22">
        <f>IF(E1269&lt;0,-999999999,B1269*(PRICE_TOM-FERT_TOM)+C1269*(PRICE_CAR-FERT_CAR)+F1269*(PRICE_MES-FERT_MES)-(FARMER_SALARY+A1269*TEMP_COST)-FIXED_COSTS)</f>
        <v>-999999999</v>
      </c>
    </row>
    <row r="1270">
      <c r="A1270" s="5" t="n">
        <v>2</v>
      </c>
      <c r="B1270" s="5" t="n">
        <v>17</v>
      </c>
      <c r="C1270" s="5" t="n">
        <v>18</v>
      </c>
      <c r="D1270" s="18">
        <f>SEASON_HRS_TOM*B1270*(1+DIM_TOM)^B1270+SEASON_HRS_CAR*C1270*(1+DIM_CAR)^C1270</f>
        <v>8575.555243600718</v>
      </c>
      <c r="E1270" s="18">
        <f>(FARMER_FIELD_HRS+A1270*TEMP_HRS)-D1270</f>
        <v>-4975.555243600718</v>
      </c>
      <c r="F1270" s="21">
        <f>IF(E1270&lt;0,0,MIN(COUNTIF(Labor!$C$59:$C$88,"&lt;="&amp;E1270),MAXBED_MES,TOTAL_BEDS-B1270-C1270))</f>
        <v>0</v>
      </c>
      <c r="G1270" s="21">
        <f>B1270+C1270+F1270</f>
        <v>35</v>
      </c>
      <c r="H1270" s="22">
        <f>IF(E1270&lt;0,-999999999,B1270*(PRICE_TOM-FERT_TOM)+C1270*(PRICE_CAR-FERT_CAR)+F1270*(PRICE_MES-FERT_MES)-(FARMER_SALARY+A1270*TEMP_COST)-FIXED_COSTS)</f>
        <v>-999999999</v>
      </c>
    </row>
    <row r="1271">
      <c r="A1271" s="5" t="n">
        <v>2</v>
      </c>
      <c r="B1271" s="5" t="n">
        <v>17</v>
      </c>
      <c r="C1271" s="5" t="n">
        <v>19</v>
      </c>
      <c r="D1271" s="18">
        <f>SEASON_HRS_TOM*B1271*(1+DIM_TOM)^B1271+SEASON_HRS_CAR*C1271*(1+DIM_CAR)^C1271</f>
        <v>8644.57014185923</v>
      </c>
      <c r="E1271" s="18">
        <f>(FARMER_FIELD_HRS+A1271*TEMP_HRS)-D1271</f>
        <v>-5044.570141859231</v>
      </c>
      <c r="F1271" s="21">
        <f>IF(E1271&lt;0,0,MIN(COUNTIF(Labor!$C$59:$C$88,"&lt;="&amp;E1271),MAXBED_MES,TOTAL_BEDS-B1271-C1271))</f>
        <v>0</v>
      </c>
      <c r="G1271" s="21">
        <f>B1271+C1271+F1271</f>
        <v>36</v>
      </c>
      <c r="H1271" s="22">
        <f>IF(E1271&lt;0,-999999999,B1271*(PRICE_TOM-FERT_TOM)+C1271*(PRICE_CAR-FERT_CAR)+F1271*(PRICE_MES-FERT_MES)-(FARMER_SALARY+A1271*TEMP_COST)-FIXED_COSTS)</f>
        <v>-999999999</v>
      </c>
    </row>
    <row r="1272">
      <c r="A1272" s="5" t="n">
        <v>2</v>
      </c>
      <c r="B1272" s="5" t="n">
        <v>17</v>
      </c>
      <c r="C1272" s="5" t="n">
        <v>20</v>
      </c>
      <c r="D1272" s="18">
        <f>SEASON_HRS_TOM*B1272*(1+DIM_TOM)^B1272+SEASON_HRS_CAR*C1272*(1+DIM_CAR)^C1272</f>
        <v>8716.509400213443</v>
      </c>
      <c r="E1272" s="18">
        <f>(FARMER_FIELD_HRS+A1272*TEMP_HRS)-D1272</f>
        <v>-5116.509400213443</v>
      </c>
      <c r="F1272" s="21">
        <f>IF(E1272&lt;0,0,MIN(COUNTIF(Labor!$C$59:$C$88,"&lt;="&amp;E1272),MAXBED_MES,TOTAL_BEDS-B1272-C1272))</f>
        <v>0</v>
      </c>
      <c r="G1272" s="21">
        <f>B1272+C1272+F1272</f>
        <v>37</v>
      </c>
      <c r="H1272" s="22">
        <f>IF(E1272&lt;0,-999999999,B1272*(PRICE_TOM-FERT_TOM)+C1272*(PRICE_CAR-FERT_CAR)+F1272*(PRICE_MES-FERT_MES)-(FARMER_SALARY+A1272*TEMP_COST)-FIXED_COSTS)</f>
        <v>-999999999</v>
      </c>
    </row>
    <row r="1273">
      <c r="A1273" s="5" t="n">
        <v>2</v>
      </c>
      <c r="B1273" s="5" t="n">
        <v>18</v>
      </c>
      <c r="C1273" s="5" t="n">
        <v>0</v>
      </c>
      <c r="D1273" s="18">
        <f>SEASON_HRS_TOM*B1273*(1+DIM_TOM)^B1273+SEASON_HRS_CAR*C1273*(1+DIM_CAR)^C1273</f>
        <v>9007.066047857428</v>
      </c>
      <c r="E1273" s="18">
        <f>(FARMER_FIELD_HRS+A1273*TEMP_HRS)-D1273</f>
        <v>-5407.066047857428</v>
      </c>
      <c r="F1273" s="21">
        <f>IF(E1273&lt;0,0,MIN(COUNTIF(Labor!$C$59:$C$88,"&lt;="&amp;E1273),MAXBED_MES,TOTAL_BEDS-B1273-C1273))</f>
        <v>0</v>
      </c>
      <c r="G1273" s="21">
        <f>B1273+C1273+F1273</f>
        <v>18</v>
      </c>
      <c r="H1273" s="22">
        <f>IF(E1273&lt;0,-999999999,B1273*(PRICE_TOM-FERT_TOM)+C1273*(PRICE_CAR-FERT_CAR)+F1273*(PRICE_MES-FERT_MES)-(FARMER_SALARY+A1273*TEMP_COST)-FIXED_COSTS)</f>
        <v>-999999999</v>
      </c>
    </row>
    <row r="1274">
      <c r="A1274" s="5" t="n">
        <v>2</v>
      </c>
      <c r="B1274" s="5" t="n">
        <v>18</v>
      </c>
      <c r="C1274" s="5" t="n">
        <v>1</v>
      </c>
      <c r="D1274" s="18">
        <f>SEASON_HRS_TOM*B1274*(1+DIM_TOM)^B1274+SEASON_HRS_CAR*C1274*(1+DIM_CAR)^C1274</f>
        <v>9037.816047857428</v>
      </c>
      <c r="E1274" s="18">
        <f>(FARMER_FIELD_HRS+A1274*TEMP_HRS)-D1274</f>
        <v>-5437.816047857428</v>
      </c>
      <c r="F1274" s="21">
        <f>IF(E1274&lt;0,0,MIN(COUNTIF(Labor!$C$59:$C$88,"&lt;="&amp;E1274),MAXBED_MES,TOTAL_BEDS-B1274-C1274))</f>
        <v>0</v>
      </c>
      <c r="G1274" s="21">
        <f>B1274+C1274+F1274</f>
        <v>19</v>
      </c>
      <c r="H1274" s="22">
        <f>IF(E1274&lt;0,-999999999,B1274*(PRICE_TOM-FERT_TOM)+C1274*(PRICE_CAR-FERT_CAR)+F1274*(PRICE_MES-FERT_MES)-(FARMER_SALARY+A1274*TEMP_COST)-FIXED_COSTS)</f>
        <v>-999999999</v>
      </c>
    </row>
    <row r="1275">
      <c r="A1275" s="5" t="n">
        <v>2</v>
      </c>
      <c r="B1275" s="5" t="n">
        <v>18</v>
      </c>
      <c r="C1275" s="5" t="n">
        <v>2</v>
      </c>
      <c r="D1275" s="18">
        <f>SEASON_HRS_TOM*B1275*(1+DIM_TOM)^B1275+SEASON_HRS_CAR*C1275*(1+DIM_CAR)^C1275</f>
        <v>9070.103547857429</v>
      </c>
      <c r="E1275" s="18">
        <f>(FARMER_FIELD_HRS+A1275*TEMP_HRS)-D1275</f>
        <v>-5470.103547857429</v>
      </c>
      <c r="F1275" s="21">
        <f>IF(E1275&lt;0,0,MIN(COUNTIF(Labor!$C$59:$C$88,"&lt;="&amp;E1275),MAXBED_MES,TOTAL_BEDS-B1275-C1275))</f>
        <v>0</v>
      </c>
      <c r="G1275" s="21">
        <f>B1275+C1275+F1275</f>
        <v>20</v>
      </c>
      <c r="H1275" s="22">
        <f>IF(E1275&lt;0,-999999999,B1275*(PRICE_TOM-FERT_TOM)+C1275*(PRICE_CAR-FERT_CAR)+F1275*(PRICE_MES-FERT_MES)-(FARMER_SALARY+A1275*TEMP_COST)-FIXED_COSTS)</f>
        <v>-999999999</v>
      </c>
    </row>
    <row r="1276">
      <c r="A1276" s="5" t="n">
        <v>2</v>
      </c>
      <c r="B1276" s="5" t="n">
        <v>18</v>
      </c>
      <c r="C1276" s="5" t="n">
        <v>3</v>
      </c>
      <c r="D1276" s="18">
        <f>SEASON_HRS_TOM*B1276*(1+DIM_TOM)^B1276+SEASON_HRS_CAR*C1276*(1+DIM_CAR)^C1276</f>
        <v>9103.986204107428</v>
      </c>
      <c r="E1276" s="18">
        <f>(FARMER_FIELD_HRS+A1276*TEMP_HRS)-D1276</f>
        <v>-5503.986204107428</v>
      </c>
      <c r="F1276" s="21">
        <f>IF(E1276&lt;0,0,MIN(COUNTIF(Labor!$C$59:$C$88,"&lt;="&amp;E1276),MAXBED_MES,TOTAL_BEDS-B1276-C1276))</f>
        <v>0</v>
      </c>
      <c r="G1276" s="21">
        <f>B1276+C1276+F1276</f>
        <v>21</v>
      </c>
      <c r="H1276" s="22">
        <f>IF(E1276&lt;0,-999999999,B1276*(PRICE_TOM-FERT_TOM)+C1276*(PRICE_CAR-FERT_CAR)+F1276*(PRICE_MES-FERT_MES)-(FARMER_SALARY+A1276*TEMP_COST)-FIXED_COSTS)</f>
        <v>-999999999</v>
      </c>
    </row>
    <row r="1277">
      <c r="A1277" s="5" t="n">
        <v>2</v>
      </c>
      <c r="B1277" s="5" t="n">
        <v>18</v>
      </c>
      <c r="C1277" s="5" t="n">
        <v>4</v>
      </c>
      <c r="D1277" s="18">
        <f>SEASON_HRS_TOM*B1277*(1+DIM_TOM)^B1277+SEASON_HRS_CAR*C1277*(1+DIM_CAR)^C1277</f>
        <v>9139.523594732429</v>
      </c>
      <c r="E1277" s="18">
        <f>(FARMER_FIELD_HRS+A1277*TEMP_HRS)-D1277</f>
        <v>-5539.523594732429</v>
      </c>
      <c r="F1277" s="21">
        <f>IF(E1277&lt;0,0,MIN(COUNTIF(Labor!$C$59:$C$88,"&lt;="&amp;E1277),MAXBED_MES,TOTAL_BEDS-B1277-C1277))</f>
        <v>0</v>
      </c>
      <c r="G1277" s="21">
        <f>B1277+C1277+F1277</f>
        <v>22</v>
      </c>
      <c r="H1277" s="22">
        <f>IF(E1277&lt;0,-999999999,B1277*(PRICE_TOM-FERT_TOM)+C1277*(PRICE_CAR-FERT_CAR)+F1277*(PRICE_MES-FERT_MES)-(FARMER_SALARY+A1277*TEMP_COST)-FIXED_COSTS)</f>
        <v>-999999999</v>
      </c>
    </row>
    <row r="1278">
      <c r="A1278" s="5" t="n">
        <v>2</v>
      </c>
      <c r="B1278" s="5" t="n">
        <v>18</v>
      </c>
      <c r="C1278" s="5" t="n">
        <v>5</v>
      </c>
      <c r="D1278" s="18">
        <f>SEASON_HRS_TOM*B1278*(1+DIM_TOM)^B1278+SEASON_HRS_CAR*C1278*(1+DIM_CAR)^C1278</f>
        <v>9176.777279791022</v>
      </c>
      <c r="E1278" s="18">
        <f>(FARMER_FIELD_HRS+A1278*TEMP_HRS)-D1278</f>
        <v>-5576.777279791022</v>
      </c>
      <c r="F1278" s="21">
        <f>IF(E1278&lt;0,0,MIN(COUNTIF(Labor!$C$59:$C$88,"&lt;="&amp;E1278),MAXBED_MES,TOTAL_BEDS-B1278-C1278))</f>
        <v>0</v>
      </c>
      <c r="G1278" s="21">
        <f>B1278+C1278+F1278</f>
        <v>23</v>
      </c>
      <c r="H1278" s="22">
        <f>IF(E1278&lt;0,-999999999,B1278*(PRICE_TOM-FERT_TOM)+C1278*(PRICE_CAR-FERT_CAR)+F1278*(PRICE_MES-FERT_MES)-(FARMER_SALARY+A1278*TEMP_COST)-FIXED_COSTS)</f>
        <v>-999999999</v>
      </c>
    </row>
    <row r="1279">
      <c r="A1279" s="5" t="n">
        <v>2</v>
      </c>
      <c r="B1279" s="5" t="n">
        <v>18</v>
      </c>
      <c r="C1279" s="5" t="n">
        <v>6</v>
      </c>
      <c r="D1279" s="18">
        <f>SEASON_HRS_TOM*B1279*(1+DIM_TOM)^B1279+SEASON_HRS_CAR*C1279*(1+DIM_CAR)^C1279</f>
        <v>9215.810863135748</v>
      </c>
      <c r="E1279" s="18">
        <f>(FARMER_FIELD_HRS+A1279*TEMP_HRS)-D1279</f>
        <v>-5615.810863135748</v>
      </c>
      <c r="F1279" s="21">
        <f>IF(E1279&lt;0,0,MIN(COUNTIF(Labor!$C$59:$C$88,"&lt;="&amp;E1279),MAXBED_MES,TOTAL_BEDS-B1279-C1279))</f>
        <v>0</v>
      </c>
      <c r="G1279" s="21">
        <f>B1279+C1279+F1279</f>
        <v>24</v>
      </c>
      <c r="H1279" s="22">
        <f>IF(E1279&lt;0,-999999999,B1279*(PRICE_TOM-FERT_TOM)+C1279*(PRICE_CAR-FERT_CAR)+F1279*(PRICE_MES-FERT_MES)-(FARMER_SALARY+A1279*TEMP_COST)-FIXED_COSTS)</f>
        <v>-999999999</v>
      </c>
    </row>
    <row r="1280">
      <c r="A1280" s="5" t="n">
        <v>2</v>
      </c>
      <c r="B1280" s="5" t="n">
        <v>18</v>
      </c>
      <c r="C1280" s="5" t="n">
        <v>7</v>
      </c>
      <c r="D1280" s="18">
        <f>SEASON_HRS_TOM*B1280*(1+DIM_TOM)^B1280+SEASON_HRS_CAR*C1280*(1+DIM_CAR)^C1280</f>
        <v>9256.690056127753</v>
      </c>
      <c r="E1280" s="18">
        <f>(FARMER_FIELD_HRS+A1280*TEMP_HRS)-D1280</f>
        <v>-5656.6900561277525</v>
      </c>
      <c r="F1280" s="21">
        <f>IF(E1280&lt;0,0,MIN(COUNTIF(Labor!$C$59:$C$88,"&lt;="&amp;E1280),MAXBED_MES,TOTAL_BEDS-B1280-C1280))</f>
        <v>0</v>
      </c>
      <c r="G1280" s="21">
        <f>B1280+C1280+F1280</f>
        <v>25</v>
      </c>
      <c r="H1280" s="22">
        <f>IF(E1280&lt;0,-999999999,B1280*(PRICE_TOM-FERT_TOM)+C1280*(PRICE_CAR-FERT_CAR)+F1280*(PRICE_MES-FERT_MES)-(FARMER_SALARY+A1280*TEMP_COST)-FIXED_COSTS)</f>
        <v>-999999999</v>
      </c>
    </row>
    <row r="1281">
      <c r="A1281" s="5" t="n">
        <v>2</v>
      </c>
      <c r="B1281" s="5" t="n">
        <v>18</v>
      </c>
      <c r="C1281" s="5" t="n">
        <v>8</v>
      </c>
      <c r="D1281" s="18">
        <f>SEASON_HRS_TOM*B1281*(1+DIM_TOM)^B1281+SEASON_HRS_CAR*C1281*(1+DIM_CAR)^C1281</f>
        <v>9299.482743259809</v>
      </c>
      <c r="E1281" s="18">
        <f>(FARMER_FIELD_HRS+A1281*TEMP_HRS)-D1281</f>
        <v>-5699.482743259809</v>
      </c>
      <c r="F1281" s="21">
        <f>IF(E1281&lt;0,0,MIN(COUNTIF(Labor!$C$59:$C$88,"&lt;="&amp;E1281),MAXBED_MES,TOTAL_BEDS-B1281-C1281))</f>
        <v>0</v>
      </c>
      <c r="G1281" s="21">
        <f>B1281+C1281+F1281</f>
        <v>26</v>
      </c>
      <c r="H1281" s="22">
        <f>IF(E1281&lt;0,-999999999,B1281*(PRICE_TOM-FERT_TOM)+C1281*(PRICE_CAR-FERT_CAR)+F1281*(PRICE_MES-FERT_MES)-(FARMER_SALARY+A1281*TEMP_COST)-FIXED_COSTS)</f>
        <v>-999999999</v>
      </c>
    </row>
    <row r="1282">
      <c r="A1282" s="5" t="n">
        <v>2</v>
      </c>
      <c r="B1282" s="5" t="n">
        <v>18</v>
      </c>
      <c r="C1282" s="5" t="n">
        <v>9</v>
      </c>
      <c r="D1282" s="18">
        <f>SEASON_HRS_TOM*B1282*(1+DIM_TOM)^B1282+SEASON_HRS_CAR*C1282*(1+DIM_CAR)^C1282</f>
        <v>9344.259049743298</v>
      </c>
      <c r="E1282" s="18">
        <f>(FARMER_FIELD_HRS+A1282*TEMP_HRS)-D1282</f>
        <v>-5744.2590497432975</v>
      </c>
      <c r="F1282" s="21">
        <f>IF(E1282&lt;0,0,MIN(COUNTIF(Labor!$C$59:$C$88,"&lt;="&amp;E1282),MAXBED_MES,TOTAL_BEDS-B1282-C1282))</f>
        <v>0</v>
      </c>
      <c r="G1282" s="21">
        <f>B1282+C1282+F1282</f>
        <v>27</v>
      </c>
      <c r="H1282" s="22">
        <f>IF(E1282&lt;0,-999999999,B1282*(PRICE_TOM-FERT_TOM)+C1282*(PRICE_CAR-FERT_CAR)+F1282*(PRICE_MES-FERT_MES)-(FARMER_SALARY+A1282*TEMP_COST)-FIXED_COSTS)</f>
        <v>-999999999</v>
      </c>
    </row>
    <row r="1283">
      <c r="A1283" s="5" t="n">
        <v>2</v>
      </c>
      <c r="B1283" s="5" t="n">
        <v>18</v>
      </c>
      <c r="C1283" s="5" t="n">
        <v>10</v>
      </c>
      <c r="D1283" s="18">
        <f>SEASON_HRS_TOM*B1283*(1+DIM_TOM)^B1283+SEASON_HRS_CAR*C1283*(1+DIM_CAR)^C1283</f>
        <v>9391.091411116335</v>
      </c>
      <c r="E1283" s="18">
        <f>(FARMER_FIELD_HRS+A1283*TEMP_HRS)-D1283</f>
        <v>-5791.091411116335</v>
      </c>
      <c r="F1283" s="21">
        <f>IF(E1283&lt;0,0,MIN(COUNTIF(Labor!$C$59:$C$88,"&lt;="&amp;E1283),MAXBED_MES,TOTAL_BEDS-B1283-C1283))</f>
        <v>0</v>
      </c>
      <c r="G1283" s="21">
        <f>B1283+C1283+F1283</f>
        <v>28</v>
      </c>
      <c r="H1283" s="22">
        <f>IF(E1283&lt;0,-999999999,B1283*(PRICE_TOM-FERT_TOM)+C1283*(PRICE_CAR-FERT_CAR)+F1283*(PRICE_MES-FERT_MES)-(FARMER_SALARY+A1283*TEMP_COST)-FIXED_COSTS)</f>
        <v>-999999999</v>
      </c>
    </row>
    <row r="1284">
      <c r="A1284" s="5" t="n">
        <v>2</v>
      </c>
      <c r="B1284" s="5" t="n">
        <v>18</v>
      </c>
      <c r="C1284" s="5" t="n">
        <v>11</v>
      </c>
      <c r="D1284" s="18">
        <f>SEASON_HRS_TOM*B1284*(1+DIM_TOM)^B1284+SEASON_HRS_CAR*C1284*(1+DIM_CAR)^C1284</f>
        <v>9440.054644931846</v>
      </c>
      <c r="E1284" s="18">
        <f>(FARMER_FIELD_HRS+A1284*TEMP_HRS)-D1284</f>
        <v>-5840.054644931846</v>
      </c>
      <c r="F1284" s="21">
        <f>IF(E1284&lt;0,0,MIN(COUNTIF(Labor!$C$59:$C$88,"&lt;="&amp;E1284),MAXBED_MES,TOTAL_BEDS-B1284-C1284))</f>
        <v>0</v>
      </c>
      <c r="G1284" s="21">
        <f>B1284+C1284+F1284</f>
        <v>29</v>
      </c>
      <c r="H1284" s="22">
        <f>IF(E1284&lt;0,-999999999,B1284*(PRICE_TOM-FERT_TOM)+C1284*(PRICE_CAR-FERT_CAR)+F1284*(PRICE_MES-FERT_MES)-(FARMER_SALARY+A1284*TEMP_COST)-FIXED_COSTS)</f>
        <v>-999999999</v>
      </c>
    </row>
    <row r="1285">
      <c r="A1285" s="5" t="n">
        <v>2</v>
      </c>
      <c r="B1285" s="5" t="n">
        <v>18</v>
      </c>
      <c r="C1285" s="5" t="n">
        <v>12</v>
      </c>
      <c r="D1285" s="18">
        <f>SEASON_HRS_TOM*B1285*(1+DIM_TOM)^B1285+SEASON_HRS_CAR*C1285*(1+DIM_CAR)^C1285</f>
        <v>9491.226024586094</v>
      </c>
      <c r="E1285" s="18">
        <f>(FARMER_FIELD_HRS+A1285*TEMP_HRS)-D1285</f>
        <v>-5891.226024586094</v>
      </c>
      <c r="F1285" s="21">
        <f>IF(E1285&lt;0,0,MIN(COUNTIF(Labor!$C$59:$C$88,"&lt;="&amp;E1285),MAXBED_MES,TOTAL_BEDS-B1285-C1285))</f>
        <v>0</v>
      </c>
      <c r="G1285" s="21">
        <f>B1285+C1285+F1285</f>
        <v>30</v>
      </c>
      <c r="H1285" s="22">
        <f>IF(E1285&lt;0,-999999999,B1285*(PRICE_TOM-FERT_TOM)+C1285*(PRICE_CAR-FERT_CAR)+F1285*(PRICE_MES-FERT_MES)-(FARMER_SALARY+A1285*TEMP_COST)-FIXED_COSTS)</f>
        <v>-999999999</v>
      </c>
    </row>
    <row r="1286">
      <c r="A1286" s="5" t="n">
        <v>2</v>
      </c>
      <c r="B1286" s="5" t="n">
        <v>18</v>
      </c>
      <c r="C1286" s="5" t="n">
        <v>13</v>
      </c>
      <c r="D1286" s="18">
        <f>SEASON_HRS_TOM*B1286*(1+DIM_TOM)^B1286+SEASON_HRS_CAR*C1286*(1+DIM_CAR)^C1286</f>
        <v>9544.685355349886</v>
      </c>
      <c r="E1286" s="18">
        <f>(FARMER_FIELD_HRS+A1286*TEMP_HRS)-D1286</f>
        <v>-5944.685355349886</v>
      </c>
      <c r="F1286" s="21">
        <f>IF(E1286&lt;0,0,MIN(COUNTIF(Labor!$C$59:$C$88,"&lt;="&amp;E1286),MAXBED_MES,TOTAL_BEDS-B1286-C1286))</f>
        <v>0</v>
      </c>
      <c r="G1286" s="21">
        <f>B1286+C1286+F1286</f>
        <v>31</v>
      </c>
      <c r="H1286" s="22">
        <f>IF(E1286&lt;0,-999999999,B1286*(PRICE_TOM-FERT_TOM)+C1286*(PRICE_CAR-FERT_CAR)+F1286*(PRICE_MES-FERT_MES)-(FARMER_SALARY+A1286*TEMP_COST)-FIXED_COSTS)</f>
        <v>-999999999</v>
      </c>
    </row>
    <row r="1287">
      <c r="A1287" s="5" t="n">
        <v>2</v>
      </c>
      <c r="B1287" s="5" t="n">
        <v>18</v>
      </c>
      <c r="C1287" s="5" t="n">
        <v>14</v>
      </c>
      <c r="D1287" s="18">
        <f>SEASON_HRS_TOM*B1287*(1+DIM_TOM)^B1287+SEASON_HRS_CAR*C1287*(1+DIM_CAR)^C1287</f>
        <v>9600.51505266641</v>
      </c>
      <c r="E1287" s="18">
        <f>(FARMER_FIELD_HRS+A1287*TEMP_HRS)-D1287</f>
        <v>-6000.515052666409</v>
      </c>
      <c r="F1287" s="21">
        <f>IF(E1287&lt;0,0,MIN(COUNTIF(Labor!$C$59:$C$88,"&lt;="&amp;E1287),MAXBED_MES,TOTAL_BEDS-B1287-C1287))</f>
        <v>0</v>
      </c>
      <c r="G1287" s="21">
        <f>B1287+C1287+F1287</f>
        <v>32</v>
      </c>
      <c r="H1287" s="22">
        <f>IF(E1287&lt;0,-999999999,B1287*(PRICE_TOM-FERT_TOM)+C1287*(PRICE_CAR-FERT_CAR)+F1287*(PRICE_MES-FERT_MES)-(FARMER_SALARY+A1287*TEMP_COST)-FIXED_COSTS)</f>
        <v>-999999999</v>
      </c>
    </row>
    <row r="1288">
      <c r="A1288" s="5" t="n">
        <v>2</v>
      </c>
      <c r="B1288" s="5" t="n">
        <v>18</v>
      </c>
      <c r="C1288" s="5" t="n">
        <v>15</v>
      </c>
      <c r="D1288" s="18">
        <f>SEASON_HRS_TOM*B1288*(1+DIM_TOM)^B1288+SEASON_HRS_CAR*C1288*(1+DIM_CAR)^C1288</f>
        <v>9658.800222781578</v>
      </c>
      <c r="E1288" s="18">
        <f>(FARMER_FIELD_HRS+A1288*TEMP_HRS)-D1288</f>
        <v>-6058.800222781578</v>
      </c>
      <c r="F1288" s="21">
        <f>IF(E1288&lt;0,0,MIN(COUNTIF(Labor!$C$59:$C$88,"&lt;="&amp;E1288),MAXBED_MES,TOTAL_BEDS-B1288-C1288))</f>
        <v>0</v>
      </c>
      <c r="G1288" s="21">
        <f>B1288+C1288+F1288</f>
        <v>33</v>
      </c>
      <c r="H1288" s="22">
        <f>IF(E1288&lt;0,-999999999,B1288*(PRICE_TOM-FERT_TOM)+C1288*(PRICE_CAR-FERT_CAR)+F1288*(PRICE_MES-FERT_MES)-(FARMER_SALARY+A1288*TEMP_COST)-FIXED_COSTS)</f>
        <v>-999999999</v>
      </c>
    </row>
    <row r="1289">
      <c r="A1289" s="5" t="n">
        <v>2</v>
      </c>
      <c r="B1289" s="5" t="n">
        <v>18</v>
      </c>
      <c r="C1289" s="5" t="n">
        <v>16</v>
      </c>
      <c r="D1289" s="18">
        <f>SEASON_HRS_TOM*B1289*(1+DIM_TOM)^B1289+SEASON_HRS_CAR*C1289*(1+DIM_CAR)^C1289</f>
        <v>9719.628745774498</v>
      </c>
      <c r="E1289" s="18">
        <f>(FARMER_FIELD_HRS+A1289*TEMP_HRS)-D1289</f>
        <v>-6119.628745774498</v>
      </c>
      <c r="F1289" s="21">
        <f>IF(E1289&lt;0,0,MIN(COUNTIF(Labor!$C$59:$C$88,"&lt;="&amp;E1289),MAXBED_MES,TOTAL_BEDS-B1289-C1289))</f>
        <v>0</v>
      </c>
      <c r="G1289" s="21">
        <f>B1289+C1289+F1289</f>
        <v>34</v>
      </c>
      <c r="H1289" s="22">
        <f>IF(E1289&lt;0,-999999999,B1289*(PRICE_TOM-FERT_TOM)+C1289*(PRICE_CAR-FERT_CAR)+F1289*(PRICE_MES-FERT_MES)-(FARMER_SALARY+A1289*TEMP_COST)-FIXED_COSTS)</f>
        <v>-999999999</v>
      </c>
    </row>
    <row r="1290">
      <c r="A1290" s="5" t="n">
        <v>2</v>
      </c>
      <c r="B1290" s="5" t="n">
        <v>18</v>
      </c>
      <c r="C1290" s="5" t="n">
        <v>17</v>
      </c>
      <c r="D1290" s="18">
        <f>SEASON_HRS_TOM*B1290*(1+DIM_TOM)^B1290+SEASON_HRS_CAR*C1290*(1+DIM_CAR)^C1290</f>
        <v>9783.091361057737</v>
      </c>
      <c r="E1290" s="18">
        <f>(FARMER_FIELD_HRS+A1290*TEMP_HRS)-D1290</f>
        <v>-6183.091361057737</v>
      </c>
      <c r="F1290" s="21">
        <f>IF(E1290&lt;0,0,MIN(COUNTIF(Labor!$C$59:$C$88,"&lt;="&amp;E1290),MAXBED_MES,TOTAL_BEDS-B1290-C1290))</f>
        <v>0</v>
      </c>
      <c r="G1290" s="21">
        <f>B1290+C1290+F1290</f>
        <v>35</v>
      </c>
      <c r="H1290" s="22">
        <f>IF(E1290&lt;0,-999999999,B1290*(PRICE_TOM-FERT_TOM)+C1290*(PRICE_CAR-FERT_CAR)+F1290*(PRICE_MES-FERT_MES)-(FARMER_SALARY+A1290*TEMP_COST)-FIXED_COSTS)</f>
        <v>-999999999</v>
      </c>
    </row>
    <row r="1291">
      <c r="A1291" s="5" t="n">
        <v>2</v>
      </c>
      <c r="B1291" s="5" t="n">
        <v>18</v>
      </c>
      <c r="C1291" s="5" t="n">
        <v>18</v>
      </c>
      <c r="D1291" s="18">
        <f>SEASON_HRS_TOM*B1291*(1+DIM_TOM)^B1291+SEASON_HRS_CAR*C1291*(1+DIM_CAR)^C1291</f>
        <v>9849.28175541894</v>
      </c>
      <c r="E1291" s="18">
        <f>(FARMER_FIELD_HRS+A1291*TEMP_HRS)-D1291</f>
        <v>-6249.2817554189405</v>
      </c>
      <c r="F1291" s="21">
        <f>IF(E1291&lt;0,0,MIN(COUNTIF(Labor!$C$59:$C$88,"&lt;="&amp;E1291),MAXBED_MES,TOTAL_BEDS-B1291-C1291))</f>
        <v>0</v>
      </c>
      <c r="G1291" s="21">
        <f>B1291+C1291+F1291</f>
        <v>36</v>
      </c>
      <c r="H1291" s="22">
        <f>IF(E1291&lt;0,-999999999,B1291*(PRICE_TOM-FERT_TOM)+C1291*(PRICE_CAR-FERT_CAR)+F1291*(PRICE_MES-FERT_MES)-(FARMER_SALARY+A1291*TEMP_COST)-FIXED_COSTS)</f>
        <v>-999999999</v>
      </c>
    </row>
    <row r="1292">
      <c r="A1292" s="5" t="n">
        <v>2</v>
      </c>
      <c r="B1292" s="5" t="n">
        <v>18</v>
      </c>
      <c r="C1292" s="5" t="n">
        <v>19</v>
      </c>
      <c r="D1292" s="18">
        <f>SEASON_HRS_TOM*B1292*(1+DIM_TOM)^B1292+SEASON_HRS_CAR*C1292*(1+DIM_CAR)^C1292</f>
        <v>9918.296653677453</v>
      </c>
      <c r="E1292" s="18">
        <f>(FARMER_FIELD_HRS+A1292*TEMP_HRS)-D1292</f>
        <v>-6318.296653677453</v>
      </c>
      <c r="F1292" s="21">
        <f>IF(E1292&lt;0,0,MIN(COUNTIF(Labor!$C$59:$C$88,"&lt;="&amp;E1292),MAXBED_MES,TOTAL_BEDS-B1292-C1292))</f>
        <v>0</v>
      </c>
      <c r="G1292" s="21">
        <f>B1292+C1292+F1292</f>
        <v>37</v>
      </c>
      <c r="H1292" s="22">
        <f>IF(E1292&lt;0,-999999999,B1292*(PRICE_TOM-FERT_TOM)+C1292*(PRICE_CAR-FERT_CAR)+F1292*(PRICE_MES-FERT_MES)-(FARMER_SALARY+A1292*TEMP_COST)-FIXED_COSTS)</f>
        <v>-999999999</v>
      </c>
    </row>
    <row r="1293">
      <c r="A1293" s="5" t="n">
        <v>2</v>
      </c>
      <c r="B1293" s="5" t="n">
        <v>18</v>
      </c>
      <c r="C1293" s="5" t="n">
        <v>20</v>
      </c>
      <c r="D1293" s="18">
        <f>SEASON_HRS_TOM*B1293*(1+DIM_TOM)^B1293+SEASON_HRS_CAR*C1293*(1+DIM_CAR)^C1293</f>
        <v>9990.235912031665</v>
      </c>
      <c r="E1293" s="18">
        <f>(FARMER_FIELD_HRS+A1293*TEMP_HRS)-D1293</f>
        <v>-6390.235912031665</v>
      </c>
      <c r="F1293" s="21">
        <f>IF(E1293&lt;0,0,MIN(COUNTIF(Labor!$C$59:$C$88,"&lt;="&amp;E1293),MAXBED_MES,TOTAL_BEDS-B1293-C1293))</f>
        <v>0</v>
      </c>
      <c r="G1293" s="21">
        <f>B1293+C1293+F1293</f>
        <v>38</v>
      </c>
      <c r="H1293" s="22">
        <f>IF(E1293&lt;0,-999999999,B1293*(PRICE_TOM-FERT_TOM)+C1293*(PRICE_CAR-FERT_CAR)+F1293*(PRICE_MES-FERT_MES)-(FARMER_SALARY+A1293*TEMP_COST)-FIXED_COSTS)</f>
        <v>-999999999</v>
      </c>
    </row>
    <row r="1294">
      <c r="A1294" s="5" t="n">
        <v>2</v>
      </c>
      <c r="B1294" s="5" t="n">
        <v>19</v>
      </c>
      <c r="C1294" s="5" t="n">
        <v>0</v>
      </c>
      <c r="D1294" s="18">
        <f>SEASON_HRS_TOM*B1294*(1+DIM_TOM)^B1294+SEASON_HRS_CAR*C1294*(1+DIM_CAR)^C1294</f>
        <v>10458.204466678904</v>
      </c>
      <c r="E1294" s="18">
        <f>(FARMER_FIELD_HRS+A1294*TEMP_HRS)-D1294</f>
        <v>-6858.204466678904</v>
      </c>
      <c r="F1294" s="21">
        <f>IF(E1294&lt;0,0,MIN(COUNTIF(Labor!$C$59:$C$88,"&lt;="&amp;E1294),MAXBED_MES,TOTAL_BEDS-B1294-C1294))</f>
        <v>0</v>
      </c>
      <c r="G1294" s="21">
        <f>B1294+C1294+F1294</f>
        <v>19</v>
      </c>
      <c r="H1294" s="22">
        <f>IF(E1294&lt;0,-999999999,B1294*(PRICE_TOM-FERT_TOM)+C1294*(PRICE_CAR-FERT_CAR)+F1294*(PRICE_MES-FERT_MES)-(FARMER_SALARY+A1294*TEMP_COST)-FIXED_COSTS)</f>
        <v>-999999999</v>
      </c>
    </row>
    <row r="1295">
      <c r="A1295" s="5" t="n">
        <v>2</v>
      </c>
      <c r="B1295" s="5" t="n">
        <v>19</v>
      </c>
      <c r="C1295" s="5" t="n">
        <v>1</v>
      </c>
      <c r="D1295" s="18">
        <f>SEASON_HRS_TOM*B1295*(1+DIM_TOM)^B1295+SEASON_HRS_CAR*C1295*(1+DIM_CAR)^C1295</f>
        <v>10488.954466678904</v>
      </c>
      <c r="E1295" s="18">
        <f>(FARMER_FIELD_HRS+A1295*TEMP_HRS)-D1295</f>
        <v>-6888.954466678904</v>
      </c>
      <c r="F1295" s="21">
        <f>IF(E1295&lt;0,0,MIN(COUNTIF(Labor!$C$59:$C$88,"&lt;="&amp;E1295),MAXBED_MES,TOTAL_BEDS-B1295-C1295))</f>
        <v>0</v>
      </c>
      <c r="G1295" s="21">
        <f>B1295+C1295+F1295</f>
        <v>20</v>
      </c>
      <c r="H1295" s="22">
        <f>IF(E1295&lt;0,-999999999,B1295*(PRICE_TOM-FERT_TOM)+C1295*(PRICE_CAR-FERT_CAR)+F1295*(PRICE_MES-FERT_MES)-(FARMER_SALARY+A1295*TEMP_COST)-FIXED_COSTS)</f>
        <v>-999999999</v>
      </c>
    </row>
    <row r="1296">
      <c r="A1296" s="5" t="n">
        <v>2</v>
      </c>
      <c r="B1296" s="5" t="n">
        <v>19</v>
      </c>
      <c r="C1296" s="5" t="n">
        <v>2</v>
      </c>
      <c r="D1296" s="18">
        <f>SEASON_HRS_TOM*B1296*(1+DIM_TOM)^B1296+SEASON_HRS_CAR*C1296*(1+DIM_CAR)^C1296</f>
        <v>10521.241966678905</v>
      </c>
      <c r="E1296" s="18">
        <f>(FARMER_FIELD_HRS+A1296*TEMP_HRS)-D1296</f>
        <v>-6921.241966678905</v>
      </c>
      <c r="F1296" s="21">
        <f>IF(E1296&lt;0,0,MIN(COUNTIF(Labor!$C$59:$C$88,"&lt;="&amp;E1296),MAXBED_MES,TOTAL_BEDS-B1296-C1296))</f>
        <v>0</v>
      </c>
      <c r="G1296" s="21">
        <f>B1296+C1296+F1296</f>
        <v>21</v>
      </c>
      <c r="H1296" s="22">
        <f>IF(E1296&lt;0,-999999999,B1296*(PRICE_TOM-FERT_TOM)+C1296*(PRICE_CAR-FERT_CAR)+F1296*(PRICE_MES-FERT_MES)-(FARMER_SALARY+A1296*TEMP_COST)-FIXED_COSTS)</f>
        <v>-999999999</v>
      </c>
    </row>
    <row r="1297">
      <c r="A1297" s="5" t="n">
        <v>2</v>
      </c>
      <c r="B1297" s="5" t="n">
        <v>19</v>
      </c>
      <c r="C1297" s="5" t="n">
        <v>3</v>
      </c>
      <c r="D1297" s="18">
        <f>SEASON_HRS_TOM*B1297*(1+DIM_TOM)^B1297+SEASON_HRS_CAR*C1297*(1+DIM_CAR)^C1297</f>
        <v>10555.124622928905</v>
      </c>
      <c r="E1297" s="18">
        <f>(FARMER_FIELD_HRS+A1297*TEMP_HRS)-D1297</f>
        <v>-6955.1246229289045</v>
      </c>
      <c r="F1297" s="21">
        <f>IF(E1297&lt;0,0,MIN(COUNTIF(Labor!$C$59:$C$88,"&lt;="&amp;E1297),MAXBED_MES,TOTAL_BEDS-B1297-C1297))</f>
        <v>0</v>
      </c>
      <c r="G1297" s="21">
        <f>B1297+C1297+F1297</f>
        <v>22</v>
      </c>
      <c r="H1297" s="22">
        <f>IF(E1297&lt;0,-999999999,B1297*(PRICE_TOM-FERT_TOM)+C1297*(PRICE_CAR-FERT_CAR)+F1297*(PRICE_MES-FERT_MES)-(FARMER_SALARY+A1297*TEMP_COST)-FIXED_COSTS)</f>
        <v>-999999999</v>
      </c>
    </row>
    <row r="1298">
      <c r="A1298" s="5" t="n">
        <v>2</v>
      </c>
      <c r="B1298" s="5" t="n">
        <v>19</v>
      </c>
      <c r="C1298" s="5" t="n">
        <v>4</v>
      </c>
      <c r="D1298" s="18">
        <f>SEASON_HRS_TOM*B1298*(1+DIM_TOM)^B1298+SEASON_HRS_CAR*C1298*(1+DIM_CAR)^C1298</f>
        <v>10590.662013553905</v>
      </c>
      <c r="E1298" s="18">
        <f>(FARMER_FIELD_HRS+A1298*TEMP_HRS)-D1298</f>
        <v>-6990.662013553905</v>
      </c>
      <c r="F1298" s="21">
        <f>IF(E1298&lt;0,0,MIN(COUNTIF(Labor!$C$59:$C$88,"&lt;="&amp;E1298),MAXBED_MES,TOTAL_BEDS-B1298-C1298))</f>
        <v>0</v>
      </c>
      <c r="G1298" s="21">
        <f>B1298+C1298+F1298</f>
        <v>23</v>
      </c>
      <c r="H1298" s="22">
        <f>IF(E1298&lt;0,-999999999,B1298*(PRICE_TOM-FERT_TOM)+C1298*(PRICE_CAR-FERT_CAR)+F1298*(PRICE_MES-FERT_MES)-(FARMER_SALARY+A1298*TEMP_COST)-FIXED_COSTS)</f>
        <v>-999999999</v>
      </c>
    </row>
    <row r="1299">
      <c r="A1299" s="5" t="n">
        <v>2</v>
      </c>
      <c r="B1299" s="5" t="n">
        <v>19</v>
      </c>
      <c r="C1299" s="5" t="n">
        <v>5</v>
      </c>
      <c r="D1299" s="18">
        <f>SEASON_HRS_TOM*B1299*(1+DIM_TOM)^B1299+SEASON_HRS_CAR*C1299*(1+DIM_CAR)^C1299</f>
        <v>10627.915698612498</v>
      </c>
      <c r="E1299" s="18">
        <f>(FARMER_FIELD_HRS+A1299*TEMP_HRS)-D1299</f>
        <v>-7027.915698612498</v>
      </c>
      <c r="F1299" s="21">
        <f>IF(E1299&lt;0,0,MIN(COUNTIF(Labor!$C$59:$C$88,"&lt;="&amp;E1299),MAXBED_MES,TOTAL_BEDS-B1299-C1299))</f>
        <v>0</v>
      </c>
      <c r="G1299" s="21">
        <f>B1299+C1299+F1299</f>
        <v>24</v>
      </c>
      <c r="H1299" s="22">
        <f>IF(E1299&lt;0,-999999999,B1299*(PRICE_TOM-FERT_TOM)+C1299*(PRICE_CAR-FERT_CAR)+F1299*(PRICE_MES-FERT_MES)-(FARMER_SALARY+A1299*TEMP_COST)-FIXED_COSTS)</f>
        <v>-999999999</v>
      </c>
    </row>
    <row r="1300">
      <c r="A1300" s="5" t="n">
        <v>2</v>
      </c>
      <c r="B1300" s="5" t="n">
        <v>19</v>
      </c>
      <c r="C1300" s="5" t="n">
        <v>6</v>
      </c>
      <c r="D1300" s="18">
        <f>SEASON_HRS_TOM*B1300*(1+DIM_TOM)^B1300+SEASON_HRS_CAR*C1300*(1+DIM_CAR)^C1300</f>
        <v>10666.949281957224</v>
      </c>
      <c r="E1300" s="18">
        <f>(FARMER_FIELD_HRS+A1300*TEMP_HRS)-D1300</f>
        <v>-7066.949281957224</v>
      </c>
      <c r="F1300" s="21">
        <f>IF(E1300&lt;0,0,MIN(COUNTIF(Labor!$C$59:$C$88,"&lt;="&amp;E1300),MAXBED_MES,TOTAL_BEDS-B1300-C1300))</f>
        <v>0</v>
      </c>
      <c r="G1300" s="21">
        <f>B1300+C1300+F1300</f>
        <v>25</v>
      </c>
      <c r="H1300" s="22">
        <f>IF(E1300&lt;0,-999999999,B1300*(PRICE_TOM-FERT_TOM)+C1300*(PRICE_CAR-FERT_CAR)+F1300*(PRICE_MES-FERT_MES)-(FARMER_SALARY+A1300*TEMP_COST)-FIXED_COSTS)</f>
        <v>-999999999</v>
      </c>
    </row>
    <row r="1301">
      <c r="A1301" s="5" t="n">
        <v>2</v>
      </c>
      <c r="B1301" s="5" t="n">
        <v>19</v>
      </c>
      <c r="C1301" s="5" t="n">
        <v>7</v>
      </c>
      <c r="D1301" s="18">
        <f>SEASON_HRS_TOM*B1301*(1+DIM_TOM)^B1301+SEASON_HRS_CAR*C1301*(1+DIM_CAR)^C1301</f>
        <v>10707.828474949229</v>
      </c>
      <c r="E1301" s="18">
        <f>(FARMER_FIELD_HRS+A1301*TEMP_HRS)-D1301</f>
        <v>-7107.828474949229</v>
      </c>
      <c r="F1301" s="21">
        <f>IF(E1301&lt;0,0,MIN(COUNTIF(Labor!$C$59:$C$88,"&lt;="&amp;E1301),MAXBED_MES,TOTAL_BEDS-B1301-C1301))</f>
        <v>0</v>
      </c>
      <c r="G1301" s="21">
        <f>B1301+C1301+F1301</f>
        <v>26</v>
      </c>
      <c r="H1301" s="22">
        <f>IF(E1301&lt;0,-999999999,B1301*(PRICE_TOM-FERT_TOM)+C1301*(PRICE_CAR-FERT_CAR)+F1301*(PRICE_MES-FERT_MES)-(FARMER_SALARY+A1301*TEMP_COST)-FIXED_COSTS)</f>
        <v>-999999999</v>
      </c>
    </row>
    <row r="1302">
      <c r="A1302" s="5" t="n">
        <v>2</v>
      </c>
      <c r="B1302" s="5" t="n">
        <v>19</v>
      </c>
      <c r="C1302" s="5" t="n">
        <v>8</v>
      </c>
      <c r="D1302" s="18">
        <f>SEASON_HRS_TOM*B1302*(1+DIM_TOM)^B1302+SEASON_HRS_CAR*C1302*(1+DIM_CAR)^C1302</f>
        <v>10750.621162081285</v>
      </c>
      <c r="E1302" s="18">
        <f>(FARMER_FIELD_HRS+A1302*TEMP_HRS)-D1302</f>
        <v>-7150.621162081285</v>
      </c>
      <c r="F1302" s="21">
        <f>IF(E1302&lt;0,0,MIN(COUNTIF(Labor!$C$59:$C$88,"&lt;="&amp;E1302),MAXBED_MES,TOTAL_BEDS-B1302-C1302))</f>
        <v>0</v>
      </c>
      <c r="G1302" s="21">
        <f>B1302+C1302+F1302</f>
        <v>27</v>
      </c>
      <c r="H1302" s="22">
        <f>IF(E1302&lt;0,-999999999,B1302*(PRICE_TOM-FERT_TOM)+C1302*(PRICE_CAR-FERT_CAR)+F1302*(PRICE_MES-FERT_MES)-(FARMER_SALARY+A1302*TEMP_COST)-FIXED_COSTS)</f>
        <v>-999999999</v>
      </c>
    </row>
    <row r="1303">
      <c r="A1303" s="5" t="n">
        <v>2</v>
      </c>
      <c r="B1303" s="5" t="n">
        <v>19</v>
      </c>
      <c r="C1303" s="5" t="n">
        <v>9</v>
      </c>
      <c r="D1303" s="18">
        <f>SEASON_HRS_TOM*B1303*(1+DIM_TOM)^B1303+SEASON_HRS_CAR*C1303*(1+DIM_CAR)^C1303</f>
        <v>10795.397468564774</v>
      </c>
      <c r="E1303" s="18">
        <f>(FARMER_FIELD_HRS+A1303*TEMP_HRS)-D1303</f>
        <v>-7195.397468564774</v>
      </c>
      <c r="F1303" s="21">
        <f>IF(E1303&lt;0,0,MIN(COUNTIF(Labor!$C$59:$C$88,"&lt;="&amp;E1303),MAXBED_MES,TOTAL_BEDS-B1303-C1303))</f>
        <v>0</v>
      </c>
      <c r="G1303" s="21">
        <f>B1303+C1303+F1303</f>
        <v>28</v>
      </c>
      <c r="H1303" s="22">
        <f>IF(E1303&lt;0,-999999999,B1303*(PRICE_TOM-FERT_TOM)+C1303*(PRICE_CAR-FERT_CAR)+F1303*(PRICE_MES-FERT_MES)-(FARMER_SALARY+A1303*TEMP_COST)-FIXED_COSTS)</f>
        <v>-999999999</v>
      </c>
    </row>
    <row r="1304">
      <c r="A1304" s="5" t="n">
        <v>2</v>
      </c>
      <c r="B1304" s="5" t="n">
        <v>19</v>
      </c>
      <c r="C1304" s="5" t="n">
        <v>10</v>
      </c>
      <c r="D1304" s="18">
        <f>SEASON_HRS_TOM*B1304*(1+DIM_TOM)^B1304+SEASON_HRS_CAR*C1304*(1+DIM_CAR)^C1304</f>
        <v>10842.22982993781</v>
      </c>
      <c r="E1304" s="18">
        <f>(FARMER_FIELD_HRS+A1304*TEMP_HRS)-D1304</f>
        <v>-7242.229829937811</v>
      </c>
      <c r="F1304" s="21">
        <f>IF(E1304&lt;0,0,MIN(COUNTIF(Labor!$C$59:$C$88,"&lt;="&amp;E1304),MAXBED_MES,TOTAL_BEDS-B1304-C1304))</f>
        <v>0</v>
      </c>
      <c r="G1304" s="21">
        <f>B1304+C1304+F1304</f>
        <v>29</v>
      </c>
      <c r="H1304" s="22">
        <f>IF(E1304&lt;0,-999999999,B1304*(PRICE_TOM-FERT_TOM)+C1304*(PRICE_CAR-FERT_CAR)+F1304*(PRICE_MES-FERT_MES)-(FARMER_SALARY+A1304*TEMP_COST)-FIXED_COSTS)</f>
        <v>-999999999</v>
      </c>
    </row>
    <row r="1305">
      <c r="A1305" s="5" t="n">
        <v>2</v>
      </c>
      <c r="B1305" s="5" t="n">
        <v>19</v>
      </c>
      <c r="C1305" s="5" t="n">
        <v>11</v>
      </c>
      <c r="D1305" s="18">
        <f>SEASON_HRS_TOM*B1305*(1+DIM_TOM)^B1305+SEASON_HRS_CAR*C1305*(1+DIM_CAR)^C1305</f>
        <v>10891.193063753322</v>
      </c>
      <c r="E1305" s="18">
        <f>(FARMER_FIELD_HRS+A1305*TEMP_HRS)-D1305</f>
        <v>-7291.193063753322</v>
      </c>
      <c r="F1305" s="21">
        <f>IF(E1305&lt;0,0,MIN(COUNTIF(Labor!$C$59:$C$88,"&lt;="&amp;E1305),MAXBED_MES,TOTAL_BEDS-B1305-C1305))</f>
        <v>0</v>
      </c>
      <c r="G1305" s="21">
        <f>B1305+C1305+F1305</f>
        <v>30</v>
      </c>
      <c r="H1305" s="22">
        <f>IF(E1305&lt;0,-999999999,B1305*(PRICE_TOM-FERT_TOM)+C1305*(PRICE_CAR-FERT_CAR)+F1305*(PRICE_MES-FERT_MES)-(FARMER_SALARY+A1305*TEMP_COST)-FIXED_COSTS)</f>
        <v>-999999999</v>
      </c>
    </row>
    <row r="1306">
      <c r="A1306" s="5" t="n">
        <v>2</v>
      </c>
      <c r="B1306" s="5" t="n">
        <v>19</v>
      </c>
      <c r="C1306" s="5" t="n">
        <v>12</v>
      </c>
      <c r="D1306" s="18">
        <f>SEASON_HRS_TOM*B1306*(1+DIM_TOM)^B1306+SEASON_HRS_CAR*C1306*(1+DIM_CAR)^C1306</f>
        <v>10942.36444340757</v>
      </c>
      <c r="E1306" s="18">
        <f>(FARMER_FIELD_HRS+A1306*TEMP_HRS)-D1306</f>
        <v>-7342.36444340757</v>
      </c>
      <c r="F1306" s="21">
        <f>IF(E1306&lt;0,0,MIN(COUNTIF(Labor!$C$59:$C$88,"&lt;="&amp;E1306),MAXBED_MES,TOTAL_BEDS-B1306-C1306))</f>
        <v>0</v>
      </c>
      <c r="G1306" s="21">
        <f>B1306+C1306+F1306</f>
        <v>31</v>
      </c>
      <c r="H1306" s="22">
        <f>IF(E1306&lt;0,-999999999,B1306*(PRICE_TOM-FERT_TOM)+C1306*(PRICE_CAR-FERT_CAR)+F1306*(PRICE_MES-FERT_MES)-(FARMER_SALARY+A1306*TEMP_COST)-FIXED_COSTS)</f>
        <v>-999999999</v>
      </c>
    </row>
    <row r="1307">
      <c r="A1307" s="5" t="n">
        <v>2</v>
      </c>
      <c r="B1307" s="5" t="n">
        <v>19</v>
      </c>
      <c r="C1307" s="5" t="n">
        <v>13</v>
      </c>
      <c r="D1307" s="18">
        <f>SEASON_HRS_TOM*B1307*(1+DIM_TOM)^B1307+SEASON_HRS_CAR*C1307*(1+DIM_CAR)^C1307</f>
        <v>10995.823774171362</v>
      </c>
      <c r="E1307" s="18">
        <f>(FARMER_FIELD_HRS+A1307*TEMP_HRS)-D1307</f>
        <v>-7395.823774171362</v>
      </c>
      <c r="F1307" s="21">
        <f>IF(E1307&lt;0,0,MIN(COUNTIF(Labor!$C$59:$C$88,"&lt;="&amp;E1307),MAXBED_MES,TOTAL_BEDS-B1307-C1307))</f>
        <v>0</v>
      </c>
      <c r="G1307" s="21">
        <f>B1307+C1307+F1307</f>
        <v>32</v>
      </c>
      <c r="H1307" s="22">
        <f>IF(E1307&lt;0,-999999999,B1307*(PRICE_TOM-FERT_TOM)+C1307*(PRICE_CAR-FERT_CAR)+F1307*(PRICE_MES-FERT_MES)-(FARMER_SALARY+A1307*TEMP_COST)-FIXED_COSTS)</f>
        <v>-999999999</v>
      </c>
    </row>
    <row r="1308">
      <c r="A1308" s="5" t="n">
        <v>2</v>
      </c>
      <c r="B1308" s="5" t="n">
        <v>19</v>
      </c>
      <c r="C1308" s="5" t="n">
        <v>14</v>
      </c>
      <c r="D1308" s="18">
        <f>SEASON_HRS_TOM*B1308*(1+DIM_TOM)^B1308+SEASON_HRS_CAR*C1308*(1+DIM_CAR)^C1308</f>
        <v>11051.653471487885</v>
      </c>
      <c r="E1308" s="18">
        <f>(FARMER_FIELD_HRS+A1308*TEMP_HRS)-D1308</f>
        <v>-7451.653471487885</v>
      </c>
      <c r="F1308" s="21">
        <f>IF(E1308&lt;0,0,MIN(COUNTIF(Labor!$C$59:$C$88,"&lt;="&amp;E1308),MAXBED_MES,TOTAL_BEDS-B1308-C1308))</f>
        <v>0</v>
      </c>
      <c r="G1308" s="21">
        <f>B1308+C1308+F1308</f>
        <v>33</v>
      </c>
      <c r="H1308" s="22">
        <f>IF(E1308&lt;0,-999999999,B1308*(PRICE_TOM-FERT_TOM)+C1308*(PRICE_CAR-FERT_CAR)+F1308*(PRICE_MES-FERT_MES)-(FARMER_SALARY+A1308*TEMP_COST)-FIXED_COSTS)</f>
        <v>-999999999</v>
      </c>
    </row>
    <row r="1309">
      <c r="A1309" s="5" t="n">
        <v>2</v>
      </c>
      <c r="B1309" s="5" t="n">
        <v>19</v>
      </c>
      <c r="C1309" s="5" t="n">
        <v>15</v>
      </c>
      <c r="D1309" s="18">
        <f>SEASON_HRS_TOM*B1309*(1+DIM_TOM)^B1309+SEASON_HRS_CAR*C1309*(1+DIM_CAR)^C1309</f>
        <v>11109.938641603054</v>
      </c>
      <c r="E1309" s="18">
        <f>(FARMER_FIELD_HRS+A1309*TEMP_HRS)-D1309</f>
        <v>-7509.938641603054</v>
      </c>
      <c r="F1309" s="21">
        <f>IF(E1309&lt;0,0,MIN(COUNTIF(Labor!$C$59:$C$88,"&lt;="&amp;E1309),MAXBED_MES,TOTAL_BEDS-B1309-C1309))</f>
        <v>0</v>
      </c>
      <c r="G1309" s="21">
        <f>B1309+C1309+F1309</f>
        <v>34</v>
      </c>
      <c r="H1309" s="22">
        <f>IF(E1309&lt;0,-999999999,B1309*(PRICE_TOM-FERT_TOM)+C1309*(PRICE_CAR-FERT_CAR)+F1309*(PRICE_MES-FERT_MES)-(FARMER_SALARY+A1309*TEMP_COST)-FIXED_COSTS)</f>
        <v>-999999999</v>
      </c>
    </row>
    <row r="1310">
      <c r="A1310" s="5" t="n">
        <v>2</v>
      </c>
      <c r="B1310" s="5" t="n">
        <v>19</v>
      </c>
      <c r="C1310" s="5" t="n">
        <v>16</v>
      </c>
      <c r="D1310" s="18">
        <f>SEASON_HRS_TOM*B1310*(1+DIM_TOM)^B1310+SEASON_HRS_CAR*C1310*(1+DIM_CAR)^C1310</f>
        <v>11170.767164595974</v>
      </c>
      <c r="E1310" s="18">
        <f>(FARMER_FIELD_HRS+A1310*TEMP_HRS)-D1310</f>
        <v>-7570.7671645959745</v>
      </c>
      <c r="F1310" s="21">
        <f>IF(E1310&lt;0,0,MIN(COUNTIF(Labor!$C$59:$C$88,"&lt;="&amp;E1310),MAXBED_MES,TOTAL_BEDS-B1310-C1310))</f>
        <v>0</v>
      </c>
      <c r="G1310" s="21">
        <f>B1310+C1310+F1310</f>
        <v>35</v>
      </c>
      <c r="H1310" s="22">
        <f>IF(E1310&lt;0,-999999999,B1310*(PRICE_TOM-FERT_TOM)+C1310*(PRICE_CAR-FERT_CAR)+F1310*(PRICE_MES-FERT_MES)-(FARMER_SALARY+A1310*TEMP_COST)-FIXED_COSTS)</f>
        <v>-999999999</v>
      </c>
    </row>
    <row r="1311">
      <c r="A1311" s="5" t="n">
        <v>2</v>
      </c>
      <c r="B1311" s="5" t="n">
        <v>19</v>
      </c>
      <c r="C1311" s="5" t="n">
        <v>17</v>
      </c>
      <c r="D1311" s="18">
        <f>SEASON_HRS_TOM*B1311*(1+DIM_TOM)^B1311+SEASON_HRS_CAR*C1311*(1+DIM_CAR)^C1311</f>
        <v>11234.229779879213</v>
      </c>
      <c r="E1311" s="18">
        <f>(FARMER_FIELD_HRS+A1311*TEMP_HRS)-D1311</f>
        <v>-7634.229779879213</v>
      </c>
      <c r="F1311" s="21">
        <f>IF(E1311&lt;0,0,MIN(COUNTIF(Labor!$C$59:$C$88,"&lt;="&amp;E1311),MAXBED_MES,TOTAL_BEDS-B1311-C1311))</f>
        <v>0</v>
      </c>
      <c r="G1311" s="21">
        <f>B1311+C1311+F1311</f>
        <v>36</v>
      </c>
      <c r="H1311" s="22">
        <f>IF(E1311&lt;0,-999999999,B1311*(PRICE_TOM-FERT_TOM)+C1311*(PRICE_CAR-FERT_CAR)+F1311*(PRICE_MES-FERT_MES)-(FARMER_SALARY+A1311*TEMP_COST)-FIXED_COSTS)</f>
        <v>-999999999</v>
      </c>
    </row>
    <row r="1312">
      <c r="A1312" s="5" t="n">
        <v>2</v>
      </c>
      <c r="B1312" s="5" t="n">
        <v>19</v>
      </c>
      <c r="C1312" s="5" t="n">
        <v>18</v>
      </c>
      <c r="D1312" s="18">
        <f>SEASON_HRS_TOM*B1312*(1+DIM_TOM)^B1312+SEASON_HRS_CAR*C1312*(1+DIM_CAR)^C1312</f>
        <v>11300.420174240417</v>
      </c>
      <c r="E1312" s="18">
        <f>(FARMER_FIELD_HRS+A1312*TEMP_HRS)-D1312</f>
        <v>-7700.420174240417</v>
      </c>
      <c r="F1312" s="21">
        <f>IF(E1312&lt;0,0,MIN(COUNTIF(Labor!$C$59:$C$88,"&lt;="&amp;E1312),MAXBED_MES,TOTAL_BEDS-B1312-C1312))</f>
        <v>0</v>
      </c>
      <c r="G1312" s="21">
        <f>B1312+C1312+F1312</f>
        <v>37</v>
      </c>
      <c r="H1312" s="22">
        <f>IF(E1312&lt;0,-999999999,B1312*(PRICE_TOM-FERT_TOM)+C1312*(PRICE_CAR-FERT_CAR)+F1312*(PRICE_MES-FERT_MES)-(FARMER_SALARY+A1312*TEMP_COST)-FIXED_COSTS)</f>
        <v>-999999999</v>
      </c>
    </row>
    <row r="1313">
      <c r="A1313" s="5" t="n">
        <v>2</v>
      </c>
      <c r="B1313" s="5" t="n">
        <v>19</v>
      </c>
      <c r="C1313" s="5" t="n">
        <v>19</v>
      </c>
      <c r="D1313" s="18">
        <f>SEASON_HRS_TOM*B1313*(1+DIM_TOM)^B1313+SEASON_HRS_CAR*C1313*(1+DIM_CAR)^C1313</f>
        <v>11369.435072498929</v>
      </c>
      <c r="E1313" s="18">
        <f>(FARMER_FIELD_HRS+A1313*TEMP_HRS)-D1313</f>
        <v>-7769.435072498929</v>
      </c>
      <c r="F1313" s="21">
        <f>IF(E1313&lt;0,0,MIN(COUNTIF(Labor!$C$59:$C$88,"&lt;="&amp;E1313),MAXBED_MES,TOTAL_BEDS-B1313-C1313))</f>
        <v>0</v>
      </c>
      <c r="G1313" s="21">
        <f>B1313+C1313+F1313</f>
        <v>38</v>
      </c>
      <c r="H1313" s="22">
        <f>IF(E1313&lt;0,-999999999,B1313*(PRICE_TOM-FERT_TOM)+C1313*(PRICE_CAR-FERT_CAR)+F1313*(PRICE_MES-FERT_MES)-(FARMER_SALARY+A1313*TEMP_COST)-FIXED_COSTS)</f>
        <v>-999999999</v>
      </c>
    </row>
    <row r="1314">
      <c r="A1314" s="5" t="n">
        <v>2</v>
      </c>
      <c r="B1314" s="5" t="n">
        <v>19</v>
      </c>
      <c r="C1314" s="5" t="n">
        <v>20</v>
      </c>
      <c r="D1314" s="18">
        <f>SEASON_HRS_TOM*B1314*(1+DIM_TOM)^B1314+SEASON_HRS_CAR*C1314*(1+DIM_CAR)^C1314</f>
        <v>11441.374330853141</v>
      </c>
      <c r="E1314" s="18">
        <f>(FARMER_FIELD_HRS+A1314*TEMP_HRS)-D1314</f>
        <v>-7841.374330853141</v>
      </c>
      <c r="F1314" s="21">
        <f>IF(E1314&lt;0,0,MIN(COUNTIF(Labor!$C$59:$C$88,"&lt;="&amp;E1314),MAXBED_MES,TOTAL_BEDS-B1314-C1314))</f>
        <v>0</v>
      </c>
      <c r="G1314" s="21">
        <f>B1314+C1314+F1314</f>
        <v>39</v>
      </c>
      <c r="H1314" s="22">
        <f>IF(E1314&lt;0,-999999999,B1314*(PRICE_TOM-FERT_TOM)+C1314*(PRICE_CAR-FERT_CAR)+F1314*(PRICE_MES-FERT_MES)-(FARMER_SALARY+A1314*TEMP_COST)-FIXED_COSTS)</f>
        <v>-999999999</v>
      </c>
    </row>
    <row r="1315">
      <c r="A1315" s="5" t="n">
        <v>2</v>
      </c>
      <c r="B1315" s="5" t="n">
        <v>20</v>
      </c>
      <c r="C1315" s="5" t="n">
        <v>0</v>
      </c>
      <c r="D1315" s="18">
        <f>SEASON_HRS_TOM*B1315*(1+DIM_TOM)^B1315+SEASON_HRS_CAR*C1315*(1+DIM_CAR)^C1315</f>
        <v>12109.4999087861</v>
      </c>
      <c r="E1315" s="18">
        <f>(FARMER_FIELD_HRS+A1315*TEMP_HRS)-D1315</f>
        <v>-8509.4999087861</v>
      </c>
      <c r="F1315" s="21">
        <f>IF(E1315&lt;0,0,MIN(COUNTIF(Labor!$C$59:$C$88,"&lt;="&amp;E1315),MAXBED_MES,TOTAL_BEDS-B1315-C1315))</f>
        <v>0</v>
      </c>
      <c r="G1315" s="21">
        <f>B1315+C1315+F1315</f>
        <v>20</v>
      </c>
      <c r="H1315" s="22">
        <f>IF(E1315&lt;0,-999999999,B1315*(PRICE_TOM-FERT_TOM)+C1315*(PRICE_CAR-FERT_CAR)+F1315*(PRICE_MES-FERT_MES)-(FARMER_SALARY+A1315*TEMP_COST)-FIXED_COSTS)</f>
        <v>-999999999</v>
      </c>
    </row>
    <row r="1316">
      <c r="A1316" s="5" t="n">
        <v>2</v>
      </c>
      <c r="B1316" s="5" t="n">
        <v>20</v>
      </c>
      <c r="C1316" s="5" t="n">
        <v>1</v>
      </c>
      <c r="D1316" s="18">
        <f>SEASON_HRS_TOM*B1316*(1+DIM_TOM)^B1316+SEASON_HRS_CAR*C1316*(1+DIM_CAR)^C1316</f>
        <v>12140.2499087861</v>
      </c>
      <c r="E1316" s="18">
        <f>(FARMER_FIELD_HRS+A1316*TEMP_HRS)-D1316</f>
        <v>-8540.2499087861</v>
      </c>
      <c r="F1316" s="21">
        <f>IF(E1316&lt;0,0,MIN(COUNTIF(Labor!$C$59:$C$88,"&lt;="&amp;E1316),MAXBED_MES,TOTAL_BEDS-B1316-C1316))</f>
        <v>0</v>
      </c>
      <c r="G1316" s="21">
        <f>B1316+C1316+F1316</f>
        <v>21</v>
      </c>
      <c r="H1316" s="22">
        <f>IF(E1316&lt;0,-999999999,B1316*(PRICE_TOM-FERT_TOM)+C1316*(PRICE_CAR-FERT_CAR)+F1316*(PRICE_MES-FERT_MES)-(FARMER_SALARY+A1316*TEMP_COST)-FIXED_COSTS)</f>
        <v>-999999999</v>
      </c>
    </row>
    <row r="1317">
      <c r="A1317" s="5" t="n">
        <v>2</v>
      </c>
      <c r="B1317" s="5" t="n">
        <v>20</v>
      </c>
      <c r="C1317" s="5" t="n">
        <v>2</v>
      </c>
      <c r="D1317" s="18">
        <f>SEASON_HRS_TOM*B1317*(1+DIM_TOM)^B1317+SEASON_HRS_CAR*C1317*(1+DIM_CAR)^C1317</f>
        <v>12172.5374087861</v>
      </c>
      <c r="E1317" s="18">
        <f>(FARMER_FIELD_HRS+A1317*TEMP_HRS)-D1317</f>
        <v>-8572.5374087861</v>
      </c>
      <c r="F1317" s="21">
        <f>IF(E1317&lt;0,0,MIN(COUNTIF(Labor!$C$59:$C$88,"&lt;="&amp;E1317),MAXBED_MES,TOTAL_BEDS-B1317-C1317))</f>
        <v>0</v>
      </c>
      <c r="G1317" s="21">
        <f>B1317+C1317+F1317</f>
        <v>22</v>
      </c>
      <c r="H1317" s="22">
        <f>IF(E1317&lt;0,-999999999,B1317*(PRICE_TOM-FERT_TOM)+C1317*(PRICE_CAR-FERT_CAR)+F1317*(PRICE_MES-FERT_MES)-(FARMER_SALARY+A1317*TEMP_COST)-FIXED_COSTS)</f>
        <v>-999999999</v>
      </c>
    </row>
    <row r="1318">
      <c r="A1318" s="5" t="n">
        <v>2</v>
      </c>
      <c r="B1318" s="5" t="n">
        <v>20</v>
      </c>
      <c r="C1318" s="5" t="n">
        <v>3</v>
      </c>
      <c r="D1318" s="18">
        <f>SEASON_HRS_TOM*B1318*(1+DIM_TOM)^B1318+SEASON_HRS_CAR*C1318*(1+DIM_CAR)^C1318</f>
        <v>12206.4200650361</v>
      </c>
      <c r="E1318" s="18">
        <f>(FARMER_FIELD_HRS+A1318*TEMP_HRS)-D1318</f>
        <v>-8606.4200650361</v>
      </c>
      <c r="F1318" s="21">
        <f>IF(E1318&lt;0,0,MIN(COUNTIF(Labor!$C$59:$C$88,"&lt;="&amp;E1318),MAXBED_MES,TOTAL_BEDS-B1318-C1318))</f>
        <v>0</v>
      </c>
      <c r="G1318" s="21">
        <f>B1318+C1318+F1318</f>
        <v>23</v>
      </c>
      <c r="H1318" s="22">
        <f>IF(E1318&lt;0,-999999999,B1318*(PRICE_TOM-FERT_TOM)+C1318*(PRICE_CAR-FERT_CAR)+F1318*(PRICE_MES-FERT_MES)-(FARMER_SALARY+A1318*TEMP_COST)-FIXED_COSTS)</f>
        <v>-999999999</v>
      </c>
    </row>
    <row r="1319">
      <c r="A1319" s="5" t="n">
        <v>2</v>
      </c>
      <c r="B1319" s="5" t="n">
        <v>20</v>
      </c>
      <c r="C1319" s="5" t="n">
        <v>4</v>
      </c>
      <c r="D1319" s="18">
        <f>SEASON_HRS_TOM*B1319*(1+DIM_TOM)^B1319+SEASON_HRS_CAR*C1319*(1+DIM_CAR)^C1319</f>
        <v>12241.9574556611</v>
      </c>
      <c r="E1319" s="18">
        <f>(FARMER_FIELD_HRS+A1319*TEMP_HRS)-D1319</f>
        <v>-8641.9574556611</v>
      </c>
      <c r="F1319" s="21">
        <f>IF(E1319&lt;0,0,MIN(COUNTIF(Labor!$C$59:$C$88,"&lt;="&amp;E1319),MAXBED_MES,TOTAL_BEDS-B1319-C1319))</f>
        <v>0</v>
      </c>
      <c r="G1319" s="21">
        <f>B1319+C1319+F1319</f>
        <v>24</v>
      </c>
      <c r="H1319" s="22">
        <f>IF(E1319&lt;0,-999999999,B1319*(PRICE_TOM-FERT_TOM)+C1319*(PRICE_CAR-FERT_CAR)+F1319*(PRICE_MES-FERT_MES)-(FARMER_SALARY+A1319*TEMP_COST)-FIXED_COSTS)</f>
        <v>-999999999</v>
      </c>
    </row>
    <row r="1320">
      <c r="A1320" s="5" t="n">
        <v>2</v>
      </c>
      <c r="B1320" s="5" t="n">
        <v>20</v>
      </c>
      <c r="C1320" s="5" t="n">
        <v>5</v>
      </c>
      <c r="D1320" s="18">
        <f>SEASON_HRS_TOM*B1320*(1+DIM_TOM)^B1320+SEASON_HRS_CAR*C1320*(1+DIM_CAR)^C1320</f>
        <v>12279.211140719694</v>
      </c>
      <c r="E1320" s="18">
        <f>(FARMER_FIELD_HRS+A1320*TEMP_HRS)-D1320</f>
        <v>-8679.211140719694</v>
      </c>
      <c r="F1320" s="21">
        <f>IF(E1320&lt;0,0,MIN(COUNTIF(Labor!$C$59:$C$88,"&lt;="&amp;E1320),MAXBED_MES,TOTAL_BEDS-B1320-C1320))</f>
        <v>0</v>
      </c>
      <c r="G1320" s="21">
        <f>B1320+C1320+F1320</f>
        <v>25</v>
      </c>
      <c r="H1320" s="22">
        <f>IF(E1320&lt;0,-999999999,B1320*(PRICE_TOM-FERT_TOM)+C1320*(PRICE_CAR-FERT_CAR)+F1320*(PRICE_MES-FERT_MES)-(FARMER_SALARY+A1320*TEMP_COST)-FIXED_COSTS)</f>
        <v>-999999999</v>
      </c>
    </row>
    <row r="1321">
      <c r="A1321" s="5" t="n">
        <v>2</v>
      </c>
      <c r="B1321" s="5" t="n">
        <v>20</v>
      </c>
      <c r="C1321" s="5" t="n">
        <v>6</v>
      </c>
      <c r="D1321" s="18">
        <f>SEASON_HRS_TOM*B1321*(1+DIM_TOM)^B1321+SEASON_HRS_CAR*C1321*(1+DIM_CAR)^C1321</f>
        <v>12318.24472406442</v>
      </c>
      <c r="E1321" s="18">
        <f>(FARMER_FIELD_HRS+A1321*TEMP_HRS)-D1321</f>
        <v>-8718.24472406442</v>
      </c>
      <c r="F1321" s="21">
        <f>IF(E1321&lt;0,0,MIN(COUNTIF(Labor!$C$59:$C$88,"&lt;="&amp;E1321),MAXBED_MES,TOTAL_BEDS-B1321-C1321))</f>
        <v>0</v>
      </c>
      <c r="G1321" s="21">
        <f>B1321+C1321+F1321</f>
        <v>26</v>
      </c>
      <c r="H1321" s="22">
        <f>IF(E1321&lt;0,-999999999,B1321*(PRICE_TOM-FERT_TOM)+C1321*(PRICE_CAR-FERT_CAR)+F1321*(PRICE_MES-FERT_MES)-(FARMER_SALARY+A1321*TEMP_COST)-FIXED_COSTS)</f>
        <v>-999999999</v>
      </c>
    </row>
    <row r="1322">
      <c r="A1322" s="5" t="n">
        <v>2</v>
      </c>
      <c r="B1322" s="5" t="n">
        <v>20</v>
      </c>
      <c r="C1322" s="5" t="n">
        <v>7</v>
      </c>
      <c r="D1322" s="18">
        <f>SEASON_HRS_TOM*B1322*(1+DIM_TOM)^B1322+SEASON_HRS_CAR*C1322*(1+DIM_CAR)^C1322</f>
        <v>12359.123917056424</v>
      </c>
      <c r="E1322" s="18">
        <f>(FARMER_FIELD_HRS+A1322*TEMP_HRS)-D1322</f>
        <v>-8759.123917056424</v>
      </c>
      <c r="F1322" s="21">
        <f>IF(E1322&lt;0,0,MIN(COUNTIF(Labor!$C$59:$C$88,"&lt;="&amp;E1322),MAXBED_MES,TOTAL_BEDS-B1322-C1322))</f>
        <v>0</v>
      </c>
      <c r="G1322" s="21">
        <f>B1322+C1322+F1322</f>
        <v>27</v>
      </c>
      <c r="H1322" s="22">
        <f>IF(E1322&lt;0,-999999999,B1322*(PRICE_TOM-FERT_TOM)+C1322*(PRICE_CAR-FERT_CAR)+F1322*(PRICE_MES-FERT_MES)-(FARMER_SALARY+A1322*TEMP_COST)-FIXED_COSTS)</f>
        <v>-999999999</v>
      </c>
    </row>
    <row r="1323">
      <c r="A1323" s="5" t="n">
        <v>2</v>
      </c>
      <c r="B1323" s="5" t="n">
        <v>20</v>
      </c>
      <c r="C1323" s="5" t="n">
        <v>8</v>
      </c>
      <c r="D1323" s="18">
        <f>SEASON_HRS_TOM*B1323*(1+DIM_TOM)^B1323+SEASON_HRS_CAR*C1323*(1+DIM_CAR)^C1323</f>
        <v>12401.91660418848</v>
      </c>
      <c r="E1323" s="18">
        <f>(FARMER_FIELD_HRS+A1323*TEMP_HRS)-D1323</f>
        <v>-8801.91660418848</v>
      </c>
      <c r="F1323" s="21">
        <f>IF(E1323&lt;0,0,MIN(COUNTIF(Labor!$C$59:$C$88,"&lt;="&amp;E1323),MAXBED_MES,TOTAL_BEDS-B1323-C1323))</f>
        <v>0</v>
      </c>
      <c r="G1323" s="21">
        <f>B1323+C1323+F1323</f>
        <v>28</v>
      </c>
      <c r="H1323" s="22">
        <f>IF(E1323&lt;0,-999999999,B1323*(PRICE_TOM-FERT_TOM)+C1323*(PRICE_CAR-FERT_CAR)+F1323*(PRICE_MES-FERT_MES)-(FARMER_SALARY+A1323*TEMP_COST)-FIXED_COSTS)</f>
        <v>-999999999</v>
      </c>
    </row>
    <row r="1324">
      <c r="A1324" s="5" t="n">
        <v>2</v>
      </c>
      <c r="B1324" s="5" t="n">
        <v>20</v>
      </c>
      <c r="C1324" s="5" t="n">
        <v>9</v>
      </c>
      <c r="D1324" s="18">
        <f>SEASON_HRS_TOM*B1324*(1+DIM_TOM)^B1324+SEASON_HRS_CAR*C1324*(1+DIM_CAR)^C1324</f>
        <v>12446.692910671969</v>
      </c>
      <c r="E1324" s="18">
        <f>(FARMER_FIELD_HRS+A1324*TEMP_HRS)-D1324</f>
        <v>-8846.692910671969</v>
      </c>
      <c r="F1324" s="21">
        <f>IF(E1324&lt;0,0,MIN(COUNTIF(Labor!$C$59:$C$88,"&lt;="&amp;E1324),MAXBED_MES,TOTAL_BEDS-B1324-C1324))</f>
        <v>0</v>
      </c>
      <c r="G1324" s="21">
        <f>B1324+C1324+F1324</f>
        <v>29</v>
      </c>
      <c r="H1324" s="22">
        <f>IF(E1324&lt;0,-999999999,B1324*(PRICE_TOM-FERT_TOM)+C1324*(PRICE_CAR-FERT_CAR)+F1324*(PRICE_MES-FERT_MES)-(FARMER_SALARY+A1324*TEMP_COST)-FIXED_COSTS)</f>
        <v>-999999999</v>
      </c>
    </row>
    <row r="1325">
      <c r="A1325" s="5" t="n">
        <v>2</v>
      </c>
      <c r="B1325" s="5" t="n">
        <v>20</v>
      </c>
      <c r="C1325" s="5" t="n">
        <v>10</v>
      </c>
      <c r="D1325" s="18">
        <f>SEASON_HRS_TOM*B1325*(1+DIM_TOM)^B1325+SEASON_HRS_CAR*C1325*(1+DIM_CAR)^C1325</f>
        <v>12493.525272045006</v>
      </c>
      <c r="E1325" s="18">
        <f>(FARMER_FIELD_HRS+A1325*TEMP_HRS)-D1325</f>
        <v>-8893.525272045006</v>
      </c>
      <c r="F1325" s="21">
        <f>IF(E1325&lt;0,0,MIN(COUNTIF(Labor!$C$59:$C$88,"&lt;="&amp;E1325),MAXBED_MES,TOTAL_BEDS-B1325-C1325))</f>
        <v>0</v>
      </c>
      <c r="G1325" s="21">
        <f>B1325+C1325+F1325</f>
        <v>30</v>
      </c>
      <c r="H1325" s="22">
        <f>IF(E1325&lt;0,-999999999,B1325*(PRICE_TOM-FERT_TOM)+C1325*(PRICE_CAR-FERT_CAR)+F1325*(PRICE_MES-FERT_MES)-(FARMER_SALARY+A1325*TEMP_COST)-FIXED_COSTS)</f>
        <v>-999999999</v>
      </c>
    </row>
    <row r="1326">
      <c r="A1326" s="5" t="n">
        <v>2</v>
      </c>
      <c r="B1326" s="5" t="n">
        <v>20</v>
      </c>
      <c r="C1326" s="5" t="n">
        <v>11</v>
      </c>
      <c r="D1326" s="18">
        <f>SEASON_HRS_TOM*B1326*(1+DIM_TOM)^B1326+SEASON_HRS_CAR*C1326*(1+DIM_CAR)^C1326</f>
        <v>12542.488505860518</v>
      </c>
      <c r="E1326" s="18">
        <f>(FARMER_FIELD_HRS+A1326*TEMP_HRS)-D1326</f>
        <v>-8942.488505860518</v>
      </c>
      <c r="F1326" s="21">
        <f>IF(E1326&lt;0,0,MIN(COUNTIF(Labor!$C$59:$C$88,"&lt;="&amp;E1326),MAXBED_MES,TOTAL_BEDS-B1326-C1326))</f>
        <v>0</v>
      </c>
      <c r="G1326" s="21">
        <f>B1326+C1326+F1326</f>
        <v>31</v>
      </c>
      <c r="H1326" s="22">
        <f>IF(E1326&lt;0,-999999999,B1326*(PRICE_TOM-FERT_TOM)+C1326*(PRICE_CAR-FERT_CAR)+F1326*(PRICE_MES-FERT_MES)-(FARMER_SALARY+A1326*TEMP_COST)-FIXED_COSTS)</f>
        <v>-999999999</v>
      </c>
    </row>
    <row r="1327">
      <c r="A1327" s="5" t="n">
        <v>2</v>
      </c>
      <c r="B1327" s="5" t="n">
        <v>20</v>
      </c>
      <c r="C1327" s="5" t="n">
        <v>12</v>
      </c>
      <c r="D1327" s="18">
        <f>SEASON_HRS_TOM*B1327*(1+DIM_TOM)^B1327+SEASON_HRS_CAR*C1327*(1+DIM_CAR)^C1327</f>
        <v>12593.659885514766</v>
      </c>
      <c r="E1327" s="18">
        <f>(FARMER_FIELD_HRS+A1327*TEMP_HRS)-D1327</f>
        <v>-8993.659885514766</v>
      </c>
      <c r="F1327" s="21">
        <f>IF(E1327&lt;0,0,MIN(COUNTIF(Labor!$C$59:$C$88,"&lt;="&amp;E1327),MAXBED_MES,TOTAL_BEDS-B1327-C1327))</f>
        <v>0</v>
      </c>
      <c r="G1327" s="21">
        <f>B1327+C1327+F1327</f>
        <v>32</v>
      </c>
      <c r="H1327" s="22">
        <f>IF(E1327&lt;0,-999999999,B1327*(PRICE_TOM-FERT_TOM)+C1327*(PRICE_CAR-FERT_CAR)+F1327*(PRICE_MES-FERT_MES)-(FARMER_SALARY+A1327*TEMP_COST)-FIXED_COSTS)</f>
        <v>-999999999</v>
      </c>
    </row>
    <row r="1328">
      <c r="A1328" s="5" t="n">
        <v>2</v>
      </c>
      <c r="B1328" s="5" t="n">
        <v>20</v>
      </c>
      <c r="C1328" s="5" t="n">
        <v>13</v>
      </c>
      <c r="D1328" s="18">
        <f>SEASON_HRS_TOM*B1328*(1+DIM_TOM)^B1328+SEASON_HRS_CAR*C1328*(1+DIM_CAR)^C1328</f>
        <v>12647.119216278557</v>
      </c>
      <c r="E1328" s="18">
        <f>(FARMER_FIELD_HRS+A1328*TEMP_HRS)-D1328</f>
        <v>-9047.119216278557</v>
      </c>
      <c r="F1328" s="21">
        <f>IF(E1328&lt;0,0,MIN(COUNTIF(Labor!$C$59:$C$88,"&lt;="&amp;E1328),MAXBED_MES,TOTAL_BEDS-B1328-C1328))</f>
        <v>0</v>
      </c>
      <c r="G1328" s="21">
        <f>B1328+C1328+F1328</f>
        <v>33</v>
      </c>
      <c r="H1328" s="22">
        <f>IF(E1328&lt;0,-999999999,B1328*(PRICE_TOM-FERT_TOM)+C1328*(PRICE_CAR-FERT_CAR)+F1328*(PRICE_MES-FERT_MES)-(FARMER_SALARY+A1328*TEMP_COST)-FIXED_COSTS)</f>
        <v>-999999999</v>
      </c>
    </row>
    <row r="1329">
      <c r="A1329" s="5" t="n">
        <v>2</v>
      </c>
      <c r="B1329" s="5" t="n">
        <v>20</v>
      </c>
      <c r="C1329" s="5" t="n">
        <v>14</v>
      </c>
      <c r="D1329" s="18">
        <f>SEASON_HRS_TOM*B1329*(1+DIM_TOM)^B1329+SEASON_HRS_CAR*C1329*(1+DIM_CAR)^C1329</f>
        <v>12702.94891359508</v>
      </c>
      <c r="E1329" s="18">
        <f>(FARMER_FIELD_HRS+A1329*TEMP_HRS)-D1329</f>
        <v>-9102.94891359508</v>
      </c>
      <c r="F1329" s="21">
        <f>IF(E1329&lt;0,0,MIN(COUNTIF(Labor!$C$59:$C$88,"&lt;="&amp;E1329),MAXBED_MES,TOTAL_BEDS-B1329-C1329))</f>
        <v>0</v>
      </c>
      <c r="G1329" s="21">
        <f>B1329+C1329+F1329</f>
        <v>34</v>
      </c>
      <c r="H1329" s="22">
        <f>IF(E1329&lt;0,-999999999,B1329*(PRICE_TOM-FERT_TOM)+C1329*(PRICE_CAR-FERT_CAR)+F1329*(PRICE_MES-FERT_MES)-(FARMER_SALARY+A1329*TEMP_COST)-FIXED_COSTS)</f>
        <v>-999999999</v>
      </c>
    </row>
    <row r="1330">
      <c r="A1330" s="5" t="n">
        <v>2</v>
      </c>
      <c r="B1330" s="5" t="n">
        <v>20</v>
      </c>
      <c r="C1330" s="5" t="n">
        <v>15</v>
      </c>
      <c r="D1330" s="18">
        <f>SEASON_HRS_TOM*B1330*(1+DIM_TOM)^B1330+SEASON_HRS_CAR*C1330*(1+DIM_CAR)^C1330</f>
        <v>12761.23408371025</v>
      </c>
      <c r="E1330" s="18">
        <f>(FARMER_FIELD_HRS+A1330*TEMP_HRS)-D1330</f>
        <v>-9161.23408371025</v>
      </c>
      <c r="F1330" s="21">
        <f>IF(E1330&lt;0,0,MIN(COUNTIF(Labor!$C$59:$C$88,"&lt;="&amp;E1330),MAXBED_MES,TOTAL_BEDS-B1330-C1330))</f>
        <v>0</v>
      </c>
      <c r="G1330" s="21">
        <f>B1330+C1330+F1330</f>
        <v>35</v>
      </c>
      <c r="H1330" s="22">
        <f>IF(E1330&lt;0,-999999999,B1330*(PRICE_TOM-FERT_TOM)+C1330*(PRICE_CAR-FERT_CAR)+F1330*(PRICE_MES-FERT_MES)-(FARMER_SALARY+A1330*TEMP_COST)-FIXED_COSTS)</f>
        <v>-999999999</v>
      </c>
    </row>
    <row r="1331">
      <c r="A1331" s="5" t="n">
        <v>2</v>
      </c>
      <c r="B1331" s="5" t="n">
        <v>20</v>
      </c>
      <c r="C1331" s="5" t="n">
        <v>16</v>
      </c>
      <c r="D1331" s="18">
        <f>SEASON_HRS_TOM*B1331*(1+DIM_TOM)^B1331+SEASON_HRS_CAR*C1331*(1+DIM_CAR)^C1331</f>
        <v>12822.06260670317</v>
      </c>
      <c r="E1331" s="18">
        <f>(FARMER_FIELD_HRS+A1331*TEMP_HRS)-D1331</f>
        <v>-9222.06260670317</v>
      </c>
      <c r="F1331" s="21">
        <f>IF(E1331&lt;0,0,MIN(COUNTIF(Labor!$C$59:$C$88,"&lt;="&amp;E1331),MAXBED_MES,TOTAL_BEDS-B1331-C1331))</f>
        <v>0</v>
      </c>
      <c r="G1331" s="21">
        <f>B1331+C1331+F1331</f>
        <v>36</v>
      </c>
      <c r="H1331" s="22">
        <f>IF(E1331&lt;0,-999999999,B1331*(PRICE_TOM-FERT_TOM)+C1331*(PRICE_CAR-FERT_CAR)+F1331*(PRICE_MES-FERT_MES)-(FARMER_SALARY+A1331*TEMP_COST)-FIXED_COSTS)</f>
        <v>-999999999</v>
      </c>
    </row>
    <row r="1332">
      <c r="A1332" s="5" t="n">
        <v>2</v>
      </c>
      <c r="B1332" s="5" t="n">
        <v>20</v>
      </c>
      <c r="C1332" s="5" t="n">
        <v>17</v>
      </c>
      <c r="D1332" s="18">
        <f>SEASON_HRS_TOM*B1332*(1+DIM_TOM)^B1332+SEASON_HRS_CAR*C1332*(1+DIM_CAR)^C1332</f>
        <v>12885.525221986409</v>
      </c>
      <c r="E1332" s="18">
        <f>(FARMER_FIELD_HRS+A1332*TEMP_HRS)-D1332</f>
        <v>-9285.525221986409</v>
      </c>
      <c r="F1332" s="21">
        <f>IF(E1332&lt;0,0,MIN(COUNTIF(Labor!$C$59:$C$88,"&lt;="&amp;E1332),MAXBED_MES,TOTAL_BEDS-B1332-C1332))</f>
        <v>0</v>
      </c>
      <c r="G1332" s="21">
        <f>B1332+C1332+F1332</f>
        <v>37</v>
      </c>
      <c r="H1332" s="22">
        <f>IF(E1332&lt;0,-999999999,B1332*(PRICE_TOM-FERT_TOM)+C1332*(PRICE_CAR-FERT_CAR)+F1332*(PRICE_MES-FERT_MES)-(FARMER_SALARY+A1332*TEMP_COST)-FIXED_COSTS)</f>
        <v>-999999999</v>
      </c>
    </row>
    <row r="1333">
      <c r="A1333" s="5" t="n">
        <v>2</v>
      </c>
      <c r="B1333" s="5" t="n">
        <v>20</v>
      </c>
      <c r="C1333" s="5" t="n">
        <v>18</v>
      </c>
      <c r="D1333" s="18">
        <f>SEASON_HRS_TOM*B1333*(1+DIM_TOM)^B1333+SEASON_HRS_CAR*C1333*(1+DIM_CAR)^C1333</f>
        <v>12951.715616347612</v>
      </c>
      <c r="E1333" s="18">
        <f>(FARMER_FIELD_HRS+A1333*TEMP_HRS)-D1333</f>
        <v>-9351.715616347612</v>
      </c>
      <c r="F1333" s="21">
        <f>IF(E1333&lt;0,0,MIN(COUNTIF(Labor!$C$59:$C$88,"&lt;="&amp;E1333),MAXBED_MES,TOTAL_BEDS-B1333-C1333))</f>
        <v>0</v>
      </c>
      <c r="G1333" s="21">
        <f>B1333+C1333+F1333</f>
        <v>38</v>
      </c>
      <c r="H1333" s="22">
        <f>IF(E1333&lt;0,-999999999,B1333*(PRICE_TOM-FERT_TOM)+C1333*(PRICE_CAR-FERT_CAR)+F1333*(PRICE_MES-FERT_MES)-(FARMER_SALARY+A1333*TEMP_COST)-FIXED_COSTS)</f>
        <v>-999999999</v>
      </c>
    </row>
    <row r="1334">
      <c r="A1334" s="5" t="n">
        <v>2</v>
      </c>
      <c r="B1334" s="5" t="n">
        <v>20</v>
      </c>
      <c r="C1334" s="5" t="n">
        <v>19</v>
      </c>
      <c r="D1334" s="18">
        <f>SEASON_HRS_TOM*B1334*(1+DIM_TOM)^B1334+SEASON_HRS_CAR*C1334*(1+DIM_CAR)^C1334</f>
        <v>13020.730514606124</v>
      </c>
      <c r="E1334" s="18">
        <f>(FARMER_FIELD_HRS+A1334*TEMP_HRS)-D1334</f>
        <v>-9420.730514606124</v>
      </c>
      <c r="F1334" s="21">
        <f>IF(E1334&lt;0,0,MIN(COUNTIF(Labor!$C$59:$C$88,"&lt;="&amp;E1334),MAXBED_MES,TOTAL_BEDS-B1334-C1334))</f>
        <v>0</v>
      </c>
      <c r="G1334" s="21">
        <f>B1334+C1334+F1334</f>
        <v>39</v>
      </c>
      <c r="H1334" s="22">
        <f>IF(E1334&lt;0,-999999999,B1334*(PRICE_TOM-FERT_TOM)+C1334*(PRICE_CAR-FERT_CAR)+F1334*(PRICE_MES-FERT_MES)-(FARMER_SALARY+A1334*TEMP_COST)-FIXED_COSTS)</f>
        <v>-999999999</v>
      </c>
    </row>
    <row r="1335">
      <c r="A1335" s="5" t="n">
        <v>2</v>
      </c>
      <c r="B1335" s="5" t="n">
        <v>20</v>
      </c>
      <c r="C1335" s="5" t="n">
        <v>20</v>
      </c>
      <c r="D1335" s="18">
        <f>SEASON_HRS_TOM*B1335*(1+DIM_TOM)^B1335+SEASON_HRS_CAR*C1335*(1+DIM_CAR)^C1335</f>
        <v>13092.669772960337</v>
      </c>
      <c r="E1335" s="18">
        <f>(FARMER_FIELD_HRS+A1335*TEMP_HRS)-D1335</f>
        <v>-9492.669772960337</v>
      </c>
      <c r="F1335" s="21">
        <f>IF(E1335&lt;0,0,MIN(COUNTIF(Labor!$C$59:$C$88,"&lt;="&amp;E1335),MAXBED_MES,TOTAL_BEDS-B1335-C1335))</f>
        <v>0</v>
      </c>
      <c r="G1335" s="21">
        <f>B1335+C1335+F1335</f>
        <v>40</v>
      </c>
      <c r="H1335" s="22">
        <f>IF(E1335&lt;0,-999999999,B1335*(PRICE_TOM-FERT_TOM)+C1335*(PRICE_CAR-FERT_CAR)+F1335*(PRICE_MES-FERT_MES)-(FARMER_SALARY+A1335*TEMP_COST)-FIXED_COSTS)</f>
        <v>-999999999</v>
      </c>
    </row>
    <row r="1336">
      <c r="A1336" s="5" t="n">
        <v>3</v>
      </c>
      <c r="B1336" s="5" t="n">
        <v>0</v>
      </c>
      <c r="C1336" s="5" t="n">
        <v>0</v>
      </c>
      <c r="D1336" s="18">
        <f>SEASON_HRS_TOM*B1336*(1+DIM_TOM)^B1336+SEASON_HRS_CAR*C1336*(1+DIM_CAR)^C1336</f>
        <v>0</v>
      </c>
      <c r="E1336" s="18">
        <f>(FARMER_FIELD_HRS+A1336*TEMP_HRS)-D1336</f>
        <v>5040</v>
      </c>
      <c r="F1336" s="21">
        <f>IF(E1336&lt;0,0,MIN(COUNTIF(Labor!$C$59:$C$88,"&lt;="&amp;E1336),MAXBED_MES,TOTAL_BEDS-B1336-C1336))</f>
        <v>30</v>
      </c>
      <c r="G1336" s="21">
        <f>B1336+C1336+F1336</f>
        <v>30</v>
      </c>
      <c r="H1336" s="22">
        <f>IF(E1336&lt;0,-999999999,B1336*(PRICE_TOM-FERT_TOM)+C1336*(PRICE_CAR-FERT_CAR)+F1336*(PRICE_MES-FERT_MES)-(FARMER_SALARY+A1336*TEMP_COST)-FIXED_COSTS)</f>
        <v>-90400</v>
      </c>
    </row>
    <row r="1337">
      <c r="A1337" s="5" t="n">
        <v>3</v>
      </c>
      <c r="B1337" s="5" t="n">
        <v>0</v>
      </c>
      <c r="C1337" s="5" t="n">
        <v>1</v>
      </c>
      <c r="D1337" s="18">
        <f>SEASON_HRS_TOM*B1337*(1+DIM_TOM)^B1337+SEASON_HRS_CAR*C1337*(1+DIM_CAR)^C1337</f>
        <v>30.749999999999996</v>
      </c>
      <c r="E1337" s="18">
        <f>(FARMER_FIELD_HRS+A1337*TEMP_HRS)-D1337</f>
        <v>5009.25</v>
      </c>
      <c r="F1337" s="21">
        <f>IF(E1337&lt;0,0,MIN(COUNTIF(Labor!$C$59:$C$88,"&lt;="&amp;E1337),MAXBED_MES,TOTAL_BEDS-B1337-C1337))</f>
        <v>30</v>
      </c>
      <c r="G1337" s="21">
        <f>B1337+C1337+F1337</f>
        <v>31</v>
      </c>
      <c r="H1337" s="22">
        <f>IF(E1337&lt;0,-999999999,B1337*(PRICE_TOM-FERT_TOM)+C1337*(PRICE_CAR-FERT_CAR)+F1337*(PRICE_MES-FERT_MES)-(FARMER_SALARY+A1337*TEMP_COST)-FIXED_COSTS)</f>
        <v>-88746</v>
      </c>
    </row>
    <row r="1338">
      <c r="A1338" s="5" t="n">
        <v>3</v>
      </c>
      <c r="B1338" s="5" t="n">
        <v>0</v>
      </c>
      <c r="C1338" s="5" t="n">
        <v>2</v>
      </c>
      <c r="D1338" s="18">
        <f>SEASON_HRS_TOM*B1338*(1+DIM_TOM)^B1338+SEASON_HRS_CAR*C1338*(1+DIM_CAR)^C1338</f>
        <v>63.037499999999994</v>
      </c>
      <c r="E1338" s="18">
        <f>(FARMER_FIELD_HRS+A1338*TEMP_HRS)-D1338</f>
        <v>4976.9625</v>
      </c>
      <c r="F1338" s="21">
        <f>IF(E1338&lt;0,0,MIN(COUNTIF(Labor!$C$59:$C$88,"&lt;="&amp;E1338),MAXBED_MES,TOTAL_BEDS-B1338-C1338))</f>
        <v>30</v>
      </c>
      <c r="G1338" s="21">
        <f>B1338+C1338+F1338</f>
        <v>32</v>
      </c>
      <c r="H1338" s="22">
        <f>IF(E1338&lt;0,-999999999,B1338*(PRICE_TOM-FERT_TOM)+C1338*(PRICE_CAR-FERT_CAR)+F1338*(PRICE_MES-FERT_MES)-(FARMER_SALARY+A1338*TEMP_COST)-FIXED_COSTS)</f>
        <v>-87092</v>
      </c>
    </row>
    <row r="1339">
      <c r="A1339" s="5" t="n">
        <v>3</v>
      </c>
      <c r="B1339" s="5" t="n">
        <v>0</v>
      </c>
      <c r="C1339" s="5" t="n">
        <v>3</v>
      </c>
      <c r="D1339" s="18">
        <f>SEASON_HRS_TOM*B1339*(1+DIM_TOM)^B1339+SEASON_HRS_CAR*C1339*(1+DIM_CAR)^C1339</f>
        <v>96.92015624999996</v>
      </c>
      <c r="E1339" s="18">
        <f>(FARMER_FIELD_HRS+A1339*TEMP_HRS)-D1339</f>
        <v>4943.07984375</v>
      </c>
      <c r="F1339" s="21">
        <f>IF(E1339&lt;0,0,MIN(COUNTIF(Labor!$C$59:$C$88,"&lt;="&amp;E1339),MAXBED_MES,TOTAL_BEDS-B1339-C1339))</f>
        <v>30</v>
      </c>
      <c r="G1339" s="21">
        <f>B1339+C1339+F1339</f>
        <v>33</v>
      </c>
      <c r="H1339" s="22">
        <f>IF(E1339&lt;0,-999999999,B1339*(PRICE_TOM-FERT_TOM)+C1339*(PRICE_CAR-FERT_CAR)+F1339*(PRICE_MES-FERT_MES)-(FARMER_SALARY+A1339*TEMP_COST)-FIXED_COSTS)</f>
        <v>-85438</v>
      </c>
    </row>
    <row r="1340">
      <c r="A1340" s="5" t="n">
        <v>3</v>
      </c>
      <c r="B1340" s="5" t="n">
        <v>0</v>
      </c>
      <c r="C1340" s="5" t="n">
        <v>4</v>
      </c>
      <c r="D1340" s="18">
        <f>SEASON_HRS_TOM*B1340*(1+DIM_TOM)^B1340+SEASON_HRS_CAR*C1340*(1+DIM_CAR)^C1340</f>
        <v>132.45754687499993</v>
      </c>
      <c r="E1340" s="18">
        <f>(FARMER_FIELD_HRS+A1340*TEMP_HRS)-D1340</f>
        <v>4907.542453125</v>
      </c>
      <c r="F1340" s="21">
        <f>IF(E1340&lt;0,0,MIN(COUNTIF(Labor!$C$59:$C$88,"&lt;="&amp;E1340),MAXBED_MES,TOTAL_BEDS-B1340-C1340))</f>
        <v>30</v>
      </c>
      <c r="G1340" s="21">
        <f>B1340+C1340+F1340</f>
        <v>34</v>
      </c>
      <c r="H1340" s="22">
        <f>IF(E1340&lt;0,-999999999,B1340*(PRICE_TOM-FERT_TOM)+C1340*(PRICE_CAR-FERT_CAR)+F1340*(PRICE_MES-FERT_MES)-(FARMER_SALARY+A1340*TEMP_COST)-FIXED_COSTS)</f>
        <v>-83784</v>
      </c>
    </row>
    <row r="1341">
      <c r="A1341" s="5" t="n">
        <v>3</v>
      </c>
      <c r="B1341" s="5" t="n">
        <v>0</v>
      </c>
      <c r="C1341" s="5" t="n">
        <v>5</v>
      </c>
      <c r="D1341" s="18">
        <f>SEASON_HRS_TOM*B1341*(1+DIM_TOM)^B1341+SEASON_HRS_CAR*C1341*(1+DIM_CAR)^C1341</f>
        <v>169.71123193359367</v>
      </c>
      <c r="E1341" s="18">
        <f>(FARMER_FIELD_HRS+A1341*TEMP_HRS)-D1341</f>
        <v>4870.288768066406</v>
      </c>
      <c r="F1341" s="21">
        <f>IF(E1341&lt;0,0,MIN(COUNTIF(Labor!$C$59:$C$88,"&lt;="&amp;E1341),MAXBED_MES,TOTAL_BEDS-B1341-C1341))</f>
        <v>30</v>
      </c>
      <c r="G1341" s="21">
        <f>B1341+C1341+F1341</f>
        <v>35</v>
      </c>
      <c r="H1341" s="22">
        <f>IF(E1341&lt;0,-999999999,B1341*(PRICE_TOM-FERT_TOM)+C1341*(PRICE_CAR-FERT_CAR)+F1341*(PRICE_MES-FERT_MES)-(FARMER_SALARY+A1341*TEMP_COST)-FIXED_COSTS)</f>
        <v>-82130</v>
      </c>
    </row>
    <row r="1342">
      <c r="A1342" s="5" t="n">
        <v>3</v>
      </c>
      <c r="B1342" s="5" t="n">
        <v>0</v>
      </c>
      <c r="C1342" s="5" t="n">
        <v>6</v>
      </c>
      <c r="D1342" s="18">
        <f>SEASON_HRS_TOM*B1342*(1+DIM_TOM)^B1342+SEASON_HRS_CAR*C1342*(1+DIM_CAR)^C1342</f>
        <v>208.7448152783202</v>
      </c>
      <c r="E1342" s="18">
        <f>(FARMER_FIELD_HRS+A1342*TEMP_HRS)-D1342</f>
        <v>4831.25518472168</v>
      </c>
      <c r="F1342" s="21">
        <f>IF(E1342&lt;0,0,MIN(COUNTIF(Labor!$C$59:$C$88,"&lt;="&amp;E1342),MAXBED_MES,TOTAL_BEDS-B1342-C1342))</f>
        <v>30</v>
      </c>
      <c r="G1342" s="21">
        <f>B1342+C1342+F1342</f>
        <v>36</v>
      </c>
      <c r="H1342" s="22">
        <f>IF(E1342&lt;0,-999999999,B1342*(PRICE_TOM-FERT_TOM)+C1342*(PRICE_CAR-FERT_CAR)+F1342*(PRICE_MES-FERT_MES)-(FARMER_SALARY+A1342*TEMP_COST)-FIXED_COSTS)</f>
        <v>-80476</v>
      </c>
    </row>
    <row r="1343">
      <c r="A1343" s="5" t="n">
        <v>3</v>
      </c>
      <c r="B1343" s="5" t="n">
        <v>0</v>
      </c>
      <c r="C1343" s="5" t="n">
        <v>7</v>
      </c>
      <c r="D1343" s="18">
        <f>SEASON_HRS_TOM*B1343*(1+DIM_TOM)^B1343+SEASON_HRS_CAR*C1343*(1+DIM_CAR)^C1343</f>
        <v>249.62400827032457</v>
      </c>
      <c r="E1343" s="18">
        <f>(FARMER_FIELD_HRS+A1343*TEMP_HRS)-D1343</f>
        <v>4790.375991729676</v>
      </c>
      <c r="F1343" s="21">
        <f>IF(E1343&lt;0,0,MIN(COUNTIF(Labor!$C$59:$C$88,"&lt;="&amp;E1343),MAXBED_MES,TOTAL_BEDS-B1343-C1343))</f>
        <v>30</v>
      </c>
      <c r="G1343" s="21">
        <f>B1343+C1343+F1343</f>
        <v>37</v>
      </c>
      <c r="H1343" s="22">
        <f>IF(E1343&lt;0,-999999999,B1343*(PRICE_TOM-FERT_TOM)+C1343*(PRICE_CAR-FERT_CAR)+F1343*(PRICE_MES-FERT_MES)-(FARMER_SALARY+A1343*TEMP_COST)-FIXED_COSTS)</f>
        <v>-78822</v>
      </c>
    </row>
    <row r="1344">
      <c r="A1344" s="5" t="n">
        <v>3</v>
      </c>
      <c r="B1344" s="5" t="n">
        <v>0</v>
      </c>
      <c r="C1344" s="5" t="n">
        <v>8</v>
      </c>
      <c r="D1344" s="18">
        <f>SEASON_HRS_TOM*B1344*(1+DIM_TOM)^B1344+SEASON_HRS_CAR*C1344*(1+DIM_CAR)^C1344</f>
        <v>292.4166954023801</v>
      </c>
      <c r="E1344" s="18">
        <f>(FARMER_FIELD_HRS+A1344*TEMP_HRS)-D1344</f>
        <v>4747.58330459762</v>
      </c>
      <c r="F1344" s="21">
        <f>IF(E1344&lt;0,0,MIN(COUNTIF(Labor!$C$59:$C$88,"&lt;="&amp;E1344),MAXBED_MES,TOTAL_BEDS-B1344-C1344))</f>
        <v>30</v>
      </c>
      <c r="G1344" s="21">
        <f>B1344+C1344+F1344</f>
        <v>38</v>
      </c>
      <c r="H1344" s="22">
        <f>IF(E1344&lt;0,-999999999,B1344*(PRICE_TOM-FERT_TOM)+C1344*(PRICE_CAR-FERT_CAR)+F1344*(PRICE_MES-FERT_MES)-(FARMER_SALARY+A1344*TEMP_COST)-FIXED_COSTS)</f>
        <v>-77168</v>
      </c>
    </row>
    <row r="1345">
      <c r="A1345" s="5" t="n">
        <v>3</v>
      </c>
      <c r="B1345" s="5" t="n">
        <v>0</v>
      </c>
      <c r="C1345" s="5" t="n">
        <v>9</v>
      </c>
      <c r="D1345" s="18">
        <f>SEASON_HRS_TOM*B1345*(1+DIM_TOM)^B1345+SEASON_HRS_CAR*C1345*(1+DIM_CAR)^C1345</f>
        <v>337.1930018858696</v>
      </c>
      <c r="E1345" s="18">
        <f>(FARMER_FIELD_HRS+A1345*TEMP_HRS)-D1345</f>
        <v>4702.806998114131</v>
      </c>
      <c r="F1345" s="21">
        <f>IF(E1345&lt;0,0,MIN(COUNTIF(Labor!$C$59:$C$88,"&lt;="&amp;E1345),MAXBED_MES,TOTAL_BEDS-B1345-C1345))</f>
        <v>30</v>
      </c>
      <c r="G1345" s="21">
        <f>B1345+C1345+F1345</f>
        <v>39</v>
      </c>
      <c r="H1345" s="22">
        <f>IF(E1345&lt;0,-999999999,B1345*(PRICE_TOM-FERT_TOM)+C1345*(PRICE_CAR-FERT_CAR)+F1345*(PRICE_MES-FERT_MES)-(FARMER_SALARY+A1345*TEMP_COST)-FIXED_COSTS)</f>
        <v>-75514</v>
      </c>
    </row>
    <row r="1346">
      <c r="A1346" s="5" t="n">
        <v>3</v>
      </c>
      <c r="B1346" s="5" t="n">
        <v>0</v>
      </c>
      <c r="C1346" s="5" t="n">
        <v>10</v>
      </c>
      <c r="D1346" s="18">
        <f>SEASON_HRS_TOM*B1346*(1+DIM_TOM)^B1346+SEASON_HRS_CAR*C1346*(1+DIM_CAR)^C1346</f>
        <v>384.025363258907</v>
      </c>
      <c r="E1346" s="18">
        <f>(FARMER_FIELD_HRS+A1346*TEMP_HRS)-D1346</f>
        <v>4655.974636741093</v>
      </c>
      <c r="F1346" s="21">
        <f>IF(E1346&lt;0,0,MIN(COUNTIF(Labor!$C$59:$C$88,"&lt;="&amp;E1346),MAXBED_MES,TOTAL_BEDS-B1346-C1346))</f>
        <v>30</v>
      </c>
      <c r="G1346" s="21">
        <f>B1346+C1346+F1346</f>
        <v>40</v>
      </c>
      <c r="H1346" s="22">
        <f>IF(E1346&lt;0,-999999999,B1346*(PRICE_TOM-FERT_TOM)+C1346*(PRICE_CAR-FERT_CAR)+F1346*(PRICE_MES-FERT_MES)-(FARMER_SALARY+A1346*TEMP_COST)-FIXED_COSTS)</f>
        <v>-73860</v>
      </c>
    </row>
    <row r="1347">
      <c r="A1347" s="5" t="n">
        <v>3</v>
      </c>
      <c r="B1347" s="5" t="n">
        <v>0</v>
      </c>
      <c r="C1347" s="5" t="n">
        <v>11</v>
      </c>
      <c r="D1347" s="18">
        <f>SEASON_HRS_TOM*B1347*(1+DIM_TOM)^B1347+SEASON_HRS_CAR*C1347*(1+DIM_CAR)^C1347</f>
        <v>432.9885970744176</v>
      </c>
      <c r="E1347" s="18">
        <f>(FARMER_FIELD_HRS+A1347*TEMP_HRS)-D1347</f>
        <v>4607.011402925582</v>
      </c>
      <c r="F1347" s="21">
        <f>IF(E1347&lt;0,0,MIN(COUNTIF(Labor!$C$59:$C$88,"&lt;="&amp;E1347),MAXBED_MES,TOTAL_BEDS-B1347-C1347))</f>
        <v>30</v>
      </c>
      <c r="G1347" s="21">
        <f>B1347+C1347+F1347</f>
        <v>41</v>
      </c>
      <c r="H1347" s="22">
        <f>IF(E1347&lt;0,-999999999,B1347*(PRICE_TOM-FERT_TOM)+C1347*(PRICE_CAR-FERT_CAR)+F1347*(PRICE_MES-FERT_MES)-(FARMER_SALARY+A1347*TEMP_COST)-FIXED_COSTS)</f>
        <v>-72206</v>
      </c>
    </row>
    <row r="1348">
      <c r="A1348" s="5" t="n">
        <v>3</v>
      </c>
      <c r="B1348" s="5" t="n">
        <v>0</v>
      </c>
      <c r="C1348" s="5" t="n">
        <v>12</v>
      </c>
      <c r="D1348" s="18">
        <f>SEASON_HRS_TOM*B1348*(1+DIM_TOM)^B1348+SEASON_HRS_CAR*C1348*(1+DIM_CAR)^C1348</f>
        <v>484.15997672866695</v>
      </c>
      <c r="E1348" s="18">
        <f>(FARMER_FIELD_HRS+A1348*TEMP_HRS)-D1348</f>
        <v>4555.840023271333</v>
      </c>
      <c r="F1348" s="21">
        <f>IF(E1348&lt;0,0,MIN(COUNTIF(Labor!$C$59:$C$88,"&lt;="&amp;E1348),MAXBED_MES,TOTAL_BEDS-B1348-C1348))</f>
        <v>30</v>
      </c>
      <c r="G1348" s="21">
        <f>B1348+C1348+F1348</f>
        <v>42</v>
      </c>
      <c r="H1348" s="22">
        <f>IF(E1348&lt;0,-999999999,B1348*(PRICE_TOM-FERT_TOM)+C1348*(PRICE_CAR-FERT_CAR)+F1348*(PRICE_MES-FERT_MES)-(FARMER_SALARY+A1348*TEMP_COST)-FIXED_COSTS)</f>
        <v>-70552</v>
      </c>
    </row>
    <row r="1349">
      <c r="A1349" s="5" t="n">
        <v>3</v>
      </c>
      <c r="B1349" s="5" t="n">
        <v>0</v>
      </c>
      <c r="C1349" s="5" t="n">
        <v>13</v>
      </c>
      <c r="D1349" s="18">
        <f>SEASON_HRS_TOM*B1349*(1+DIM_TOM)^B1349+SEASON_HRS_CAR*C1349*(1+DIM_CAR)^C1349</f>
        <v>537.6193074924571</v>
      </c>
      <c r="E1349" s="18">
        <f>(FARMER_FIELD_HRS+A1349*TEMP_HRS)-D1349</f>
        <v>4502.380692507543</v>
      </c>
      <c r="F1349" s="21">
        <f>IF(E1349&lt;0,0,MIN(COUNTIF(Labor!$C$59:$C$88,"&lt;="&amp;E1349),MAXBED_MES,TOTAL_BEDS-B1349-C1349))</f>
        <v>30</v>
      </c>
      <c r="G1349" s="21">
        <f>B1349+C1349+F1349</f>
        <v>43</v>
      </c>
      <c r="H1349" s="22">
        <f>IF(E1349&lt;0,-999999999,B1349*(PRICE_TOM-FERT_TOM)+C1349*(PRICE_CAR-FERT_CAR)+F1349*(PRICE_MES-FERT_MES)-(FARMER_SALARY+A1349*TEMP_COST)-FIXED_COSTS)</f>
        <v>-68898</v>
      </c>
    </row>
    <row r="1350">
      <c r="A1350" s="5" t="n">
        <v>3</v>
      </c>
      <c r="B1350" s="5" t="n">
        <v>0</v>
      </c>
      <c r="C1350" s="5" t="n">
        <v>14</v>
      </c>
      <c r="D1350" s="18">
        <f>SEASON_HRS_TOM*B1350*(1+DIM_TOM)^B1350+SEASON_HRS_CAR*C1350*(1+DIM_CAR)^C1350</f>
        <v>593.4490048089816</v>
      </c>
      <c r="E1350" s="18">
        <f>(FARMER_FIELD_HRS+A1350*TEMP_HRS)-D1350</f>
        <v>4446.550995191018</v>
      </c>
      <c r="F1350" s="21">
        <f>IF(E1350&lt;0,0,MIN(COUNTIF(Labor!$C$59:$C$88,"&lt;="&amp;E1350),MAXBED_MES,TOTAL_BEDS-B1350-C1350))</f>
        <v>30</v>
      </c>
      <c r="G1350" s="21">
        <f>B1350+C1350+F1350</f>
        <v>44</v>
      </c>
      <c r="H1350" s="22">
        <f>IF(E1350&lt;0,-999999999,B1350*(PRICE_TOM-FERT_TOM)+C1350*(PRICE_CAR-FERT_CAR)+F1350*(PRICE_MES-FERT_MES)-(FARMER_SALARY+A1350*TEMP_COST)-FIXED_COSTS)</f>
        <v>-67244</v>
      </c>
    </row>
    <row r="1351">
      <c r="A1351" s="5" t="n">
        <v>3</v>
      </c>
      <c r="B1351" s="5" t="n">
        <v>0</v>
      </c>
      <c r="C1351" s="5" t="n">
        <v>15</v>
      </c>
      <c r="D1351" s="18">
        <f>SEASON_HRS_TOM*B1351*(1+DIM_TOM)^B1351+SEASON_HRS_CAR*C1351*(1+DIM_CAR)^C1351</f>
        <v>651.7341749241493</v>
      </c>
      <c r="E1351" s="18">
        <f>(FARMER_FIELD_HRS+A1351*TEMP_HRS)-D1351</f>
        <v>4388.26582507585</v>
      </c>
      <c r="F1351" s="21">
        <f>IF(E1351&lt;0,0,MIN(COUNTIF(Labor!$C$59:$C$88,"&lt;="&amp;E1351),MAXBED_MES,TOTAL_BEDS-B1351-C1351))</f>
        <v>30</v>
      </c>
      <c r="G1351" s="21">
        <f>B1351+C1351+F1351</f>
        <v>45</v>
      </c>
      <c r="H1351" s="22">
        <f>IF(E1351&lt;0,-999999999,B1351*(PRICE_TOM-FERT_TOM)+C1351*(PRICE_CAR-FERT_CAR)+F1351*(PRICE_MES-FERT_MES)-(FARMER_SALARY+A1351*TEMP_COST)-FIXED_COSTS)</f>
        <v>-65590</v>
      </c>
    </row>
    <row r="1352">
      <c r="A1352" s="5" t="n">
        <v>3</v>
      </c>
      <c r="B1352" s="5" t="n">
        <v>0</v>
      </c>
      <c r="C1352" s="5" t="n">
        <v>16</v>
      </c>
      <c r="D1352" s="18">
        <f>SEASON_HRS_TOM*B1352*(1+DIM_TOM)^B1352+SEASON_HRS_CAR*C1352*(1+DIM_CAR)^C1352</f>
        <v>712.5626979170698</v>
      </c>
      <c r="E1352" s="18">
        <f>(FARMER_FIELD_HRS+A1352*TEMP_HRS)-D1352</f>
        <v>4327.43730208293</v>
      </c>
      <c r="F1352" s="21">
        <f>IF(E1352&lt;0,0,MIN(COUNTIF(Labor!$C$59:$C$88,"&lt;="&amp;E1352),MAXBED_MES,TOTAL_BEDS-B1352-C1352))</f>
        <v>30</v>
      </c>
      <c r="G1352" s="21">
        <f>B1352+C1352+F1352</f>
        <v>46</v>
      </c>
      <c r="H1352" s="22">
        <f>IF(E1352&lt;0,-999999999,B1352*(PRICE_TOM-FERT_TOM)+C1352*(PRICE_CAR-FERT_CAR)+F1352*(PRICE_MES-FERT_MES)-(FARMER_SALARY+A1352*TEMP_COST)-FIXED_COSTS)</f>
        <v>-63936</v>
      </c>
    </row>
    <row r="1353">
      <c r="A1353" s="5" t="n">
        <v>3</v>
      </c>
      <c r="B1353" s="5" t="n">
        <v>0</v>
      </c>
      <c r="C1353" s="5" t="n">
        <v>17</v>
      </c>
      <c r="D1353" s="18">
        <f>SEASON_HRS_TOM*B1353*(1+DIM_TOM)^B1353+SEASON_HRS_CAR*C1353*(1+DIM_CAR)^C1353</f>
        <v>776.0253132003088</v>
      </c>
      <c r="E1353" s="18">
        <f>(FARMER_FIELD_HRS+A1353*TEMP_HRS)-D1353</f>
        <v>4263.974686799691</v>
      </c>
      <c r="F1353" s="21">
        <f>IF(E1353&lt;0,0,MIN(COUNTIF(Labor!$C$59:$C$88,"&lt;="&amp;E1353),MAXBED_MES,TOTAL_BEDS-B1353-C1353))</f>
        <v>30</v>
      </c>
      <c r="G1353" s="21">
        <f>B1353+C1353+F1353</f>
        <v>47</v>
      </c>
      <c r="H1353" s="22">
        <f>IF(E1353&lt;0,-999999999,B1353*(PRICE_TOM-FERT_TOM)+C1353*(PRICE_CAR-FERT_CAR)+F1353*(PRICE_MES-FERT_MES)-(FARMER_SALARY+A1353*TEMP_COST)-FIXED_COSTS)</f>
        <v>-62282</v>
      </c>
    </row>
    <row r="1354">
      <c r="A1354" s="5" t="n">
        <v>3</v>
      </c>
      <c r="B1354" s="5" t="n">
        <v>0</v>
      </c>
      <c r="C1354" s="5" t="n">
        <v>18</v>
      </c>
      <c r="D1354" s="18">
        <f>SEASON_HRS_TOM*B1354*(1+DIM_TOM)^B1354+SEASON_HRS_CAR*C1354*(1+DIM_CAR)^C1354</f>
        <v>842.2157075615115</v>
      </c>
      <c r="E1354" s="18">
        <f>(FARMER_FIELD_HRS+A1354*TEMP_HRS)-D1354</f>
        <v>4197.784292438489</v>
      </c>
      <c r="F1354" s="21">
        <f>IF(E1354&lt;0,0,MIN(COUNTIF(Labor!$C$59:$C$88,"&lt;="&amp;E1354),MAXBED_MES,TOTAL_BEDS-B1354-C1354))</f>
        <v>30</v>
      </c>
      <c r="G1354" s="21">
        <f>B1354+C1354+F1354</f>
        <v>48</v>
      </c>
      <c r="H1354" s="22">
        <f>IF(E1354&lt;0,-999999999,B1354*(PRICE_TOM-FERT_TOM)+C1354*(PRICE_CAR-FERT_CAR)+F1354*(PRICE_MES-FERT_MES)-(FARMER_SALARY+A1354*TEMP_COST)-FIXED_COSTS)</f>
        <v>-60628</v>
      </c>
    </row>
    <row r="1355">
      <c r="A1355" s="5" t="n">
        <v>3</v>
      </c>
      <c r="B1355" s="5" t="n">
        <v>0</v>
      </c>
      <c r="C1355" s="5" t="n">
        <v>19</v>
      </c>
      <c r="D1355" s="18">
        <f>SEASON_HRS_TOM*B1355*(1+DIM_TOM)^B1355+SEASON_HRS_CAR*C1355*(1+DIM_CAR)^C1355</f>
        <v>911.2306058200242</v>
      </c>
      <c r="E1355" s="18">
        <f>(FARMER_FIELD_HRS+A1355*TEMP_HRS)-D1355</f>
        <v>4128.769394179976</v>
      </c>
      <c r="F1355" s="21">
        <f>IF(E1355&lt;0,0,MIN(COUNTIF(Labor!$C$59:$C$88,"&lt;="&amp;E1355),MAXBED_MES,TOTAL_BEDS-B1355-C1355))</f>
        <v>30</v>
      </c>
      <c r="G1355" s="21">
        <f>B1355+C1355+F1355</f>
        <v>49</v>
      </c>
      <c r="H1355" s="22">
        <f>IF(E1355&lt;0,-999999999,B1355*(PRICE_TOM-FERT_TOM)+C1355*(PRICE_CAR-FERT_CAR)+F1355*(PRICE_MES-FERT_MES)-(FARMER_SALARY+A1355*TEMP_COST)-FIXED_COSTS)</f>
        <v>-58974</v>
      </c>
    </row>
    <row r="1356">
      <c r="A1356" s="5" t="n">
        <v>3</v>
      </c>
      <c r="B1356" s="5" t="n">
        <v>0</v>
      </c>
      <c r="C1356" s="5" t="n">
        <v>20</v>
      </c>
      <c r="D1356" s="18">
        <f>SEASON_HRS_TOM*B1356*(1+DIM_TOM)^B1356+SEASON_HRS_CAR*C1356*(1+DIM_CAR)^C1356</f>
        <v>983.1698641742365</v>
      </c>
      <c r="E1356" s="18">
        <f>(FARMER_FIELD_HRS+A1356*TEMP_HRS)-D1356</f>
        <v>4056.8301358257636</v>
      </c>
      <c r="F1356" s="21">
        <f>IF(E1356&lt;0,0,MIN(COUNTIF(Labor!$C$59:$C$88,"&lt;="&amp;E1356),MAXBED_MES,TOTAL_BEDS-B1356-C1356))</f>
        <v>30</v>
      </c>
      <c r="G1356" s="21">
        <f>B1356+C1356+F1356</f>
        <v>50</v>
      </c>
      <c r="H1356" s="22">
        <f>IF(E1356&lt;0,-999999999,B1356*(PRICE_TOM-FERT_TOM)+C1356*(PRICE_CAR-FERT_CAR)+F1356*(PRICE_MES-FERT_MES)-(FARMER_SALARY+A1356*TEMP_COST)-FIXED_COSTS)</f>
        <v>-57320</v>
      </c>
    </row>
    <row r="1357">
      <c r="A1357" s="5" t="n">
        <v>3</v>
      </c>
      <c r="B1357" s="5" t="n">
        <v>1</v>
      </c>
      <c r="C1357" s="5" t="n">
        <v>0</v>
      </c>
      <c r="D1357" s="18">
        <f>SEASON_HRS_TOM*B1357*(1+DIM_TOM)^B1357+SEASON_HRS_CAR*C1357*(1+DIM_CAR)^C1357</f>
        <v>99.00000000000001</v>
      </c>
      <c r="E1357" s="18">
        <f>(FARMER_FIELD_HRS+A1357*TEMP_HRS)-D1357</f>
        <v>4941</v>
      </c>
      <c r="F1357" s="21">
        <f>IF(E1357&lt;0,0,MIN(COUNTIF(Labor!$C$59:$C$88,"&lt;="&amp;E1357),MAXBED_MES,TOTAL_BEDS-B1357-C1357))</f>
        <v>30</v>
      </c>
      <c r="G1357" s="21">
        <f>B1357+C1357+F1357</f>
        <v>31</v>
      </c>
      <c r="H1357" s="22">
        <f>IF(E1357&lt;0,-999999999,B1357*(PRICE_TOM-FERT_TOM)+C1357*(PRICE_CAR-FERT_CAR)+F1357*(PRICE_MES-FERT_MES)-(FARMER_SALARY+A1357*TEMP_COST)-FIXED_COSTS)</f>
        <v>-82480</v>
      </c>
    </row>
    <row r="1358">
      <c r="A1358" s="5" t="n">
        <v>3</v>
      </c>
      <c r="B1358" s="5" t="n">
        <v>1</v>
      </c>
      <c r="C1358" s="5" t="n">
        <v>1</v>
      </c>
      <c r="D1358" s="18">
        <f>SEASON_HRS_TOM*B1358*(1+DIM_TOM)^B1358+SEASON_HRS_CAR*C1358*(1+DIM_CAR)^C1358</f>
        <v>129.75</v>
      </c>
      <c r="E1358" s="18">
        <f>(FARMER_FIELD_HRS+A1358*TEMP_HRS)-D1358</f>
        <v>4910.25</v>
      </c>
      <c r="F1358" s="21">
        <f>IF(E1358&lt;0,0,MIN(COUNTIF(Labor!$C$59:$C$88,"&lt;="&amp;E1358),MAXBED_MES,TOTAL_BEDS-B1358-C1358))</f>
        <v>30</v>
      </c>
      <c r="G1358" s="21">
        <f>B1358+C1358+F1358</f>
        <v>32</v>
      </c>
      <c r="H1358" s="22">
        <f>IF(E1358&lt;0,-999999999,B1358*(PRICE_TOM-FERT_TOM)+C1358*(PRICE_CAR-FERT_CAR)+F1358*(PRICE_MES-FERT_MES)-(FARMER_SALARY+A1358*TEMP_COST)-FIXED_COSTS)</f>
        <v>-80826</v>
      </c>
    </row>
    <row r="1359">
      <c r="A1359" s="5" t="n">
        <v>3</v>
      </c>
      <c r="B1359" s="5" t="n">
        <v>1</v>
      </c>
      <c r="C1359" s="5" t="n">
        <v>2</v>
      </c>
      <c r="D1359" s="18">
        <f>SEASON_HRS_TOM*B1359*(1+DIM_TOM)^B1359+SEASON_HRS_CAR*C1359*(1+DIM_CAR)^C1359</f>
        <v>162.03750000000002</v>
      </c>
      <c r="E1359" s="18">
        <f>(FARMER_FIELD_HRS+A1359*TEMP_HRS)-D1359</f>
        <v>4877.9625</v>
      </c>
      <c r="F1359" s="21">
        <f>IF(E1359&lt;0,0,MIN(COUNTIF(Labor!$C$59:$C$88,"&lt;="&amp;E1359),MAXBED_MES,TOTAL_BEDS-B1359-C1359))</f>
        <v>30</v>
      </c>
      <c r="G1359" s="21">
        <f>B1359+C1359+F1359</f>
        <v>33</v>
      </c>
      <c r="H1359" s="22">
        <f>IF(E1359&lt;0,-999999999,B1359*(PRICE_TOM-FERT_TOM)+C1359*(PRICE_CAR-FERT_CAR)+F1359*(PRICE_MES-FERT_MES)-(FARMER_SALARY+A1359*TEMP_COST)-FIXED_COSTS)</f>
        <v>-79172</v>
      </c>
    </row>
    <row r="1360">
      <c r="A1360" s="5" t="n">
        <v>3</v>
      </c>
      <c r="B1360" s="5" t="n">
        <v>1</v>
      </c>
      <c r="C1360" s="5" t="n">
        <v>3</v>
      </c>
      <c r="D1360" s="18">
        <f>SEASON_HRS_TOM*B1360*(1+DIM_TOM)^B1360+SEASON_HRS_CAR*C1360*(1+DIM_CAR)^C1360</f>
        <v>195.92015625</v>
      </c>
      <c r="E1360" s="18">
        <f>(FARMER_FIELD_HRS+A1360*TEMP_HRS)-D1360</f>
        <v>4844.07984375</v>
      </c>
      <c r="F1360" s="21">
        <f>IF(E1360&lt;0,0,MIN(COUNTIF(Labor!$C$59:$C$88,"&lt;="&amp;E1360),MAXBED_MES,TOTAL_BEDS-B1360-C1360))</f>
        <v>30</v>
      </c>
      <c r="G1360" s="21">
        <f>B1360+C1360+F1360</f>
        <v>34</v>
      </c>
      <c r="H1360" s="22">
        <f>IF(E1360&lt;0,-999999999,B1360*(PRICE_TOM-FERT_TOM)+C1360*(PRICE_CAR-FERT_CAR)+F1360*(PRICE_MES-FERT_MES)-(FARMER_SALARY+A1360*TEMP_COST)-FIXED_COSTS)</f>
        <v>-77518</v>
      </c>
    </row>
    <row r="1361">
      <c r="A1361" s="5" t="n">
        <v>3</v>
      </c>
      <c r="B1361" s="5" t="n">
        <v>1</v>
      </c>
      <c r="C1361" s="5" t="n">
        <v>4</v>
      </c>
      <c r="D1361" s="18">
        <f>SEASON_HRS_TOM*B1361*(1+DIM_TOM)^B1361+SEASON_HRS_CAR*C1361*(1+DIM_CAR)^C1361</f>
        <v>231.45754687499993</v>
      </c>
      <c r="E1361" s="18">
        <f>(FARMER_FIELD_HRS+A1361*TEMP_HRS)-D1361</f>
        <v>4808.542453125</v>
      </c>
      <c r="F1361" s="21">
        <f>IF(E1361&lt;0,0,MIN(COUNTIF(Labor!$C$59:$C$88,"&lt;="&amp;E1361),MAXBED_MES,TOTAL_BEDS-B1361-C1361))</f>
        <v>30</v>
      </c>
      <c r="G1361" s="21">
        <f>B1361+C1361+F1361</f>
        <v>35</v>
      </c>
      <c r="H1361" s="22">
        <f>IF(E1361&lt;0,-999999999,B1361*(PRICE_TOM-FERT_TOM)+C1361*(PRICE_CAR-FERT_CAR)+F1361*(PRICE_MES-FERT_MES)-(FARMER_SALARY+A1361*TEMP_COST)-FIXED_COSTS)</f>
        <v>-75864</v>
      </c>
    </row>
    <row r="1362">
      <c r="A1362" s="5" t="n">
        <v>3</v>
      </c>
      <c r="B1362" s="5" t="n">
        <v>1</v>
      </c>
      <c r="C1362" s="5" t="n">
        <v>5</v>
      </c>
      <c r="D1362" s="18">
        <f>SEASON_HRS_TOM*B1362*(1+DIM_TOM)^B1362+SEASON_HRS_CAR*C1362*(1+DIM_CAR)^C1362</f>
        <v>268.7112319335937</v>
      </c>
      <c r="E1362" s="18">
        <f>(FARMER_FIELD_HRS+A1362*TEMP_HRS)-D1362</f>
        <v>4771.288768066406</v>
      </c>
      <c r="F1362" s="21">
        <f>IF(E1362&lt;0,0,MIN(COUNTIF(Labor!$C$59:$C$88,"&lt;="&amp;E1362),MAXBED_MES,TOTAL_BEDS-B1362-C1362))</f>
        <v>30</v>
      </c>
      <c r="G1362" s="21">
        <f>B1362+C1362+F1362</f>
        <v>36</v>
      </c>
      <c r="H1362" s="22">
        <f>IF(E1362&lt;0,-999999999,B1362*(PRICE_TOM-FERT_TOM)+C1362*(PRICE_CAR-FERT_CAR)+F1362*(PRICE_MES-FERT_MES)-(FARMER_SALARY+A1362*TEMP_COST)-FIXED_COSTS)</f>
        <v>-74210</v>
      </c>
    </row>
    <row r="1363">
      <c r="A1363" s="5" t="n">
        <v>3</v>
      </c>
      <c r="B1363" s="5" t="n">
        <v>1</v>
      </c>
      <c r="C1363" s="5" t="n">
        <v>6</v>
      </c>
      <c r="D1363" s="18">
        <f>SEASON_HRS_TOM*B1363*(1+DIM_TOM)^B1363+SEASON_HRS_CAR*C1363*(1+DIM_CAR)^C1363</f>
        <v>307.74481527832023</v>
      </c>
      <c r="E1363" s="18">
        <f>(FARMER_FIELD_HRS+A1363*TEMP_HRS)-D1363</f>
        <v>4732.25518472168</v>
      </c>
      <c r="F1363" s="21">
        <f>IF(E1363&lt;0,0,MIN(COUNTIF(Labor!$C$59:$C$88,"&lt;="&amp;E1363),MAXBED_MES,TOTAL_BEDS-B1363-C1363))</f>
        <v>30</v>
      </c>
      <c r="G1363" s="21">
        <f>B1363+C1363+F1363</f>
        <v>37</v>
      </c>
      <c r="H1363" s="22">
        <f>IF(E1363&lt;0,-999999999,B1363*(PRICE_TOM-FERT_TOM)+C1363*(PRICE_CAR-FERT_CAR)+F1363*(PRICE_MES-FERT_MES)-(FARMER_SALARY+A1363*TEMP_COST)-FIXED_COSTS)</f>
        <v>-72556</v>
      </c>
    </row>
    <row r="1364">
      <c r="A1364" s="5" t="n">
        <v>3</v>
      </c>
      <c r="B1364" s="5" t="n">
        <v>1</v>
      </c>
      <c r="C1364" s="5" t="n">
        <v>7</v>
      </c>
      <c r="D1364" s="18">
        <f>SEASON_HRS_TOM*B1364*(1+DIM_TOM)^B1364+SEASON_HRS_CAR*C1364*(1+DIM_CAR)^C1364</f>
        <v>348.62400827032457</v>
      </c>
      <c r="E1364" s="18">
        <f>(FARMER_FIELD_HRS+A1364*TEMP_HRS)-D1364</f>
        <v>4691.375991729676</v>
      </c>
      <c r="F1364" s="21">
        <f>IF(E1364&lt;0,0,MIN(COUNTIF(Labor!$C$59:$C$88,"&lt;="&amp;E1364),MAXBED_MES,TOTAL_BEDS-B1364-C1364))</f>
        <v>30</v>
      </c>
      <c r="G1364" s="21">
        <f>B1364+C1364+F1364</f>
        <v>38</v>
      </c>
      <c r="H1364" s="22">
        <f>IF(E1364&lt;0,-999999999,B1364*(PRICE_TOM-FERT_TOM)+C1364*(PRICE_CAR-FERT_CAR)+F1364*(PRICE_MES-FERT_MES)-(FARMER_SALARY+A1364*TEMP_COST)-FIXED_COSTS)</f>
        <v>-70902</v>
      </c>
    </row>
    <row r="1365">
      <c r="A1365" s="5" t="n">
        <v>3</v>
      </c>
      <c r="B1365" s="5" t="n">
        <v>1</v>
      </c>
      <c r="C1365" s="5" t="n">
        <v>8</v>
      </c>
      <c r="D1365" s="18">
        <f>SEASON_HRS_TOM*B1365*(1+DIM_TOM)^B1365+SEASON_HRS_CAR*C1365*(1+DIM_CAR)^C1365</f>
        <v>391.4166954023801</v>
      </c>
      <c r="E1365" s="18">
        <f>(FARMER_FIELD_HRS+A1365*TEMP_HRS)-D1365</f>
        <v>4648.58330459762</v>
      </c>
      <c r="F1365" s="21">
        <f>IF(E1365&lt;0,0,MIN(COUNTIF(Labor!$C$59:$C$88,"&lt;="&amp;E1365),MAXBED_MES,TOTAL_BEDS-B1365-C1365))</f>
        <v>30</v>
      </c>
      <c r="G1365" s="21">
        <f>B1365+C1365+F1365</f>
        <v>39</v>
      </c>
      <c r="H1365" s="22">
        <f>IF(E1365&lt;0,-999999999,B1365*(PRICE_TOM-FERT_TOM)+C1365*(PRICE_CAR-FERT_CAR)+F1365*(PRICE_MES-FERT_MES)-(FARMER_SALARY+A1365*TEMP_COST)-FIXED_COSTS)</f>
        <v>-69248</v>
      </c>
    </row>
    <row r="1366">
      <c r="A1366" s="5" t="n">
        <v>3</v>
      </c>
      <c r="B1366" s="5" t="n">
        <v>1</v>
      </c>
      <c r="C1366" s="5" t="n">
        <v>9</v>
      </c>
      <c r="D1366" s="18">
        <f>SEASON_HRS_TOM*B1366*(1+DIM_TOM)^B1366+SEASON_HRS_CAR*C1366*(1+DIM_CAR)^C1366</f>
        <v>436.1930018858696</v>
      </c>
      <c r="E1366" s="18">
        <f>(FARMER_FIELD_HRS+A1366*TEMP_HRS)-D1366</f>
        <v>4603.806998114131</v>
      </c>
      <c r="F1366" s="21">
        <f>IF(E1366&lt;0,0,MIN(COUNTIF(Labor!$C$59:$C$88,"&lt;="&amp;E1366),MAXBED_MES,TOTAL_BEDS-B1366-C1366))</f>
        <v>30</v>
      </c>
      <c r="G1366" s="21">
        <f>B1366+C1366+F1366</f>
        <v>40</v>
      </c>
      <c r="H1366" s="22">
        <f>IF(E1366&lt;0,-999999999,B1366*(PRICE_TOM-FERT_TOM)+C1366*(PRICE_CAR-FERT_CAR)+F1366*(PRICE_MES-FERT_MES)-(FARMER_SALARY+A1366*TEMP_COST)-FIXED_COSTS)</f>
        <v>-67594</v>
      </c>
    </row>
    <row r="1367">
      <c r="A1367" s="5" t="n">
        <v>3</v>
      </c>
      <c r="B1367" s="5" t="n">
        <v>1</v>
      </c>
      <c r="C1367" s="5" t="n">
        <v>10</v>
      </c>
      <c r="D1367" s="18">
        <f>SEASON_HRS_TOM*B1367*(1+DIM_TOM)^B1367+SEASON_HRS_CAR*C1367*(1+DIM_CAR)^C1367</f>
        <v>483.025363258907</v>
      </c>
      <c r="E1367" s="18">
        <f>(FARMER_FIELD_HRS+A1367*TEMP_HRS)-D1367</f>
        <v>4556.974636741093</v>
      </c>
      <c r="F1367" s="21">
        <f>IF(E1367&lt;0,0,MIN(COUNTIF(Labor!$C$59:$C$88,"&lt;="&amp;E1367),MAXBED_MES,TOTAL_BEDS-B1367-C1367))</f>
        <v>30</v>
      </c>
      <c r="G1367" s="21">
        <f>B1367+C1367+F1367</f>
        <v>41</v>
      </c>
      <c r="H1367" s="22">
        <f>IF(E1367&lt;0,-999999999,B1367*(PRICE_TOM-FERT_TOM)+C1367*(PRICE_CAR-FERT_CAR)+F1367*(PRICE_MES-FERT_MES)-(FARMER_SALARY+A1367*TEMP_COST)-FIXED_COSTS)</f>
        <v>-65940</v>
      </c>
    </row>
    <row r="1368">
      <c r="A1368" s="5" t="n">
        <v>3</v>
      </c>
      <c r="B1368" s="5" t="n">
        <v>1</v>
      </c>
      <c r="C1368" s="5" t="n">
        <v>11</v>
      </c>
      <c r="D1368" s="18">
        <f>SEASON_HRS_TOM*B1368*(1+DIM_TOM)^B1368+SEASON_HRS_CAR*C1368*(1+DIM_CAR)^C1368</f>
        <v>531.9885970744176</v>
      </c>
      <c r="E1368" s="18">
        <f>(FARMER_FIELD_HRS+A1368*TEMP_HRS)-D1368</f>
        <v>4508.011402925582</v>
      </c>
      <c r="F1368" s="21">
        <f>IF(E1368&lt;0,0,MIN(COUNTIF(Labor!$C$59:$C$88,"&lt;="&amp;E1368),MAXBED_MES,TOTAL_BEDS-B1368-C1368))</f>
        <v>30</v>
      </c>
      <c r="G1368" s="21">
        <f>B1368+C1368+F1368</f>
        <v>42</v>
      </c>
      <c r="H1368" s="22">
        <f>IF(E1368&lt;0,-999999999,B1368*(PRICE_TOM-FERT_TOM)+C1368*(PRICE_CAR-FERT_CAR)+F1368*(PRICE_MES-FERT_MES)-(FARMER_SALARY+A1368*TEMP_COST)-FIXED_COSTS)</f>
        <v>-64286</v>
      </c>
    </row>
    <row r="1369">
      <c r="A1369" s="5" t="n">
        <v>3</v>
      </c>
      <c r="B1369" s="5" t="n">
        <v>1</v>
      </c>
      <c r="C1369" s="5" t="n">
        <v>12</v>
      </c>
      <c r="D1369" s="18">
        <f>SEASON_HRS_TOM*B1369*(1+DIM_TOM)^B1369+SEASON_HRS_CAR*C1369*(1+DIM_CAR)^C1369</f>
        <v>583.159976728667</v>
      </c>
      <c r="E1369" s="18">
        <f>(FARMER_FIELD_HRS+A1369*TEMP_HRS)-D1369</f>
        <v>4456.840023271333</v>
      </c>
      <c r="F1369" s="21">
        <f>IF(E1369&lt;0,0,MIN(COUNTIF(Labor!$C$59:$C$88,"&lt;="&amp;E1369),MAXBED_MES,TOTAL_BEDS-B1369-C1369))</f>
        <v>30</v>
      </c>
      <c r="G1369" s="21">
        <f>B1369+C1369+F1369</f>
        <v>43</v>
      </c>
      <c r="H1369" s="22">
        <f>IF(E1369&lt;0,-999999999,B1369*(PRICE_TOM-FERT_TOM)+C1369*(PRICE_CAR-FERT_CAR)+F1369*(PRICE_MES-FERT_MES)-(FARMER_SALARY+A1369*TEMP_COST)-FIXED_COSTS)</f>
        <v>-62632</v>
      </c>
    </row>
    <row r="1370">
      <c r="A1370" s="5" t="n">
        <v>3</v>
      </c>
      <c r="B1370" s="5" t="n">
        <v>1</v>
      </c>
      <c r="C1370" s="5" t="n">
        <v>13</v>
      </c>
      <c r="D1370" s="18">
        <f>SEASON_HRS_TOM*B1370*(1+DIM_TOM)^B1370+SEASON_HRS_CAR*C1370*(1+DIM_CAR)^C1370</f>
        <v>636.6193074924571</v>
      </c>
      <c r="E1370" s="18">
        <f>(FARMER_FIELD_HRS+A1370*TEMP_HRS)-D1370</f>
        <v>4403.380692507543</v>
      </c>
      <c r="F1370" s="21">
        <f>IF(E1370&lt;0,0,MIN(COUNTIF(Labor!$C$59:$C$88,"&lt;="&amp;E1370),MAXBED_MES,TOTAL_BEDS-B1370-C1370))</f>
        <v>30</v>
      </c>
      <c r="G1370" s="21">
        <f>B1370+C1370+F1370</f>
        <v>44</v>
      </c>
      <c r="H1370" s="22">
        <f>IF(E1370&lt;0,-999999999,B1370*(PRICE_TOM-FERT_TOM)+C1370*(PRICE_CAR-FERT_CAR)+F1370*(PRICE_MES-FERT_MES)-(FARMER_SALARY+A1370*TEMP_COST)-FIXED_COSTS)</f>
        <v>-60978</v>
      </c>
    </row>
    <row r="1371">
      <c r="A1371" s="5" t="n">
        <v>3</v>
      </c>
      <c r="B1371" s="5" t="n">
        <v>1</v>
      </c>
      <c r="C1371" s="5" t="n">
        <v>14</v>
      </c>
      <c r="D1371" s="18">
        <f>SEASON_HRS_TOM*B1371*(1+DIM_TOM)^B1371+SEASON_HRS_CAR*C1371*(1+DIM_CAR)^C1371</f>
        <v>692.4490048089816</v>
      </c>
      <c r="E1371" s="18">
        <f>(FARMER_FIELD_HRS+A1371*TEMP_HRS)-D1371</f>
        <v>4347.550995191018</v>
      </c>
      <c r="F1371" s="21">
        <f>IF(E1371&lt;0,0,MIN(COUNTIF(Labor!$C$59:$C$88,"&lt;="&amp;E1371),MAXBED_MES,TOTAL_BEDS-B1371-C1371))</f>
        <v>30</v>
      </c>
      <c r="G1371" s="21">
        <f>B1371+C1371+F1371</f>
        <v>45</v>
      </c>
      <c r="H1371" s="22">
        <f>IF(E1371&lt;0,-999999999,B1371*(PRICE_TOM-FERT_TOM)+C1371*(PRICE_CAR-FERT_CAR)+F1371*(PRICE_MES-FERT_MES)-(FARMER_SALARY+A1371*TEMP_COST)-FIXED_COSTS)</f>
        <v>-59324</v>
      </c>
    </row>
    <row r="1372">
      <c r="A1372" s="5" t="n">
        <v>3</v>
      </c>
      <c r="B1372" s="5" t="n">
        <v>1</v>
      </c>
      <c r="C1372" s="5" t="n">
        <v>15</v>
      </c>
      <c r="D1372" s="18">
        <f>SEASON_HRS_TOM*B1372*(1+DIM_TOM)^B1372+SEASON_HRS_CAR*C1372*(1+DIM_CAR)^C1372</f>
        <v>750.7341749241493</v>
      </c>
      <c r="E1372" s="18">
        <f>(FARMER_FIELD_HRS+A1372*TEMP_HRS)-D1372</f>
        <v>4289.26582507585</v>
      </c>
      <c r="F1372" s="21">
        <f>IF(E1372&lt;0,0,MIN(COUNTIF(Labor!$C$59:$C$88,"&lt;="&amp;E1372),MAXBED_MES,TOTAL_BEDS-B1372-C1372))</f>
        <v>30</v>
      </c>
      <c r="G1372" s="21">
        <f>B1372+C1372+F1372</f>
        <v>46</v>
      </c>
      <c r="H1372" s="22">
        <f>IF(E1372&lt;0,-999999999,B1372*(PRICE_TOM-FERT_TOM)+C1372*(PRICE_CAR-FERT_CAR)+F1372*(PRICE_MES-FERT_MES)-(FARMER_SALARY+A1372*TEMP_COST)-FIXED_COSTS)</f>
        <v>-57670</v>
      </c>
    </row>
    <row r="1373">
      <c r="A1373" s="5" t="n">
        <v>3</v>
      </c>
      <c r="B1373" s="5" t="n">
        <v>1</v>
      </c>
      <c r="C1373" s="5" t="n">
        <v>16</v>
      </c>
      <c r="D1373" s="18">
        <f>SEASON_HRS_TOM*B1373*(1+DIM_TOM)^B1373+SEASON_HRS_CAR*C1373*(1+DIM_CAR)^C1373</f>
        <v>811.5626979170698</v>
      </c>
      <c r="E1373" s="18">
        <f>(FARMER_FIELD_HRS+A1373*TEMP_HRS)-D1373</f>
        <v>4228.43730208293</v>
      </c>
      <c r="F1373" s="21">
        <f>IF(E1373&lt;0,0,MIN(COUNTIF(Labor!$C$59:$C$88,"&lt;="&amp;E1373),MAXBED_MES,TOTAL_BEDS-B1373-C1373))</f>
        <v>30</v>
      </c>
      <c r="G1373" s="21">
        <f>B1373+C1373+F1373</f>
        <v>47</v>
      </c>
      <c r="H1373" s="22">
        <f>IF(E1373&lt;0,-999999999,B1373*(PRICE_TOM-FERT_TOM)+C1373*(PRICE_CAR-FERT_CAR)+F1373*(PRICE_MES-FERT_MES)-(FARMER_SALARY+A1373*TEMP_COST)-FIXED_COSTS)</f>
        <v>-56016</v>
      </c>
    </row>
    <row r="1374">
      <c r="A1374" s="5" t="n">
        <v>3</v>
      </c>
      <c r="B1374" s="5" t="n">
        <v>1</v>
      </c>
      <c r="C1374" s="5" t="n">
        <v>17</v>
      </c>
      <c r="D1374" s="18">
        <f>SEASON_HRS_TOM*B1374*(1+DIM_TOM)^B1374+SEASON_HRS_CAR*C1374*(1+DIM_CAR)^C1374</f>
        <v>875.0253132003088</v>
      </c>
      <c r="E1374" s="18">
        <f>(FARMER_FIELD_HRS+A1374*TEMP_HRS)-D1374</f>
        <v>4164.974686799691</v>
      </c>
      <c r="F1374" s="21">
        <f>IF(E1374&lt;0,0,MIN(COUNTIF(Labor!$C$59:$C$88,"&lt;="&amp;E1374),MAXBED_MES,TOTAL_BEDS-B1374-C1374))</f>
        <v>30</v>
      </c>
      <c r="G1374" s="21">
        <f>B1374+C1374+F1374</f>
        <v>48</v>
      </c>
      <c r="H1374" s="22">
        <f>IF(E1374&lt;0,-999999999,B1374*(PRICE_TOM-FERT_TOM)+C1374*(PRICE_CAR-FERT_CAR)+F1374*(PRICE_MES-FERT_MES)-(FARMER_SALARY+A1374*TEMP_COST)-FIXED_COSTS)</f>
        <v>-54362</v>
      </c>
    </row>
    <row r="1375">
      <c r="A1375" s="5" t="n">
        <v>3</v>
      </c>
      <c r="B1375" s="5" t="n">
        <v>1</v>
      </c>
      <c r="C1375" s="5" t="n">
        <v>18</v>
      </c>
      <c r="D1375" s="18">
        <f>SEASON_HRS_TOM*B1375*(1+DIM_TOM)^B1375+SEASON_HRS_CAR*C1375*(1+DIM_CAR)^C1375</f>
        <v>941.2157075615115</v>
      </c>
      <c r="E1375" s="18">
        <f>(FARMER_FIELD_HRS+A1375*TEMP_HRS)-D1375</f>
        <v>4098.784292438489</v>
      </c>
      <c r="F1375" s="21">
        <f>IF(E1375&lt;0,0,MIN(COUNTIF(Labor!$C$59:$C$88,"&lt;="&amp;E1375),MAXBED_MES,TOTAL_BEDS-B1375-C1375))</f>
        <v>30</v>
      </c>
      <c r="G1375" s="21">
        <f>B1375+C1375+F1375</f>
        <v>49</v>
      </c>
      <c r="H1375" s="22">
        <f>IF(E1375&lt;0,-999999999,B1375*(PRICE_TOM-FERT_TOM)+C1375*(PRICE_CAR-FERT_CAR)+F1375*(PRICE_MES-FERT_MES)-(FARMER_SALARY+A1375*TEMP_COST)-FIXED_COSTS)</f>
        <v>-52708</v>
      </c>
    </row>
    <row r="1376">
      <c r="A1376" s="5" t="n">
        <v>3</v>
      </c>
      <c r="B1376" s="5" t="n">
        <v>1</v>
      </c>
      <c r="C1376" s="5" t="n">
        <v>19</v>
      </c>
      <c r="D1376" s="18">
        <f>SEASON_HRS_TOM*B1376*(1+DIM_TOM)^B1376+SEASON_HRS_CAR*C1376*(1+DIM_CAR)^C1376</f>
        <v>1010.2306058200242</v>
      </c>
      <c r="E1376" s="18">
        <f>(FARMER_FIELD_HRS+A1376*TEMP_HRS)-D1376</f>
        <v>4029.7693941799757</v>
      </c>
      <c r="F1376" s="21">
        <f>IF(E1376&lt;0,0,MIN(COUNTIF(Labor!$C$59:$C$88,"&lt;="&amp;E1376),MAXBED_MES,TOTAL_BEDS-B1376-C1376))</f>
        <v>30</v>
      </c>
      <c r="G1376" s="21">
        <f>B1376+C1376+F1376</f>
        <v>50</v>
      </c>
      <c r="H1376" s="22">
        <f>IF(E1376&lt;0,-999999999,B1376*(PRICE_TOM-FERT_TOM)+C1376*(PRICE_CAR-FERT_CAR)+F1376*(PRICE_MES-FERT_MES)-(FARMER_SALARY+A1376*TEMP_COST)-FIXED_COSTS)</f>
        <v>-51054</v>
      </c>
    </row>
    <row r="1377">
      <c r="A1377" s="5" t="n">
        <v>3</v>
      </c>
      <c r="B1377" s="5" t="n">
        <v>1</v>
      </c>
      <c r="C1377" s="5" t="n">
        <v>20</v>
      </c>
      <c r="D1377" s="18">
        <f>SEASON_HRS_TOM*B1377*(1+DIM_TOM)^B1377+SEASON_HRS_CAR*C1377*(1+DIM_CAR)^C1377</f>
        <v>1082.1698641742366</v>
      </c>
      <c r="E1377" s="18">
        <f>(FARMER_FIELD_HRS+A1377*TEMP_HRS)-D1377</f>
        <v>3957.830135825763</v>
      </c>
      <c r="F1377" s="21">
        <f>IF(E1377&lt;0,0,MIN(COUNTIF(Labor!$C$59:$C$88,"&lt;="&amp;E1377),MAXBED_MES,TOTAL_BEDS-B1377-C1377))</f>
        <v>30</v>
      </c>
      <c r="G1377" s="21">
        <f>B1377+C1377+F1377</f>
        <v>51</v>
      </c>
      <c r="H1377" s="22">
        <f>IF(E1377&lt;0,-999999999,B1377*(PRICE_TOM-FERT_TOM)+C1377*(PRICE_CAR-FERT_CAR)+F1377*(PRICE_MES-FERT_MES)-(FARMER_SALARY+A1377*TEMP_COST)-FIXED_COSTS)</f>
        <v>-49400</v>
      </c>
    </row>
    <row r="1378">
      <c r="A1378" s="5" t="n">
        <v>3</v>
      </c>
      <c r="B1378" s="5" t="n">
        <v>2</v>
      </c>
      <c r="C1378" s="5" t="n">
        <v>0</v>
      </c>
      <c r="D1378" s="18">
        <f>SEASON_HRS_TOM*B1378*(1+DIM_TOM)^B1378+SEASON_HRS_CAR*C1378*(1+DIM_CAR)^C1378</f>
        <v>217.80000000000004</v>
      </c>
      <c r="E1378" s="18">
        <f>(FARMER_FIELD_HRS+A1378*TEMP_HRS)-D1378</f>
        <v>4822.2</v>
      </c>
      <c r="F1378" s="21">
        <f>IF(E1378&lt;0,0,MIN(COUNTIF(Labor!$C$59:$C$88,"&lt;="&amp;E1378),MAXBED_MES,TOTAL_BEDS-B1378-C1378))</f>
        <v>30</v>
      </c>
      <c r="G1378" s="21">
        <f>B1378+C1378+F1378</f>
        <v>32</v>
      </c>
      <c r="H1378" s="22">
        <f>IF(E1378&lt;0,-999999999,B1378*(PRICE_TOM-FERT_TOM)+C1378*(PRICE_CAR-FERT_CAR)+F1378*(PRICE_MES-FERT_MES)-(FARMER_SALARY+A1378*TEMP_COST)-FIXED_COSTS)</f>
        <v>-74560</v>
      </c>
    </row>
    <row r="1379">
      <c r="A1379" s="5" t="n">
        <v>3</v>
      </c>
      <c r="B1379" s="5" t="n">
        <v>2</v>
      </c>
      <c r="C1379" s="5" t="n">
        <v>1</v>
      </c>
      <c r="D1379" s="18">
        <f>SEASON_HRS_TOM*B1379*(1+DIM_TOM)^B1379+SEASON_HRS_CAR*C1379*(1+DIM_CAR)^C1379</f>
        <v>248.55000000000004</v>
      </c>
      <c r="E1379" s="18">
        <f>(FARMER_FIELD_HRS+A1379*TEMP_HRS)-D1379</f>
        <v>4791.45</v>
      </c>
      <c r="F1379" s="21">
        <f>IF(E1379&lt;0,0,MIN(COUNTIF(Labor!$C$59:$C$88,"&lt;="&amp;E1379),MAXBED_MES,TOTAL_BEDS-B1379-C1379))</f>
        <v>30</v>
      </c>
      <c r="G1379" s="21">
        <f>B1379+C1379+F1379</f>
        <v>33</v>
      </c>
      <c r="H1379" s="22">
        <f>IF(E1379&lt;0,-999999999,B1379*(PRICE_TOM-FERT_TOM)+C1379*(PRICE_CAR-FERT_CAR)+F1379*(PRICE_MES-FERT_MES)-(FARMER_SALARY+A1379*TEMP_COST)-FIXED_COSTS)</f>
        <v>-72906</v>
      </c>
    </row>
    <row r="1380">
      <c r="A1380" s="5" t="n">
        <v>3</v>
      </c>
      <c r="B1380" s="5" t="n">
        <v>2</v>
      </c>
      <c r="C1380" s="5" t="n">
        <v>2</v>
      </c>
      <c r="D1380" s="18">
        <f>SEASON_HRS_TOM*B1380*(1+DIM_TOM)^B1380+SEASON_HRS_CAR*C1380*(1+DIM_CAR)^C1380</f>
        <v>280.83750000000003</v>
      </c>
      <c r="E1380" s="18">
        <f>(FARMER_FIELD_HRS+A1380*TEMP_HRS)-D1380</f>
        <v>4759.1625</v>
      </c>
      <c r="F1380" s="21">
        <f>IF(E1380&lt;0,0,MIN(COUNTIF(Labor!$C$59:$C$88,"&lt;="&amp;E1380),MAXBED_MES,TOTAL_BEDS-B1380-C1380))</f>
        <v>30</v>
      </c>
      <c r="G1380" s="21">
        <f>B1380+C1380+F1380</f>
        <v>34</v>
      </c>
      <c r="H1380" s="22">
        <f>IF(E1380&lt;0,-999999999,B1380*(PRICE_TOM-FERT_TOM)+C1380*(PRICE_CAR-FERT_CAR)+F1380*(PRICE_MES-FERT_MES)-(FARMER_SALARY+A1380*TEMP_COST)-FIXED_COSTS)</f>
        <v>-71252</v>
      </c>
    </row>
    <row r="1381">
      <c r="A1381" s="5" t="n">
        <v>3</v>
      </c>
      <c r="B1381" s="5" t="n">
        <v>2</v>
      </c>
      <c r="C1381" s="5" t="n">
        <v>3</v>
      </c>
      <c r="D1381" s="18">
        <f>SEASON_HRS_TOM*B1381*(1+DIM_TOM)^B1381+SEASON_HRS_CAR*C1381*(1+DIM_CAR)^C1381</f>
        <v>314.72015625</v>
      </c>
      <c r="E1381" s="18">
        <f>(FARMER_FIELD_HRS+A1381*TEMP_HRS)-D1381</f>
        <v>4725.27984375</v>
      </c>
      <c r="F1381" s="21">
        <f>IF(E1381&lt;0,0,MIN(COUNTIF(Labor!$C$59:$C$88,"&lt;="&amp;E1381),MAXBED_MES,TOTAL_BEDS-B1381-C1381))</f>
        <v>30</v>
      </c>
      <c r="G1381" s="21">
        <f>B1381+C1381+F1381</f>
        <v>35</v>
      </c>
      <c r="H1381" s="22">
        <f>IF(E1381&lt;0,-999999999,B1381*(PRICE_TOM-FERT_TOM)+C1381*(PRICE_CAR-FERT_CAR)+F1381*(PRICE_MES-FERT_MES)-(FARMER_SALARY+A1381*TEMP_COST)-FIXED_COSTS)</f>
        <v>-69598</v>
      </c>
    </row>
    <row r="1382">
      <c r="A1382" s="5" t="n">
        <v>3</v>
      </c>
      <c r="B1382" s="5" t="n">
        <v>2</v>
      </c>
      <c r="C1382" s="5" t="n">
        <v>4</v>
      </c>
      <c r="D1382" s="18">
        <f>SEASON_HRS_TOM*B1382*(1+DIM_TOM)^B1382+SEASON_HRS_CAR*C1382*(1+DIM_CAR)^C1382</f>
        <v>350.257546875</v>
      </c>
      <c r="E1382" s="18">
        <f>(FARMER_FIELD_HRS+A1382*TEMP_HRS)-D1382</f>
        <v>4689.742453125</v>
      </c>
      <c r="F1382" s="21">
        <f>IF(E1382&lt;0,0,MIN(COUNTIF(Labor!$C$59:$C$88,"&lt;="&amp;E1382),MAXBED_MES,TOTAL_BEDS-B1382-C1382))</f>
        <v>30</v>
      </c>
      <c r="G1382" s="21">
        <f>B1382+C1382+F1382</f>
        <v>36</v>
      </c>
      <c r="H1382" s="22">
        <f>IF(E1382&lt;0,-999999999,B1382*(PRICE_TOM-FERT_TOM)+C1382*(PRICE_CAR-FERT_CAR)+F1382*(PRICE_MES-FERT_MES)-(FARMER_SALARY+A1382*TEMP_COST)-FIXED_COSTS)</f>
        <v>-67944</v>
      </c>
    </row>
    <row r="1383">
      <c r="A1383" s="5" t="n">
        <v>3</v>
      </c>
      <c r="B1383" s="5" t="n">
        <v>2</v>
      </c>
      <c r="C1383" s="5" t="n">
        <v>5</v>
      </c>
      <c r="D1383" s="18">
        <f>SEASON_HRS_TOM*B1383*(1+DIM_TOM)^B1383+SEASON_HRS_CAR*C1383*(1+DIM_CAR)^C1383</f>
        <v>387.5112319335937</v>
      </c>
      <c r="E1383" s="18">
        <f>(FARMER_FIELD_HRS+A1383*TEMP_HRS)-D1383</f>
        <v>4652.488768066406</v>
      </c>
      <c r="F1383" s="21">
        <f>IF(E1383&lt;0,0,MIN(COUNTIF(Labor!$C$59:$C$88,"&lt;="&amp;E1383),MAXBED_MES,TOTAL_BEDS-B1383-C1383))</f>
        <v>30</v>
      </c>
      <c r="G1383" s="21">
        <f>B1383+C1383+F1383</f>
        <v>37</v>
      </c>
      <c r="H1383" s="22">
        <f>IF(E1383&lt;0,-999999999,B1383*(PRICE_TOM-FERT_TOM)+C1383*(PRICE_CAR-FERT_CAR)+F1383*(PRICE_MES-FERT_MES)-(FARMER_SALARY+A1383*TEMP_COST)-FIXED_COSTS)</f>
        <v>-66290</v>
      </c>
    </row>
    <row r="1384">
      <c r="A1384" s="5" t="n">
        <v>3</v>
      </c>
      <c r="B1384" s="5" t="n">
        <v>2</v>
      </c>
      <c r="C1384" s="5" t="n">
        <v>6</v>
      </c>
      <c r="D1384" s="18">
        <f>SEASON_HRS_TOM*B1384*(1+DIM_TOM)^B1384+SEASON_HRS_CAR*C1384*(1+DIM_CAR)^C1384</f>
        <v>426.54481527832024</v>
      </c>
      <c r="E1384" s="18">
        <f>(FARMER_FIELD_HRS+A1384*TEMP_HRS)-D1384</f>
        <v>4613.45518472168</v>
      </c>
      <c r="F1384" s="21">
        <f>IF(E1384&lt;0,0,MIN(COUNTIF(Labor!$C$59:$C$88,"&lt;="&amp;E1384),MAXBED_MES,TOTAL_BEDS-B1384-C1384))</f>
        <v>30</v>
      </c>
      <c r="G1384" s="21">
        <f>B1384+C1384+F1384</f>
        <v>38</v>
      </c>
      <c r="H1384" s="22">
        <f>IF(E1384&lt;0,-999999999,B1384*(PRICE_TOM-FERT_TOM)+C1384*(PRICE_CAR-FERT_CAR)+F1384*(PRICE_MES-FERT_MES)-(FARMER_SALARY+A1384*TEMP_COST)-FIXED_COSTS)</f>
        <v>-64636</v>
      </c>
    </row>
    <row r="1385">
      <c r="A1385" s="5" t="n">
        <v>3</v>
      </c>
      <c r="B1385" s="5" t="n">
        <v>2</v>
      </c>
      <c r="C1385" s="5" t="n">
        <v>7</v>
      </c>
      <c r="D1385" s="18">
        <f>SEASON_HRS_TOM*B1385*(1+DIM_TOM)^B1385+SEASON_HRS_CAR*C1385*(1+DIM_CAR)^C1385</f>
        <v>467.42400827032463</v>
      </c>
      <c r="E1385" s="18">
        <f>(FARMER_FIELD_HRS+A1385*TEMP_HRS)-D1385</f>
        <v>4572.5759917296755</v>
      </c>
      <c r="F1385" s="21">
        <f>IF(E1385&lt;0,0,MIN(COUNTIF(Labor!$C$59:$C$88,"&lt;="&amp;E1385),MAXBED_MES,TOTAL_BEDS-B1385-C1385))</f>
        <v>30</v>
      </c>
      <c r="G1385" s="21">
        <f>B1385+C1385+F1385</f>
        <v>39</v>
      </c>
      <c r="H1385" s="22">
        <f>IF(E1385&lt;0,-999999999,B1385*(PRICE_TOM-FERT_TOM)+C1385*(PRICE_CAR-FERT_CAR)+F1385*(PRICE_MES-FERT_MES)-(FARMER_SALARY+A1385*TEMP_COST)-FIXED_COSTS)</f>
        <v>-62982</v>
      </c>
    </row>
    <row r="1386">
      <c r="A1386" s="5" t="n">
        <v>3</v>
      </c>
      <c r="B1386" s="5" t="n">
        <v>2</v>
      </c>
      <c r="C1386" s="5" t="n">
        <v>8</v>
      </c>
      <c r="D1386" s="18">
        <f>SEASON_HRS_TOM*B1386*(1+DIM_TOM)^B1386+SEASON_HRS_CAR*C1386*(1+DIM_CAR)^C1386</f>
        <v>510.2166954023802</v>
      </c>
      <c r="E1386" s="18">
        <f>(FARMER_FIELD_HRS+A1386*TEMP_HRS)-D1386</f>
        <v>4529.7833045976195</v>
      </c>
      <c r="F1386" s="21">
        <f>IF(E1386&lt;0,0,MIN(COUNTIF(Labor!$C$59:$C$88,"&lt;="&amp;E1386),MAXBED_MES,TOTAL_BEDS-B1386-C1386))</f>
        <v>30</v>
      </c>
      <c r="G1386" s="21">
        <f>B1386+C1386+F1386</f>
        <v>40</v>
      </c>
      <c r="H1386" s="22">
        <f>IF(E1386&lt;0,-999999999,B1386*(PRICE_TOM-FERT_TOM)+C1386*(PRICE_CAR-FERT_CAR)+F1386*(PRICE_MES-FERT_MES)-(FARMER_SALARY+A1386*TEMP_COST)-FIXED_COSTS)</f>
        <v>-61328</v>
      </c>
    </row>
    <row r="1387">
      <c r="A1387" s="5" t="n">
        <v>3</v>
      </c>
      <c r="B1387" s="5" t="n">
        <v>2</v>
      </c>
      <c r="C1387" s="5" t="n">
        <v>9</v>
      </c>
      <c r="D1387" s="18">
        <f>SEASON_HRS_TOM*B1387*(1+DIM_TOM)^B1387+SEASON_HRS_CAR*C1387*(1+DIM_CAR)^C1387</f>
        <v>554.9930018858696</v>
      </c>
      <c r="E1387" s="18">
        <f>(FARMER_FIELD_HRS+A1387*TEMP_HRS)-D1387</f>
        <v>4485.0069981141305</v>
      </c>
      <c r="F1387" s="21">
        <f>IF(E1387&lt;0,0,MIN(COUNTIF(Labor!$C$59:$C$88,"&lt;="&amp;E1387),MAXBED_MES,TOTAL_BEDS-B1387-C1387))</f>
        <v>30</v>
      </c>
      <c r="G1387" s="21">
        <f>B1387+C1387+F1387</f>
        <v>41</v>
      </c>
      <c r="H1387" s="22">
        <f>IF(E1387&lt;0,-999999999,B1387*(PRICE_TOM-FERT_TOM)+C1387*(PRICE_CAR-FERT_CAR)+F1387*(PRICE_MES-FERT_MES)-(FARMER_SALARY+A1387*TEMP_COST)-FIXED_COSTS)</f>
        <v>-59674</v>
      </c>
    </row>
    <row r="1388">
      <c r="A1388" s="5" t="n">
        <v>3</v>
      </c>
      <c r="B1388" s="5" t="n">
        <v>2</v>
      </c>
      <c r="C1388" s="5" t="n">
        <v>10</v>
      </c>
      <c r="D1388" s="18">
        <f>SEASON_HRS_TOM*B1388*(1+DIM_TOM)^B1388+SEASON_HRS_CAR*C1388*(1+DIM_CAR)^C1388</f>
        <v>601.825363258907</v>
      </c>
      <c r="E1388" s="18">
        <f>(FARMER_FIELD_HRS+A1388*TEMP_HRS)-D1388</f>
        <v>4438.174636741093</v>
      </c>
      <c r="F1388" s="21">
        <f>IF(E1388&lt;0,0,MIN(COUNTIF(Labor!$C$59:$C$88,"&lt;="&amp;E1388),MAXBED_MES,TOTAL_BEDS-B1388-C1388))</f>
        <v>30</v>
      </c>
      <c r="G1388" s="21">
        <f>B1388+C1388+F1388</f>
        <v>42</v>
      </c>
      <c r="H1388" s="22">
        <f>IF(E1388&lt;0,-999999999,B1388*(PRICE_TOM-FERT_TOM)+C1388*(PRICE_CAR-FERT_CAR)+F1388*(PRICE_MES-FERT_MES)-(FARMER_SALARY+A1388*TEMP_COST)-FIXED_COSTS)</f>
        <v>-58020</v>
      </c>
    </row>
    <row r="1389">
      <c r="A1389" s="5" t="n">
        <v>3</v>
      </c>
      <c r="B1389" s="5" t="n">
        <v>2</v>
      </c>
      <c r="C1389" s="5" t="n">
        <v>11</v>
      </c>
      <c r="D1389" s="18">
        <f>SEASON_HRS_TOM*B1389*(1+DIM_TOM)^B1389+SEASON_HRS_CAR*C1389*(1+DIM_CAR)^C1389</f>
        <v>650.7885970744177</v>
      </c>
      <c r="E1389" s="18">
        <f>(FARMER_FIELD_HRS+A1389*TEMP_HRS)-D1389</f>
        <v>4389.211402925583</v>
      </c>
      <c r="F1389" s="21">
        <f>IF(E1389&lt;0,0,MIN(COUNTIF(Labor!$C$59:$C$88,"&lt;="&amp;E1389),MAXBED_MES,TOTAL_BEDS-B1389-C1389))</f>
        <v>30</v>
      </c>
      <c r="G1389" s="21">
        <f>B1389+C1389+F1389</f>
        <v>43</v>
      </c>
      <c r="H1389" s="22">
        <f>IF(E1389&lt;0,-999999999,B1389*(PRICE_TOM-FERT_TOM)+C1389*(PRICE_CAR-FERT_CAR)+F1389*(PRICE_MES-FERT_MES)-(FARMER_SALARY+A1389*TEMP_COST)-FIXED_COSTS)</f>
        <v>-56366</v>
      </c>
    </row>
    <row r="1390">
      <c r="A1390" s="5" t="n">
        <v>3</v>
      </c>
      <c r="B1390" s="5" t="n">
        <v>2</v>
      </c>
      <c r="C1390" s="5" t="n">
        <v>12</v>
      </c>
      <c r="D1390" s="18">
        <f>SEASON_HRS_TOM*B1390*(1+DIM_TOM)^B1390+SEASON_HRS_CAR*C1390*(1+DIM_CAR)^C1390</f>
        <v>701.959976728667</v>
      </c>
      <c r="E1390" s="18">
        <f>(FARMER_FIELD_HRS+A1390*TEMP_HRS)-D1390</f>
        <v>4338.040023271333</v>
      </c>
      <c r="F1390" s="21">
        <f>IF(E1390&lt;0,0,MIN(COUNTIF(Labor!$C$59:$C$88,"&lt;="&amp;E1390),MAXBED_MES,TOTAL_BEDS-B1390-C1390))</f>
        <v>30</v>
      </c>
      <c r="G1390" s="21">
        <f>B1390+C1390+F1390</f>
        <v>44</v>
      </c>
      <c r="H1390" s="22">
        <f>IF(E1390&lt;0,-999999999,B1390*(PRICE_TOM-FERT_TOM)+C1390*(PRICE_CAR-FERT_CAR)+F1390*(PRICE_MES-FERT_MES)-(FARMER_SALARY+A1390*TEMP_COST)-FIXED_COSTS)</f>
        <v>-54712</v>
      </c>
    </row>
    <row r="1391">
      <c r="A1391" s="5" t="n">
        <v>3</v>
      </c>
      <c r="B1391" s="5" t="n">
        <v>2</v>
      </c>
      <c r="C1391" s="5" t="n">
        <v>13</v>
      </c>
      <c r="D1391" s="18">
        <f>SEASON_HRS_TOM*B1391*(1+DIM_TOM)^B1391+SEASON_HRS_CAR*C1391*(1+DIM_CAR)^C1391</f>
        <v>755.4193074924572</v>
      </c>
      <c r="E1391" s="18">
        <f>(FARMER_FIELD_HRS+A1391*TEMP_HRS)-D1391</f>
        <v>4284.580692507543</v>
      </c>
      <c r="F1391" s="21">
        <f>IF(E1391&lt;0,0,MIN(COUNTIF(Labor!$C$59:$C$88,"&lt;="&amp;E1391),MAXBED_MES,TOTAL_BEDS-B1391-C1391))</f>
        <v>30</v>
      </c>
      <c r="G1391" s="21">
        <f>B1391+C1391+F1391</f>
        <v>45</v>
      </c>
      <c r="H1391" s="22">
        <f>IF(E1391&lt;0,-999999999,B1391*(PRICE_TOM-FERT_TOM)+C1391*(PRICE_CAR-FERT_CAR)+F1391*(PRICE_MES-FERT_MES)-(FARMER_SALARY+A1391*TEMP_COST)-FIXED_COSTS)</f>
        <v>-53058</v>
      </c>
    </row>
    <row r="1392">
      <c r="A1392" s="5" t="n">
        <v>3</v>
      </c>
      <c r="B1392" s="5" t="n">
        <v>2</v>
      </c>
      <c r="C1392" s="5" t="n">
        <v>14</v>
      </c>
      <c r="D1392" s="18">
        <f>SEASON_HRS_TOM*B1392*(1+DIM_TOM)^B1392+SEASON_HRS_CAR*C1392*(1+DIM_CAR)^C1392</f>
        <v>811.2490048089817</v>
      </c>
      <c r="E1392" s="18">
        <f>(FARMER_FIELD_HRS+A1392*TEMP_HRS)-D1392</f>
        <v>4228.750995191018</v>
      </c>
      <c r="F1392" s="21">
        <f>IF(E1392&lt;0,0,MIN(COUNTIF(Labor!$C$59:$C$88,"&lt;="&amp;E1392),MAXBED_MES,TOTAL_BEDS-B1392-C1392))</f>
        <v>30</v>
      </c>
      <c r="G1392" s="21">
        <f>B1392+C1392+F1392</f>
        <v>46</v>
      </c>
      <c r="H1392" s="22">
        <f>IF(E1392&lt;0,-999999999,B1392*(PRICE_TOM-FERT_TOM)+C1392*(PRICE_CAR-FERT_CAR)+F1392*(PRICE_MES-FERT_MES)-(FARMER_SALARY+A1392*TEMP_COST)-FIXED_COSTS)</f>
        <v>-51404</v>
      </c>
    </row>
    <row r="1393">
      <c r="A1393" s="5" t="n">
        <v>3</v>
      </c>
      <c r="B1393" s="5" t="n">
        <v>2</v>
      </c>
      <c r="C1393" s="5" t="n">
        <v>15</v>
      </c>
      <c r="D1393" s="18">
        <f>SEASON_HRS_TOM*B1393*(1+DIM_TOM)^B1393+SEASON_HRS_CAR*C1393*(1+DIM_CAR)^C1393</f>
        <v>869.5341749241494</v>
      </c>
      <c r="E1393" s="18">
        <f>(FARMER_FIELD_HRS+A1393*TEMP_HRS)-D1393</f>
        <v>4170.46582507585</v>
      </c>
      <c r="F1393" s="21">
        <f>IF(E1393&lt;0,0,MIN(COUNTIF(Labor!$C$59:$C$88,"&lt;="&amp;E1393),MAXBED_MES,TOTAL_BEDS-B1393-C1393))</f>
        <v>30</v>
      </c>
      <c r="G1393" s="21">
        <f>B1393+C1393+F1393</f>
        <v>47</v>
      </c>
      <c r="H1393" s="22">
        <f>IF(E1393&lt;0,-999999999,B1393*(PRICE_TOM-FERT_TOM)+C1393*(PRICE_CAR-FERT_CAR)+F1393*(PRICE_MES-FERT_MES)-(FARMER_SALARY+A1393*TEMP_COST)-FIXED_COSTS)</f>
        <v>-49750</v>
      </c>
    </row>
    <row r="1394">
      <c r="A1394" s="5" t="n">
        <v>3</v>
      </c>
      <c r="B1394" s="5" t="n">
        <v>2</v>
      </c>
      <c r="C1394" s="5" t="n">
        <v>16</v>
      </c>
      <c r="D1394" s="18">
        <f>SEASON_HRS_TOM*B1394*(1+DIM_TOM)^B1394+SEASON_HRS_CAR*C1394*(1+DIM_CAR)^C1394</f>
        <v>930.3626979170699</v>
      </c>
      <c r="E1394" s="18">
        <f>(FARMER_FIELD_HRS+A1394*TEMP_HRS)-D1394</f>
        <v>4109.637302082931</v>
      </c>
      <c r="F1394" s="21">
        <f>IF(E1394&lt;0,0,MIN(COUNTIF(Labor!$C$59:$C$88,"&lt;="&amp;E1394),MAXBED_MES,TOTAL_BEDS-B1394-C1394))</f>
        <v>30</v>
      </c>
      <c r="G1394" s="21">
        <f>B1394+C1394+F1394</f>
        <v>48</v>
      </c>
      <c r="H1394" s="22">
        <f>IF(E1394&lt;0,-999999999,B1394*(PRICE_TOM-FERT_TOM)+C1394*(PRICE_CAR-FERT_CAR)+F1394*(PRICE_MES-FERT_MES)-(FARMER_SALARY+A1394*TEMP_COST)-FIXED_COSTS)</f>
        <v>-48096</v>
      </c>
    </row>
    <row r="1395">
      <c r="A1395" s="5" t="n">
        <v>3</v>
      </c>
      <c r="B1395" s="5" t="n">
        <v>2</v>
      </c>
      <c r="C1395" s="5" t="n">
        <v>17</v>
      </c>
      <c r="D1395" s="18">
        <f>SEASON_HRS_TOM*B1395*(1+DIM_TOM)^B1395+SEASON_HRS_CAR*C1395*(1+DIM_CAR)^C1395</f>
        <v>993.8253132003089</v>
      </c>
      <c r="E1395" s="18">
        <f>(FARMER_FIELD_HRS+A1395*TEMP_HRS)-D1395</f>
        <v>4046.1746867996912</v>
      </c>
      <c r="F1395" s="21">
        <f>IF(E1395&lt;0,0,MIN(COUNTIF(Labor!$C$59:$C$88,"&lt;="&amp;E1395),MAXBED_MES,TOTAL_BEDS-B1395-C1395))</f>
        <v>30</v>
      </c>
      <c r="G1395" s="21">
        <f>B1395+C1395+F1395</f>
        <v>49</v>
      </c>
      <c r="H1395" s="22">
        <f>IF(E1395&lt;0,-999999999,B1395*(PRICE_TOM-FERT_TOM)+C1395*(PRICE_CAR-FERT_CAR)+F1395*(PRICE_MES-FERT_MES)-(FARMER_SALARY+A1395*TEMP_COST)-FIXED_COSTS)</f>
        <v>-46442</v>
      </c>
    </row>
    <row r="1396">
      <c r="A1396" s="5" t="n">
        <v>3</v>
      </c>
      <c r="B1396" s="5" t="n">
        <v>2</v>
      </c>
      <c r="C1396" s="5" t="n">
        <v>18</v>
      </c>
      <c r="D1396" s="18">
        <f>SEASON_HRS_TOM*B1396*(1+DIM_TOM)^B1396+SEASON_HRS_CAR*C1396*(1+DIM_CAR)^C1396</f>
        <v>1060.0157075615116</v>
      </c>
      <c r="E1396" s="18">
        <f>(FARMER_FIELD_HRS+A1396*TEMP_HRS)-D1396</f>
        <v>3979.9842924384884</v>
      </c>
      <c r="F1396" s="21">
        <f>IF(E1396&lt;0,0,MIN(COUNTIF(Labor!$C$59:$C$88,"&lt;="&amp;E1396),MAXBED_MES,TOTAL_BEDS-B1396-C1396))</f>
        <v>30</v>
      </c>
      <c r="G1396" s="21">
        <f>B1396+C1396+F1396</f>
        <v>50</v>
      </c>
      <c r="H1396" s="22">
        <f>IF(E1396&lt;0,-999999999,B1396*(PRICE_TOM-FERT_TOM)+C1396*(PRICE_CAR-FERT_CAR)+F1396*(PRICE_MES-FERT_MES)-(FARMER_SALARY+A1396*TEMP_COST)-FIXED_COSTS)</f>
        <v>-44788</v>
      </c>
    </row>
    <row r="1397">
      <c r="A1397" s="5" t="n">
        <v>3</v>
      </c>
      <c r="B1397" s="5" t="n">
        <v>2</v>
      </c>
      <c r="C1397" s="5" t="n">
        <v>19</v>
      </c>
      <c r="D1397" s="18">
        <f>SEASON_HRS_TOM*B1397*(1+DIM_TOM)^B1397+SEASON_HRS_CAR*C1397*(1+DIM_CAR)^C1397</f>
        <v>1129.0306058200242</v>
      </c>
      <c r="E1397" s="18">
        <f>(FARMER_FIELD_HRS+A1397*TEMP_HRS)-D1397</f>
        <v>3910.969394179976</v>
      </c>
      <c r="F1397" s="21">
        <f>IF(E1397&lt;0,0,MIN(COUNTIF(Labor!$C$59:$C$88,"&lt;="&amp;E1397),MAXBED_MES,TOTAL_BEDS-B1397-C1397))</f>
        <v>30</v>
      </c>
      <c r="G1397" s="21">
        <f>B1397+C1397+F1397</f>
        <v>51</v>
      </c>
      <c r="H1397" s="22">
        <f>IF(E1397&lt;0,-999999999,B1397*(PRICE_TOM-FERT_TOM)+C1397*(PRICE_CAR-FERT_CAR)+F1397*(PRICE_MES-FERT_MES)-(FARMER_SALARY+A1397*TEMP_COST)-FIXED_COSTS)</f>
        <v>-43134</v>
      </c>
    </row>
    <row r="1398">
      <c r="A1398" s="5" t="n">
        <v>3</v>
      </c>
      <c r="B1398" s="5" t="n">
        <v>2</v>
      </c>
      <c r="C1398" s="5" t="n">
        <v>20</v>
      </c>
      <c r="D1398" s="18">
        <f>SEASON_HRS_TOM*B1398*(1+DIM_TOM)^B1398+SEASON_HRS_CAR*C1398*(1+DIM_CAR)^C1398</f>
        <v>1200.9698641742366</v>
      </c>
      <c r="E1398" s="18">
        <f>(FARMER_FIELD_HRS+A1398*TEMP_HRS)-D1398</f>
        <v>3839.0301358257634</v>
      </c>
      <c r="F1398" s="21">
        <f>IF(E1398&lt;0,0,MIN(COUNTIF(Labor!$C$59:$C$88,"&lt;="&amp;E1398),MAXBED_MES,TOTAL_BEDS-B1398-C1398))</f>
        <v>30</v>
      </c>
      <c r="G1398" s="21">
        <f>B1398+C1398+F1398</f>
        <v>52</v>
      </c>
      <c r="H1398" s="22">
        <f>IF(E1398&lt;0,-999999999,B1398*(PRICE_TOM-FERT_TOM)+C1398*(PRICE_CAR-FERT_CAR)+F1398*(PRICE_MES-FERT_MES)-(FARMER_SALARY+A1398*TEMP_COST)-FIXED_COSTS)</f>
        <v>-41480</v>
      </c>
    </row>
    <row r="1399">
      <c r="A1399" s="5" t="n">
        <v>3</v>
      </c>
      <c r="B1399" s="5" t="n">
        <v>3</v>
      </c>
      <c r="C1399" s="5" t="n">
        <v>0</v>
      </c>
      <c r="D1399" s="18">
        <f>SEASON_HRS_TOM*B1399*(1+DIM_TOM)^B1399+SEASON_HRS_CAR*C1399*(1+DIM_CAR)^C1399</f>
        <v>359.3700000000001</v>
      </c>
      <c r="E1399" s="18">
        <f>(FARMER_FIELD_HRS+A1399*TEMP_HRS)-D1399</f>
        <v>4680.63</v>
      </c>
      <c r="F1399" s="21">
        <f>IF(E1399&lt;0,0,MIN(COUNTIF(Labor!$C$59:$C$88,"&lt;="&amp;E1399),MAXBED_MES,TOTAL_BEDS-B1399-C1399))</f>
        <v>30</v>
      </c>
      <c r="G1399" s="21">
        <f>B1399+C1399+F1399</f>
        <v>33</v>
      </c>
      <c r="H1399" s="22">
        <f>IF(E1399&lt;0,-999999999,B1399*(PRICE_TOM-FERT_TOM)+C1399*(PRICE_CAR-FERT_CAR)+F1399*(PRICE_MES-FERT_MES)-(FARMER_SALARY+A1399*TEMP_COST)-FIXED_COSTS)</f>
        <v>-66640</v>
      </c>
    </row>
    <row r="1400">
      <c r="A1400" s="5" t="n">
        <v>3</v>
      </c>
      <c r="B1400" s="5" t="n">
        <v>3</v>
      </c>
      <c r="C1400" s="5" t="n">
        <v>1</v>
      </c>
      <c r="D1400" s="18">
        <f>SEASON_HRS_TOM*B1400*(1+DIM_TOM)^B1400+SEASON_HRS_CAR*C1400*(1+DIM_CAR)^C1400</f>
        <v>390.1200000000001</v>
      </c>
      <c r="E1400" s="18">
        <f>(FARMER_FIELD_HRS+A1400*TEMP_HRS)-D1400</f>
        <v>4649.88</v>
      </c>
      <c r="F1400" s="21">
        <f>IF(E1400&lt;0,0,MIN(COUNTIF(Labor!$C$59:$C$88,"&lt;="&amp;E1400),MAXBED_MES,TOTAL_BEDS-B1400-C1400))</f>
        <v>30</v>
      </c>
      <c r="G1400" s="21">
        <f>B1400+C1400+F1400</f>
        <v>34</v>
      </c>
      <c r="H1400" s="22">
        <f>IF(E1400&lt;0,-999999999,B1400*(PRICE_TOM-FERT_TOM)+C1400*(PRICE_CAR-FERT_CAR)+F1400*(PRICE_MES-FERT_MES)-(FARMER_SALARY+A1400*TEMP_COST)-FIXED_COSTS)</f>
        <v>-64986</v>
      </c>
    </row>
    <row r="1401">
      <c r="A1401" s="5" t="n">
        <v>3</v>
      </c>
      <c r="B1401" s="5" t="n">
        <v>3</v>
      </c>
      <c r="C1401" s="5" t="n">
        <v>2</v>
      </c>
      <c r="D1401" s="18">
        <f>SEASON_HRS_TOM*B1401*(1+DIM_TOM)^B1401+SEASON_HRS_CAR*C1401*(1+DIM_CAR)^C1401</f>
        <v>422.40750000000014</v>
      </c>
      <c r="E1401" s="18">
        <f>(FARMER_FIELD_HRS+A1401*TEMP_HRS)-D1401</f>
        <v>4617.5925</v>
      </c>
      <c r="F1401" s="21">
        <f>IF(E1401&lt;0,0,MIN(COUNTIF(Labor!$C$59:$C$88,"&lt;="&amp;E1401),MAXBED_MES,TOTAL_BEDS-B1401-C1401))</f>
        <v>30</v>
      </c>
      <c r="G1401" s="21">
        <f>B1401+C1401+F1401</f>
        <v>35</v>
      </c>
      <c r="H1401" s="22">
        <f>IF(E1401&lt;0,-999999999,B1401*(PRICE_TOM-FERT_TOM)+C1401*(PRICE_CAR-FERT_CAR)+F1401*(PRICE_MES-FERT_MES)-(FARMER_SALARY+A1401*TEMP_COST)-FIXED_COSTS)</f>
        <v>-63332</v>
      </c>
    </row>
    <row r="1402">
      <c r="A1402" s="5" t="n">
        <v>3</v>
      </c>
      <c r="B1402" s="5" t="n">
        <v>3</v>
      </c>
      <c r="C1402" s="5" t="n">
        <v>3</v>
      </c>
      <c r="D1402" s="18">
        <f>SEASON_HRS_TOM*B1402*(1+DIM_TOM)^B1402+SEASON_HRS_CAR*C1402*(1+DIM_CAR)^C1402</f>
        <v>456.2901562500001</v>
      </c>
      <c r="E1402" s="18">
        <f>(FARMER_FIELD_HRS+A1402*TEMP_HRS)-D1402</f>
        <v>4583.70984375</v>
      </c>
      <c r="F1402" s="21">
        <f>IF(E1402&lt;0,0,MIN(COUNTIF(Labor!$C$59:$C$88,"&lt;="&amp;E1402),MAXBED_MES,TOTAL_BEDS-B1402-C1402))</f>
        <v>30</v>
      </c>
      <c r="G1402" s="21">
        <f>B1402+C1402+F1402</f>
        <v>36</v>
      </c>
      <c r="H1402" s="22">
        <f>IF(E1402&lt;0,-999999999,B1402*(PRICE_TOM-FERT_TOM)+C1402*(PRICE_CAR-FERT_CAR)+F1402*(PRICE_MES-FERT_MES)-(FARMER_SALARY+A1402*TEMP_COST)-FIXED_COSTS)</f>
        <v>-61678</v>
      </c>
    </row>
    <row r="1403">
      <c r="A1403" s="5" t="n">
        <v>3</v>
      </c>
      <c r="B1403" s="5" t="n">
        <v>3</v>
      </c>
      <c r="C1403" s="5" t="n">
        <v>4</v>
      </c>
      <c r="D1403" s="18">
        <f>SEASON_HRS_TOM*B1403*(1+DIM_TOM)^B1403+SEASON_HRS_CAR*C1403*(1+DIM_CAR)^C1403</f>
        <v>491.82754687500005</v>
      </c>
      <c r="E1403" s="18">
        <f>(FARMER_FIELD_HRS+A1403*TEMP_HRS)-D1403</f>
        <v>4548.172453125</v>
      </c>
      <c r="F1403" s="21">
        <f>IF(E1403&lt;0,0,MIN(COUNTIF(Labor!$C$59:$C$88,"&lt;="&amp;E1403),MAXBED_MES,TOTAL_BEDS-B1403-C1403))</f>
        <v>30</v>
      </c>
      <c r="G1403" s="21">
        <f>B1403+C1403+F1403</f>
        <v>37</v>
      </c>
      <c r="H1403" s="22">
        <f>IF(E1403&lt;0,-999999999,B1403*(PRICE_TOM-FERT_TOM)+C1403*(PRICE_CAR-FERT_CAR)+F1403*(PRICE_MES-FERT_MES)-(FARMER_SALARY+A1403*TEMP_COST)-FIXED_COSTS)</f>
        <v>-60024</v>
      </c>
    </row>
    <row r="1404">
      <c r="A1404" s="5" t="n">
        <v>3</v>
      </c>
      <c r="B1404" s="5" t="n">
        <v>3</v>
      </c>
      <c r="C1404" s="5" t="n">
        <v>5</v>
      </c>
      <c r="D1404" s="18">
        <f>SEASON_HRS_TOM*B1404*(1+DIM_TOM)^B1404+SEASON_HRS_CAR*C1404*(1+DIM_CAR)^C1404</f>
        <v>529.0812319335938</v>
      </c>
      <c r="E1404" s="18">
        <f>(FARMER_FIELD_HRS+A1404*TEMP_HRS)-D1404</f>
        <v>4510.918768066406</v>
      </c>
      <c r="F1404" s="21">
        <f>IF(E1404&lt;0,0,MIN(COUNTIF(Labor!$C$59:$C$88,"&lt;="&amp;E1404),MAXBED_MES,TOTAL_BEDS-B1404-C1404))</f>
        <v>30</v>
      </c>
      <c r="G1404" s="21">
        <f>B1404+C1404+F1404</f>
        <v>38</v>
      </c>
      <c r="H1404" s="22">
        <f>IF(E1404&lt;0,-999999999,B1404*(PRICE_TOM-FERT_TOM)+C1404*(PRICE_CAR-FERT_CAR)+F1404*(PRICE_MES-FERT_MES)-(FARMER_SALARY+A1404*TEMP_COST)-FIXED_COSTS)</f>
        <v>-58370</v>
      </c>
    </row>
    <row r="1405">
      <c r="A1405" s="5" t="n">
        <v>3</v>
      </c>
      <c r="B1405" s="5" t="n">
        <v>3</v>
      </c>
      <c r="C1405" s="5" t="n">
        <v>6</v>
      </c>
      <c r="D1405" s="18">
        <f>SEASON_HRS_TOM*B1405*(1+DIM_TOM)^B1405+SEASON_HRS_CAR*C1405*(1+DIM_CAR)^C1405</f>
        <v>568.1148152783203</v>
      </c>
      <c r="E1405" s="18">
        <f>(FARMER_FIELD_HRS+A1405*TEMP_HRS)-D1405</f>
        <v>4471.885184721679</v>
      </c>
      <c r="F1405" s="21">
        <f>IF(E1405&lt;0,0,MIN(COUNTIF(Labor!$C$59:$C$88,"&lt;="&amp;E1405),MAXBED_MES,TOTAL_BEDS-B1405-C1405))</f>
        <v>30</v>
      </c>
      <c r="G1405" s="21">
        <f>B1405+C1405+F1405</f>
        <v>39</v>
      </c>
      <c r="H1405" s="22">
        <f>IF(E1405&lt;0,-999999999,B1405*(PRICE_TOM-FERT_TOM)+C1405*(PRICE_CAR-FERT_CAR)+F1405*(PRICE_MES-FERT_MES)-(FARMER_SALARY+A1405*TEMP_COST)-FIXED_COSTS)</f>
        <v>-56716</v>
      </c>
    </row>
    <row r="1406">
      <c r="A1406" s="5" t="n">
        <v>3</v>
      </c>
      <c r="B1406" s="5" t="n">
        <v>3</v>
      </c>
      <c r="C1406" s="5" t="n">
        <v>7</v>
      </c>
      <c r="D1406" s="18">
        <f>SEASON_HRS_TOM*B1406*(1+DIM_TOM)^B1406+SEASON_HRS_CAR*C1406*(1+DIM_CAR)^C1406</f>
        <v>608.9940082703247</v>
      </c>
      <c r="E1406" s="18">
        <f>(FARMER_FIELD_HRS+A1406*TEMP_HRS)-D1406</f>
        <v>4431.005991729675</v>
      </c>
      <c r="F1406" s="21">
        <f>IF(E1406&lt;0,0,MIN(COUNTIF(Labor!$C$59:$C$88,"&lt;="&amp;E1406),MAXBED_MES,TOTAL_BEDS-B1406-C1406))</f>
        <v>30</v>
      </c>
      <c r="G1406" s="21">
        <f>B1406+C1406+F1406</f>
        <v>40</v>
      </c>
      <c r="H1406" s="22">
        <f>IF(E1406&lt;0,-999999999,B1406*(PRICE_TOM-FERT_TOM)+C1406*(PRICE_CAR-FERT_CAR)+F1406*(PRICE_MES-FERT_MES)-(FARMER_SALARY+A1406*TEMP_COST)-FIXED_COSTS)</f>
        <v>-55062</v>
      </c>
    </row>
    <row r="1407">
      <c r="A1407" s="5" t="n">
        <v>3</v>
      </c>
      <c r="B1407" s="5" t="n">
        <v>3</v>
      </c>
      <c r="C1407" s="5" t="n">
        <v>8</v>
      </c>
      <c r="D1407" s="18">
        <f>SEASON_HRS_TOM*B1407*(1+DIM_TOM)^B1407+SEASON_HRS_CAR*C1407*(1+DIM_CAR)^C1407</f>
        <v>651.7866954023802</v>
      </c>
      <c r="E1407" s="18">
        <f>(FARMER_FIELD_HRS+A1407*TEMP_HRS)-D1407</f>
        <v>4388.21330459762</v>
      </c>
      <c r="F1407" s="21">
        <f>IF(E1407&lt;0,0,MIN(COUNTIF(Labor!$C$59:$C$88,"&lt;="&amp;E1407),MAXBED_MES,TOTAL_BEDS-B1407-C1407))</f>
        <v>30</v>
      </c>
      <c r="G1407" s="21">
        <f>B1407+C1407+F1407</f>
        <v>41</v>
      </c>
      <c r="H1407" s="22">
        <f>IF(E1407&lt;0,-999999999,B1407*(PRICE_TOM-FERT_TOM)+C1407*(PRICE_CAR-FERT_CAR)+F1407*(PRICE_MES-FERT_MES)-(FARMER_SALARY+A1407*TEMP_COST)-FIXED_COSTS)</f>
        <v>-53408</v>
      </c>
    </row>
    <row r="1408">
      <c r="A1408" s="5" t="n">
        <v>3</v>
      </c>
      <c r="B1408" s="5" t="n">
        <v>3</v>
      </c>
      <c r="C1408" s="5" t="n">
        <v>9</v>
      </c>
      <c r="D1408" s="18">
        <f>SEASON_HRS_TOM*B1408*(1+DIM_TOM)^B1408+SEASON_HRS_CAR*C1408*(1+DIM_CAR)^C1408</f>
        <v>696.5630018858697</v>
      </c>
      <c r="E1408" s="18">
        <f>(FARMER_FIELD_HRS+A1408*TEMP_HRS)-D1408</f>
        <v>4343.43699811413</v>
      </c>
      <c r="F1408" s="21">
        <f>IF(E1408&lt;0,0,MIN(COUNTIF(Labor!$C$59:$C$88,"&lt;="&amp;E1408),MAXBED_MES,TOTAL_BEDS-B1408-C1408))</f>
        <v>30</v>
      </c>
      <c r="G1408" s="21">
        <f>B1408+C1408+F1408</f>
        <v>42</v>
      </c>
      <c r="H1408" s="22">
        <f>IF(E1408&lt;0,-999999999,B1408*(PRICE_TOM-FERT_TOM)+C1408*(PRICE_CAR-FERT_CAR)+F1408*(PRICE_MES-FERT_MES)-(FARMER_SALARY+A1408*TEMP_COST)-FIXED_COSTS)</f>
        <v>-51754</v>
      </c>
    </row>
    <row r="1409">
      <c r="A1409" s="5" t="n">
        <v>3</v>
      </c>
      <c r="B1409" s="5" t="n">
        <v>3</v>
      </c>
      <c r="C1409" s="5" t="n">
        <v>10</v>
      </c>
      <c r="D1409" s="18">
        <f>SEASON_HRS_TOM*B1409*(1+DIM_TOM)^B1409+SEASON_HRS_CAR*C1409*(1+DIM_CAR)^C1409</f>
        <v>743.3953632589071</v>
      </c>
      <c r="E1409" s="18">
        <f>(FARMER_FIELD_HRS+A1409*TEMP_HRS)-D1409</f>
        <v>4296.604636741093</v>
      </c>
      <c r="F1409" s="21">
        <f>IF(E1409&lt;0,0,MIN(COUNTIF(Labor!$C$59:$C$88,"&lt;="&amp;E1409),MAXBED_MES,TOTAL_BEDS-B1409-C1409))</f>
        <v>30</v>
      </c>
      <c r="G1409" s="21">
        <f>B1409+C1409+F1409</f>
        <v>43</v>
      </c>
      <c r="H1409" s="22">
        <f>IF(E1409&lt;0,-999999999,B1409*(PRICE_TOM-FERT_TOM)+C1409*(PRICE_CAR-FERT_CAR)+F1409*(PRICE_MES-FERT_MES)-(FARMER_SALARY+A1409*TEMP_COST)-FIXED_COSTS)</f>
        <v>-50100</v>
      </c>
    </row>
    <row r="1410">
      <c r="A1410" s="5" t="n">
        <v>3</v>
      </c>
      <c r="B1410" s="5" t="n">
        <v>3</v>
      </c>
      <c r="C1410" s="5" t="n">
        <v>11</v>
      </c>
      <c r="D1410" s="18">
        <f>SEASON_HRS_TOM*B1410*(1+DIM_TOM)^B1410+SEASON_HRS_CAR*C1410*(1+DIM_CAR)^C1410</f>
        <v>792.3585970744177</v>
      </c>
      <c r="E1410" s="18">
        <f>(FARMER_FIELD_HRS+A1410*TEMP_HRS)-D1410</f>
        <v>4247.641402925582</v>
      </c>
      <c r="F1410" s="21">
        <f>IF(E1410&lt;0,0,MIN(COUNTIF(Labor!$C$59:$C$88,"&lt;="&amp;E1410),MAXBED_MES,TOTAL_BEDS-B1410-C1410))</f>
        <v>30</v>
      </c>
      <c r="G1410" s="21">
        <f>B1410+C1410+F1410</f>
        <v>44</v>
      </c>
      <c r="H1410" s="22">
        <f>IF(E1410&lt;0,-999999999,B1410*(PRICE_TOM-FERT_TOM)+C1410*(PRICE_CAR-FERT_CAR)+F1410*(PRICE_MES-FERT_MES)-(FARMER_SALARY+A1410*TEMP_COST)-FIXED_COSTS)</f>
        <v>-48446</v>
      </c>
    </row>
    <row r="1411">
      <c r="A1411" s="5" t="n">
        <v>3</v>
      </c>
      <c r="B1411" s="5" t="n">
        <v>3</v>
      </c>
      <c r="C1411" s="5" t="n">
        <v>12</v>
      </c>
      <c r="D1411" s="18">
        <f>SEASON_HRS_TOM*B1411*(1+DIM_TOM)^B1411+SEASON_HRS_CAR*C1411*(1+DIM_CAR)^C1411</f>
        <v>843.5299767286671</v>
      </c>
      <c r="E1411" s="18">
        <f>(FARMER_FIELD_HRS+A1411*TEMP_HRS)-D1411</f>
        <v>4196.470023271333</v>
      </c>
      <c r="F1411" s="21">
        <f>IF(E1411&lt;0,0,MIN(COUNTIF(Labor!$C$59:$C$88,"&lt;="&amp;E1411),MAXBED_MES,TOTAL_BEDS-B1411-C1411))</f>
        <v>30</v>
      </c>
      <c r="G1411" s="21">
        <f>B1411+C1411+F1411</f>
        <v>45</v>
      </c>
      <c r="H1411" s="22">
        <f>IF(E1411&lt;0,-999999999,B1411*(PRICE_TOM-FERT_TOM)+C1411*(PRICE_CAR-FERT_CAR)+F1411*(PRICE_MES-FERT_MES)-(FARMER_SALARY+A1411*TEMP_COST)-FIXED_COSTS)</f>
        <v>-46792</v>
      </c>
    </row>
    <row r="1412">
      <c r="A1412" s="5" t="n">
        <v>3</v>
      </c>
      <c r="B1412" s="5" t="n">
        <v>3</v>
      </c>
      <c r="C1412" s="5" t="n">
        <v>13</v>
      </c>
      <c r="D1412" s="18">
        <f>SEASON_HRS_TOM*B1412*(1+DIM_TOM)^B1412+SEASON_HRS_CAR*C1412*(1+DIM_CAR)^C1412</f>
        <v>896.9893074924572</v>
      </c>
      <c r="E1412" s="18">
        <f>(FARMER_FIELD_HRS+A1412*TEMP_HRS)-D1412</f>
        <v>4143.010692507542</v>
      </c>
      <c r="F1412" s="21">
        <f>IF(E1412&lt;0,0,MIN(COUNTIF(Labor!$C$59:$C$88,"&lt;="&amp;E1412),MAXBED_MES,TOTAL_BEDS-B1412-C1412))</f>
        <v>30</v>
      </c>
      <c r="G1412" s="21">
        <f>B1412+C1412+F1412</f>
        <v>46</v>
      </c>
      <c r="H1412" s="22">
        <f>IF(E1412&lt;0,-999999999,B1412*(PRICE_TOM-FERT_TOM)+C1412*(PRICE_CAR-FERT_CAR)+F1412*(PRICE_MES-FERT_MES)-(FARMER_SALARY+A1412*TEMP_COST)-FIXED_COSTS)</f>
        <v>-45138</v>
      </c>
    </row>
    <row r="1413">
      <c r="A1413" s="5" t="n">
        <v>3</v>
      </c>
      <c r="B1413" s="5" t="n">
        <v>3</v>
      </c>
      <c r="C1413" s="5" t="n">
        <v>14</v>
      </c>
      <c r="D1413" s="18">
        <f>SEASON_HRS_TOM*B1413*(1+DIM_TOM)^B1413+SEASON_HRS_CAR*C1413*(1+DIM_CAR)^C1413</f>
        <v>952.8190048089817</v>
      </c>
      <c r="E1413" s="18">
        <f>(FARMER_FIELD_HRS+A1413*TEMP_HRS)-D1413</f>
        <v>4087.180995191018</v>
      </c>
      <c r="F1413" s="21">
        <f>IF(E1413&lt;0,0,MIN(COUNTIF(Labor!$C$59:$C$88,"&lt;="&amp;E1413),MAXBED_MES,TOTAL_BEDS-B1413-C1413))</f>
        <v>30</v>
      </c>
      <c r="G1413" s="21">
        <f>B1413+C1413+F1413</f>
        <v>47</v>
      </c>
      <c r="H1413" s="22">
        <f>IF(E1413&lt;0,-999999999,B1413*(PRICE_TOM-FERT_TOM)+C1413*(PRICE_CAR-FERT_CAR)+F1413*(PRICE_MES-FERT_MES)-(FARMER_SALARY+A1413*TEMP_COST)-FIXED_COSTS)</f>
        <v>-43484</v>
      </c>
    </row>
    <row r="1414">
      <c r="A1414" s="5" t="n">
        <v>3</v>
      </c>
      <c r="B1414" s="5" t="n">
        <v>3</v>
      </c>
      <c r="C1414" s="5" t="n">
        <v>15</v>
      </c>
      <c r="D1414" s="18">
        <f>SEASON_HRS_TOM*B1414*(1+DIM_TOM)^B1414+SEASON_HRS_CAR*C1414*(1+DIM_CAR)^C1414</f>
        <v>1011.1041749241494</v>
      </c>
      <c r="E1414" s="18">
        <f>(FARMER_FIELD_HRS+A1414*TEMP_HRS)-D1414</f>
        <v>4028.8958250758506</v>
      </c>
      <c r="F1414" s="21">
        <f>IF(E1414&lt;0,0,MIN(COUNTIF(Labor!$C$59:$C$88,"&lt;="&amp;E1414),MAXBED_MES,TOTAL_BEDS-B1414-C1414))</f>
        <v>30</v>
      </c>
      <c r="G1414" s="21">
        <f>B1414+C1414+F1414</f>
        <v>48</v>
      </c>
      <c r="H1414" s="22">
        <f>IF(E1414&lt;0,-999999999,B1414*(PRICE_TOM-FERT_TOM)+C1414*(PRICE_CAR-FERT_CAR)+F1414*(PRICE_MES-FERT_MES)-(FARMER_SALARY+A1414*TEMP_COST)-FIXED_COSTS)</f>
        <v>-41830</v>
      </c>
    </row>
    <row r="1415">
      <c r="A1415" s="5" t="n">
        <v>3</v>
      </c>
      <c r="B1415" s="5" t="n">
        <v>3</v>
      </c>
      <c r="C1415" s="5" t="n">
        <v>16</v>
      </c>
      <c r="D1415" s="18">
        <f>SEASON_HRS_TOM*B1415*(1+DIM_TOM)^B1415+SEASON_HRS_CAR*C1415*(1+DIM_CAR)^C1415</f>
        <v>1071.93269791707</v>
      </c>
      <c r="E1415" s="18">
        <f>(FARMER_FIELD_HRS+A1415*TEMP_HRS)-D1415</f>
        <v>3968.06730208293</v>
      </c>
      <c r="F1415" s="21">
        <f>IF(E1415&lt;0,0,MIN(COUNTIF(Labor!$C$59:$C$88,"&lt;="&amp;E1415),MAXBED_MES,TOTAL_BEDS-B1415-C1415))</f>
        <v>30</v>
      </c>
      <c r="G1415" s="21">
        <f>B1415+C1415+F1415</f>
        <v>49</v>
      </c>
      <c r="H1415" s="22">
        <f>IF(E1415&lt;0,-999999999,B1415*(PRICE_TOM-FERT_TOM)+C1415*(PRICE_CAR-FERT_CAR)+F1415*(PRICE_MES-FERT_MES)-(FARMER_SALARY+A1415*TEMP_COST)-FIXED_COSTS)</f>
        <v>-40176</v>
      </c>
    </row>
    <row r="1416">
      <c r="A1416" s="5" t="n">
        <v>3</v>
      </c>
      <c r="B1416" s="5" t="n">
        <v>3</v>
      </c>
      <c r="C1416" s="5" t="n">
        <v>17</v>
      </c>
      <c r="D1416" s="18">
        <f>SEASON_HRS_TOM*B1416*(1+DIM_TOM)^B1416+SEASON_HRS_CAR*C1416*(1+DIM_CAR)^C1416</f>
        <v>1135.395313200309</v>
      </c>
      <c r="E1416" s="18">
        <f>(FARMER_FIELD_HRS+A1416*TEMP_HRS)-D1416</f>
        <v>3904.604686799691</v>
      </c>
      <c r="F1416" s="21">
        <f>IF(E1416&lt;0,0,MIN(COUNTIF(Labor!$C$59:$C$88,"&lt;="&amp;E1416),MAXBED_MES,TOTAL_BEDS-B1416-C1416))</f>
        <v>30</v>
      </c>
      <c r="G1416" s="21">
        <f>B1416+C1416+F1416</f>
        <v>50</v>
      </c>
      <c r="H1416" s="22">
        <f>IF(E1416&lt;0,-999999999,B1416*(PRICE_TOM-FERT_TOM)+C1416*(PRICE_CAR-FERT_CAR)+F1416*(PRICE_MES-FERT_MES)-(FARMER_SALARY+A1416*TEMP_COST)-FIXED_COSTS)</f>
        <v>-38522</v>
      </c>
    </row>
    <row r="1417">
      <c r="A1417" s="5" t="n">
        <v>3</v>
      </c>
      <c r="B1417" s="5" t="n">
        <v>3</v>
      </c>
      <c r="C1417" s="5" t="n">
        <v>18</v>
      </c>
      <c r="D1417" s="18">
        <f>SEASON_HRS_TOM*B1417*(1+DIM_TOM)^B1417+SEASON_HRS_CAR*C1417*(1+DIM_CAR)^C1417</f>
        <v>1201.5857075615118</v>
      </c>
      <c r="E1417" s="18">
        <f>(FARMER_FIELD_HRS+A1417*TEMP_HRS)-D1417</f>
        <v>3838.4142924384882</v>
      </c>
      <c r="F1417" s="21">
        <f>IF(E1417&lt;0,0,MIN(COUNTIF(Labor!$C$59:$C$88,"&lt;="&amp;E1417),MAXBED_MES,TOTAL_BEDS-B1417-C1417))</f>
        <v>30</v>
      </c>
      <c r="G1417" s="21">
        <f>B1417+C1417+F1417</f>
        <v>51</v>
      </c>
      <c r="H1417" s="22">
        <f>IF(E1417&lt;0,-999999999,B1417*(PRICE_TOM-FERT_TOM)+C1417*(PRICE_CAR-FERT_CAR)+F1417*(PRICE_MES-FERT_MES)-(FARMER_SALARY+A1417*TEMP_COST)-FIXED_COSTS)</f>
        <v>-36868</v>
      </c>
    </row>
    <row r="1418">
      <c r="A1418" s="5" t="n">
        <v>3</v>
      </c>
      <c r="B1418" s="5" t="n">
        <v>3</v>
      </c>
      <c r="C1418" s="5" t="n">
        <v>19</v>
      </c>
      <c r="D1418" s="18">
        <f>SEASON_HRS_TOM*B1418*(1+DIM_TOM)^B1418+SEASON_HRS_CAR*C1418*(1+DIM_CAR)^C1418</f>
        <v>1270.6006058200242</v>
      </c>
      <c r="E1418" s="18">
        <f>(FARMER_FIELD_HRS+A1418*TEMP_HRS)-D1418</f>
        <v>3769.399394179976</v>
      </c>
      <c r="F1418" s="21">
        <f>IF(E1418&lt;0,0,MIN(COUNTIF(Labor!$C$59:$C$88,"&lt;="&amp;E1418),MAXBED_MES,TOTAL_BEDS-B1418-C1418))</f>
        <v>30</v>
      </c>
      <c r="G1418" s="21">
        <f>B1418+C1418+F1418</f>
        <v>52</v>
      </c>
      <c r="H1418" s="22">
        <f>IF(E1418&lt;0,-999999999,B1418*(PRICE_TOM-FERT_TOM)+C1418*(PRICE_CAR-FERT_CAR)+F1418*(PRICE_MES-FERT_MES)-(FARMER_SALARY+A1418*TEMP_COST)-FIXED_COSTS)</f>
        <v>-35214</v>
      </c>
    </row>
    <row r="1419">
      <c r="A1419" s="5" t="n">
        <v>3</v>
      </c>
      <c r="B1419" s="5" t="n">
        <v>3</v>
      </c>
      <c r="C1419" s="5" t="n">
        <v>20</v>
      </c>
      <c r="D1419" s="18">
        <f>SEASON_HRS_TOM*B1419*(1+DIM_TOM)^B1419+SEASON_HRS_CAR*C1419*(1+DIM_CAR)^C1419</f>
        <v>1342.5398641742368</v>
      </c>
      <c r="E1419" s="18">
        <f>(FARMER_FIELD_HRS+A1419*TEMP_HRS)-D1419</f>
        <v>3697.4601358257632</v>
      </c>
      <c r="F1419" s="21">
        <f>IF(E1419&lt;0,0,MIN(COUNTIF(Labor!$C$59:$C$88,"&lt;="&amp;E1419),MAXBED_MES,TOTAL_BEDS-B1419-C1419))</f>
        <v>30</v>
      </c>
      <c r="G1419" s="21">
        <f>B1419+C1419+F1419</f>
        <v>53</v>
      </c>
      <c r="H1419" s="22">
        <f>IF(E1419&lt;0,-999999999,B1419*(PRICE_TOM-FERT_TOM)+C1419*(PRICE_CAR-FERT_CAR)+F1419*(PRICE_MES-FERT_MES)-(FARMER_SALARY+A1419*TEMP_COST)-FIXED_COSTS)</f>
        <v>-33560</v>
      </c>
    </row>
    <row r="1420">
      <c r="A1420" s="5" t="n">
        <v>3</v>
      </c>
      <c r="B1420" s="5" t="n">
        <v>4</v>
      </c>
      <c r="C1420" s="5" t="n">
        <v>0</v>
      </c>
      <c r="D1420" s="18">
        <f>SEASON_HRS_TOM*B1420*(1+DIM_TOM)^B1420+SEASON_HRS_CAR*C1420*(1+DIM_CAR)^C1420</f>
        <v>527.0760000000001</v>
      </c>
      <c r="E1420" s="18">
        <f>(FARMER_FIELD_HRS+A1420*TEMP_HRS)-D1420</f>
        <v>4512.924</v>
      </c>
      <c r="F1420" s="21">
        <f>IF(E1420&lt;0,0,MIN(COUNTIF(Labor!$C$59:$C$88,"&lt;="&amp;E1420),MAXBED_MES,TOTAL_BEDS-B1420-C1420))</f>
        <v>30</v>
      </c>
      <c r="G1420" s="21">
        <f>B1420+C1420+F1420</f>
        <v>34</v>
      </c>
      <c r="H1420" s="22">
        <f>IF(E1420&lt;0,-999999999,B1420*(PRICE_TOM-FERT_TOM)+C1420*(PRICE_CAR-FERT_CAR)+F1420*(PRICE_MES-FERT_MES)-(FARMER_SALARY+A1420*TEMP_COST)-FIXED_COSTS)</f>
        <v>-58720</v>
      </c>
    </row>
    <row r="1421">
      <c r="A1421" s="5" t="n">
        <v>3</v>
      </c>
      <c r="B1421" s="5" t="n">
        <v>4</v>
      </c>
      <c r="C1421" s="5" t="n">
        <v>1</v>
      </c>
      <c r="D1421" s="18">
        <f>SEASON_HRS_TOM*B1421*(1+DIM_TOM)^B1421+SEASON_HRS_CAR*C1421*(1+DIM_CAR)^C1421</f>
        <v>557.8260000000001</v>
      </c>
      <c r="E1421" s="18">
        <f>(FARMER_FIELD_HRS+A1421*TEMP_HRS)-D1421</f>
        <v>4482.174</v>
      </c>
      <c r="F1421" s="21">
        <f>IF(E1421&lt;0,0,MIN(COUNTIF(Labor!$C$59:$C$88,"&lt;="&amp;E1421),MAXBED_MES,TOTAL_BEDS-B1421-C1421))</f>
        <v>30</v>
      </c>
      <c r="G1421" s="21">
        <f>B1421+C1421+F1421</f>
        <v>35</v>
      </c>
      <c r="H1421" s="22">
        <f>IF(E1421&lt;0,-999999999,B1421*(PRICE_TOM-FERT_TOM)+C1421*(PRICE_CAR-FERT_CAR)+F1421*(PRICE_MES-FERT_MES)-(FARMER_SALARY+A1421*TEMP_COST)-FIXED_COSTS)</f>
        <v>-57066</v>
      </c>
    </row>
    <row r="1422">
      <c r="A1422" s="5" t="n">
        <v>3</v>
      </c>
      <c r="B1422" s="5" t="n">
        <v>4</v>
      </c>
      <c r="C1422" s="5" t="n">
        <v>2</v>
      </c>
      <c r="D1422" s="18">
        <f>SEASON_HRS_TOM*B1422*(1+DIM_TOM)^B1422+SEASON_HRS_CAR*C1422*(1+DIM_CAR)^C1422</f>
        <v>590.1135000000002</v>
      </c>
      <c r="E1422" s="18">
        <f>(FARMER_FIELD_HRS+A1422*TEMP_HRS)-D1422</f>
        <v>4449.8865</v>
      </c>
      <c r="F1422" s="21">
        <f>IF(E1422&lt;0,0,MIN(COUNTIF(Labor!$C$59:$C$88,"&lt;="&amp;E1422),MAXBED_MES,TOTAL_BEDS-B1422-C1422))</f>
        <v>30</v>
      </c>
      <c r="G1422" s="21">
        <f>B1422+C1422+F1422</f>
        <v>36</v>
      </c>
      <c r="H1422" s="22">
        <f>IF(E1422&lt;0,-999999999,B1422*(PRICE_TOM-FERT_TOM)+C1422*(PRICE_CAR-FERT_CAR)+F1422*(PRICE_MES-FERT_MES)-(FARMER_SALARY+A1422*TEMP_COST)-FIXED_COSTS)</f>
        <v>-55412</v>
      </c>
    </row>
    <row r="1423">
      <c r="A1423" s="5" t="n">
        <v>3</v>
      </c>
      <c r="B1423" s="5" t="n">
        <v>4</v>
      </c>
      <c r="C1423" s="5" t="n">
        <v>3</v>
      </c>
      <c r="D1423" s="18">
        <f>SEASON_HRS_TOM*B1423*(1+DIM_TOM)^B1423+SEASON_HRS_CAR*C1423*(1+DIM_CAR)^C1423</f>
        <v>623.9961562500001</v>
      </c>
      <c r="E1423" s="18">
        <f>(FARMER_FIELD_HRS+A1423*TEMP_HRS)-D1423</f>
        <v>4416.00384375</v>
      </c>
      <c r="F1423" s="21">
        <f>IF(E1423&lt;0,0,MIN(COUNTIF(Labor!$C$59:$C$88,"&lt;="&amp;E1423),MAXBED_MES,TOTAL_BEDS-B1423-C1423))</f>
        <v>30</v>
      </c>
      <c r="G1423" s="21">
        <f>B1423+C1423+F1423</f>
        <v>37</v>
      </c>
      <c r="H1423" s="22">
        <f>IF(E1423&lt;0,-999999999,B1423*(PRICE_TOM-FERT_TOM)+C1423*(PRICE_CAR-FERT_CAR)+F1423*(PRICE_MES-FERT_MES)-(FARMER_SALARY+A1423*TEMP_COST)-FIXED_COSTS)</f>
        <v>-53758</v>
      </c>
    </row>
    <row r="1424">
      <c r="A1424" s="5" t="n">
        <v>3</v>
      </c>
      <c r="B1424" s="5" t="n">
        <v>4</v>
      </c>
      <c r="C1424" s="5" t="n">
        <v>4</v>
      </c>
      <c r="D1424" s="18">
        <f>SEASON_HRS_TOM*B1424*(1+DIM_TOM)^B1424+SEASON_HRS_CAR*C1424*(1+DIM_CAR)^C1424</f>
        <v>659.5335468750001</v>
      </c>
      <c r="E1424" s="18">
        <f>(FARMER_FIELD_HRS+A1424*TEMP_HRS)-D1424</f>
        <v>4380.466453125</v>
      </c>
      <c r="F1424" s="21">
        <f>IF(E1424&lt;0,0,MIN(COUNTIF(Labor!$C$59:$C$88,"&lt;="&amp;E1424),MAXBED_MES,TOTAL_BEDS-B1424-C1424))</f>
        <v>30</v>
      </c>
      <c r="G1424" s="21">
        <f>B1424+C1424+F1424</f>
        <v>38</v>
      </c>
      <c r="H1424" s="22">
        <f>IF(E1424&lt;0,-999999999,B1424*(PRICE_TOM-FERT_TOM)+C1424*(PRICE_CAR-FERT_CAR)+F1424*(PRICE_MES-FERT_MES)-(FARMER_SALARY+A1424*TEMP_COST)-FIXED_COSTS)</f>
        <v>-52104</v>
      </c>
    </row>
    <row r="1425">
      <c r="A1425" s="5" t="n">
        <v>3</v>
      </c>
      <c r="B1425" s="5" t="n">
        <v>4</v>
      </c>
      <c r="C1425" s="5" t="n">
        <v>5</v>
      </c>
      <c r="D1425" s="18">
        <f>SEASON_HRS_TOM*B1425*(1+DIM_TOM)^B1425+SEASON_HRS_CAR*C1425*(1+DIM_CAR)^C1425</f>
        <v>696.7872319335938</v>
      </c>
      <c r="E1425" s="18">
        <f>(FARMER_FIELD_HRS+A1425*TEMP_HRS)-D1425</f>
        <v>4343.212768066406</v>
      </c>
      <c r="F1425" s="21">
        <f>IF(E1425&lt;0,0,MIN(COUNTIF(Labor!$C$59:$C$88,"&lt;="&amp;E1425),MAXBED_MES,TOTAL_BEDS-B1425-C1425))</f>
        <v>30</v>
      </c>
      <c r="G1425" s="21">
        <f>B1425+C1425+F1425</f>
        <v>39</v>
      </c>
      <c r="H1425" s="22">
        <f>IF(E1425&lt;0,-999999999,B1425*(PRICE_TOM-FERT_TOM)+C1425*(PRICE_CAR-FERT_CAR)+F1425*(PRICE_MES-FERT_MES)-(FARMER_SALARY+A1425*TEMP_COST)-FIXED_COSTS)</f>
        <v>-50450</v>
      </c>
    </row>
    <row r="1426">
      <c r="A1426" s="5" t="n">
        <v>3</v>
      </c>
      <c r="B1426" s="5" t="n">
        <v>4</v>
      </c>
      <c r="C1426" s="5" t="n">
        <v>6</v>
      </c>
      <c r="D1426" s="18">
        <f>SEASON_HRS_TOM*B1426*(1+DIM_TOM)^B1426+SEASON_HRS_CAR*C1426*(1+DIM_CAR)^C1426</f>
        <v>735.8208152783203</v>
      </c>
      <c r="E1426" s="18">
        <f>(FARMER_FIELD_HRS+A1426*TEMP_HRS)-D1426</f>
        <v>4304.17918472168</v>
      </c>
      <c r="F1426" s="21">
        <f>IF(E1426&lt;0,0,MIN(COUNTIF(Labor!$C$59:$C$88,"&lt;="&amp;E1426),MAXBED_MES,TOTAL_BEDS-B1426-C1426))</f>
        <v>30</v>
      </c>
      <c r="G1426" s="21">
        <f>B1426+C1426+F1426</f>
        <v>40</v>
      </c>
      <c r="H1426" s="22">
        <f>IF(E1426&lt;0,-999999999,B1426*(PRICE_TOM-FERT_TOM)+C1426*(PRICE_CAR-FERT_CAR)+F1426*(PRICE_MES-FERT_MES)-(FARMER_SALARY+A1426*TEMP_COST)-FIXED_COSTS)</f>
        <v>-48796</v>
      </c>
    </row>
    <row r="1427">
      <c r="A1427" s="5" t="n">
        <v>3</v>
      </c>
      <c r="B1427" s="5" t="n">
        <v>4</v>
      </c>
      <c r="C1427" s="5" t="n">
        <v>7</v>
      </c>
      <c r="D1427" s="18">
        <f>SEASON_HRS_TOM*B1427*(1+DIM_TOM)^B1427+SEASON_HRS_CAR*C1427*(1+DIM_CAR)^C1427</f>
        <v>776.7000082703247</v>
      </c>
      <c r="E1427" s="18">
        <f>(FARMER_FIELD_HRS+A1427*TEMP_HRS)-D1427</f>
        <v>4263.299991729676</v>
      </c>
      <c r="F1427" s="21">
        <f>IF(E1427&lt;0,0,MIN(COUNTIF(Labor!$C$59:$C$88,"&lt;="&amp;E1427),MAXBED_MES,TOTAL_BEDS-B1427-C1427))</f>
        <v>30</v>
      </c>
      <c r="G1427" s="21">
        <f>B1427+C1427+F1427</f>
        <v>41</v>
      </c>
      <c r="H1427" s="22">
        <f>IF(E1427&lt;0,-999999999,B1427*(PRICE_TOM-FERT_TOM)+C1427*(PRICE_CAR-FERT_CAR)+F1427*(PRICE_MES-FERT_MES)-(FARMER_SALARY+A1427*TEMP_COST)-FIXED_COSTS)</f>
        <v>-47142</v>
      </c>
    </row>
    <row r="1428">
      <c r="A1428" s="5" t="n">
        <v>3</v>
      </c>
      <c r="B1428" s="5" t="n">
        <v>4</v>
      </c>
      <c r="C1428" s="5" t="n">
        <v>8</v>
      </c>
      <c r="D1428" s="18">
        <f>SEASON_HRS_TOM*B1428*(1+DIM_TOM)^B1428+SEASON_HRS_CAR*C1428*(1+DIM_CAR)^C1428</f>
        <v>819.4926954023803</v>
      </c>
      <c r="E1428" s="18">
        <f>(FARMER_FIELD_HRS+A1428*TEMP_HRS)-D1428</f>
        <v>4220.50730459762</v>
      </c>
      <c r="F1428" s="21">
        <f>IF(E1428&lt;0,0,MIN(COUNTIF(Labor!$C$59:$C$88,"&lt;="&amp;E1428),MAXBED_MES,TOTAL_BEDS-B1428-C1428))</f>
        <v>30</v>
      </c>
      <c r="G1428" s="21">
        <f>B1428+C1428+F1428</f>
        <v>42</v>
      </c>
      <c r="H1428" s="22">
        <f>IF(E1428&lt;0,-999999999,B1428*(PRICE_TOM-FERT_TOM)+C1428*(PRICE_CAR-FERT_CAR)+F1428*(PRICE_MES-FERT_MES)-(FARMER_SALARY+A1428*TEMP_COST)-FIXED_COSTS)</f>
        <v>-45488</v>
      </c>
    </row>
    <row r="1429">
      <c r="A1429" s="5" t="n">
        <v>3</v>
      </c>
      <c r="B1429" s="5" t="n">
        <v>4</v>
      </c>
      <c r="C1429" s="5" t="n">
        <v>9</v>
      </c>
      <c r="D1429" s="18">
        <f>SEASON_HRS_TOM*B1429*(1+DIM_TOM)^B1429+SEASON_HRS_CAR*C1429*(1+DIM_CAR)^C1429</f>
        <v>864.2690018858698</v>
      </c>
      <c r="E1429" s="18">
        <f>(FARMER_FIELD_HRS+A1429*TEMP_HRS)-D1429</f>
        <v>4175.73099811413</v>
      </c>
      <c r="F1429" s="21">
        <f>IF(E1429&lt;0,0,MIN(COUNTIF(Labor!$C$59:$C$88,"&lt;="&amp;E1429),MAXBED_MES,TOTAL_BEDS-B1429-C1429))</f>
        <v>30</v>
      </c>
      <c r="G1429" s="21">
        <f>B1429+C1429+F1429</f>
        <v>43</v>
      </c>
      <c r="H1429" s="22">
        <f>IF(E1429&lt;0,-999999999,B1429*(PRICE_TOM-FERT_TOM)+C1429*(PRICE_CAR-FERT_CAR)+F1429*(PRICE_MES-FERT_MES)-(FARMER_SALARY+A1429*TEMP_COST)-FIXED_COSTS)</f>
        <v>-43834</v>
      </c>
    </row>
    <row r="1430">
      <c r="A1430" s="5" t="n">
        <v>3</v>
      </c>
      <c r="B1430" s="5" t="n">
        <v>4</v>
      </c>
      <c r="C1430" s="5" t="n">
        <v>10</v>
      </c>
      <c r="D1430" s="18">
        <f>SEASON_HRS_TOM*B1430*(1+DIM_TOM)^B1430+SEASON_HRS_CAR*C1430*(1+DIM_CAR)^C1430</f>
        <v>911.1013632589072</v>
      </c>
      <c r="E1430" s="18">
        <f>(FARMER_FIELD_HRS+A1430*TEMP_HRS)-D1430</f>
        <v>4128.898636741093</v>
      </c>
      <c r="F1430" s="21">
        <f>IF(E1430&lt;0,0,MIN(COUNTIF(Labor!$C$59:$C$88,"&lt;="&amp;E1430),MAXBED_MES,TOTAL_BEDS-B1430-C1430))</f>
        <v>30</v>
      </c>
      <c r="G1430" s="21">
        <f>B1430+C1430+F1430</f>
        <v>44</v>
      </c>
      <c r="H1430" s="22">
        <f>IF(E1430&lt;0,-999999999,B1430*(PRICE_TOM-FERT_TOM)+C1430*(PRICE_CAR-FERT_CAR)+F1430*(PRICE_MES-FERT_MES)-(FARMER_SALARY+A1430*TEMP_COST)-FIXED_COSTS)</f>
        <v>-42180</v>
      </c>
    </row>
    <row r="1431">
      <c r="A1431" s="5" t="n">
        <v>3</v>
      </c>
      <c r="B1431" s="5" t="n">
        <v>4</v>
      </c>
      <c r="C1431" s="5" t="n">
        <v>11</v>
      </c>
      <c r="D1431" s="18">
        <f>SEASON_HRS_TOM*B1431*(1+DIM_TOM)^B1431+SEASON_HRS_CAR*C1431*(1+DIM_CAR)^C1431</f>
        <v>960.0645970744177</v>
      </c>
      <c r="E1431" s="18">
        <f>(FARMER_FIELD_HRS+A1431*TEMP_HRS)-D1431</f>
        <v>4079.9354029255824</v>
      </c>
      <c r="F1431" s="21">
        <f>IF(E1431&lt;0,0,MIN(COUNTIF(Labor!$C$59:$C$88,"&lt;="&amp;E1431),MAXBED_MES,TOTAL_BEDS-B1431-C1431))</f>
        <v>30</v>
      </c>
      <c r="G1431" s="21">
        <f>B1431+C1431+F1431</f>
        <v>45</v>
      </c>
      <c r="H1431" s="22">
        <f>IF(E1431&lt;0,-999999999,B1431*(PRICE_TOM-FERT_TOM)+C1431*(PRICE_CAR-FERT_CAR)+F1431*(PRICE_MES-FERT_MES)-(FARMER_SALARY+A1431*TEMP_COST)-FIXED_COSTS)</f>
        <v>-40526</v>
      </c>
    </row>
    <row r="1432">
      <c r="A1432" s="5" t="n">
        <v>3</v>
      </c>
      <c r="B1432" s="5" t="n">
        <v>4</v>
      </c>
      <c r="C1432" s="5" t="n">
        <v>12</v>
      </c>
      <c r="D1432" s="18">
        <f>SEASON_HRS_TOM*B1432*(1+DIM_TOM)^B1432+SEASON_HRS_CAR*C1432*(1+DIM_CAR)^C1432</f>
        <v>1011.2359767286671</v>
      </c>
      <c r="E1432" s="18">
        <f>(FARMER_FIELD_HRS+A1432*TEMP_HRS)-D1432</f>
        <v>4028.764023271333</v>
      </c>
      <c r="F1432" s="21">
        <f>IF(E1432&lt;0,0,MIN(COUNTIF(Labor!$C$59:$C$88,"&lt;="&amp;E1432),MAXBED_MES,TOTAL_BEDS-B1432-C1432))</f>
        <v>30</v>
      </c>
      <c r="G1432" s="21">
        <f>B1432+C1432+F1432</f>
        <v>46</v>
      </c>
      <c r="H1432" s="22">
        <f>IF(E1432&lt;0,-999999999,B1432*(PRICE_TOM-FERT_TOM)+C1432*(PRICE_CAR-FERT_CAR)+F1432*(PRICE_MES-FERT_MES)-(FARMER_SALARY+A1432*TEMP_COST)-FIXED_COSTS)</f>
        <v>-38872</v>
      </c>
    </row>
    <row r="1433">
      <c r="A1433" s="5" t="n">
        <v>3</v>
      </c>
      <c r="B1433" s="5" t="n">
        <v>4</v>
      </c>
      <c r="C1433" s="5" t="n">
        <v>13</v>
      </c>
      <c r="D1433" s="18">
        <f>SEASON_HRS_TOM*B1433*(1+DIM_TOM)^B1433+SEASON_HRS_CAR*C1433*(1+DIM_CAR)^C1433</f>
        <v>1064.6953074924572</v>
      </c>
      <c r="E1433" s="18">
        <f>(FARMER_FIELD_HRS+A1433*TEMP_HRS)-D1433</f>
        <v>3975.3046925075428</v>
      </c>
      <c r="F1433" s="21">
        <f>IF(E1433&lt;0,0,MIN(COUNTIF(Labor!$C$59:$C$88,"&lt;="&amp;E1433),MAXBED_MES,TOTAL_BEDS-B1433-C1433))</f>
        <v>30</v>
      </c>
      <c r="G1433" s="21">
        <f>B1433+C1433+F1433</f>
        <v>47</v>
      </c>
      <c r="H1433" s="22">
        <f>IF(E1433&lt;0,-999999999,B1433*(PRICE_TOM-FERT_TOM)+C1433*(PRICE_CAR-FERT_CAR)+F1433*(PRICE_MES-FERT_MES)-(FARMER_SALARY+A1433*TEMP_COST)-FIXED_COSTS)</f>
        <v>-37218</v>
      </c>
    </row>
    <row r="1434">
      <c r="A1434" s="5" t="n">
        <v>3</v>
      </c>
      <c r="B1434" s="5" t="n">
        <v>4</v>
      </c>
      <c r="C1434" s="5" t="n">
        <v>14</v>
      </c>
      <c r="D1434" s="18">
        <f>SEASON_HRS_TOM*B1434*(1+DIM_TOM)^B1434+SEASON_HRS_CAR*C1434*(1+DIM_CAR)^C1434</f>
        <v>1120.5250048089817</v>
      </c>
      <c r="E1434" s="18">
        <f>(FARMER_FIELD_HRS+A1434*TEMP_HRS)-D1434</f>
        <v>3919.474995191018</v>
      </c>
      <c r="F1434" s="21">
        <f>IF(E1434&lt;0,0,MIN(COUNTIF(Labor!$C$59:$C$88,"&lt;="&amp;E1434),MAXBED_MES,TOTAL_BEDS-B1434-C1434))</f>
        <v>30</v>
      </c>
      <c r="G1434" s="21">
        <f>B1434+C1434+F1434</f>
        <v>48</v>
      </c>
      <c r="H1434" s="22">
        <f>IF(E1434&lt;0,-999999999,B1434*(PRICE_TOM-FERT_TOM)+C1434*(PRICE_CAR-FERT_CAR)+F1434*(PRICE_MES-FERT_MES)-(FARMER_SALARY+A1434*TEMP_COST)-FIXED_COSTS)</f>
        <v>-35564</v>
      </c>
    </row>
    <row r="1435">
      <c r="A1435" s="5" t="n">
        <v>3</v>
      </c>
      <c r="B1435" s="5" t="n">
        <v>4</v>
      </c>
      <c r="C1435" s="5" t="n">
        <v>15</v>
      </c>
      <c r="D1435" s="18">
        <f>SEASON_HRS_TOM*B1435*(1+DIM_TOM)^B1435+SEASON_HRS_CAR*C1435*(1+DIM_CAR)^C1435</f>
        <v>1178.8101749241496</v>
      </c>
      <c r="E1435" s="18">
        <f>(FARMER_FIELD_HRS+A1435*TEMP_HRS)-D1435</f>
        <v>3861.1898250758504</v>
      </c>
      <c r="F1435" s="21">
        <f>IF(E1435&lt;0,0,MIN(COUNTIF(Labor!$C$59:$C$88,"&lt;="&amp;E1435),MAXBED_MES,TOTAL_BEDS-B1435-C1435))</f>
        <v>30</v>
      </c>
      <c r="G1435" s="21">
        <f>B1435+C1435+F1435</f>
        <v>49</v>
      </c>
      <c r="H1435" s="22">
        <f>IF(E1435&lt;0,-999999999,B1435*(PRICE_TOM-FERT_TOM)+C1435*(PRICE_CAR-FERT_CAR)+F1435*(PRICE_MES-FERT_MES)-(FARMER_SALARY+A1435*TEMP_COST)-FIXED_COSTS)</f>
        <v>-33910</v>
      </c>
    </row>
    <row r="1436">
      <c r="A1436" s="5" t="n">
        <v>3</v>
      </c>
      <c r="B1436" s="5" t="n">
        <v>4</v>
      </c>
      <c r="C1436" s="5" t="n">
        <v>16</v>
      </c>
      <c r="D1436" s="18">
        <f>SEASON_HRS_TOM*B1436*(1+DIM_TOM)^B1436+SEASON_HRS_CAR*C1436*(1+DIM_CAR)^C1436</f>
        <v>1239.63869791707</v>
      </c>
      <c r="E1436" s="18">
        <f>(FARMER_FIELD_HRS+A1436*TEMP_HRS)-D1436</f>
        <v>3800.36130208293</v>
      </c>
      <c r="F1436" s="21">
        <f>IF(E1436&lt;0,0,MIN(COUNTIF(Labor!$C$59:$C$88,"&lt;="&amp;E1436),MAXBED_MES,TOTAL_BEDS-B1436-C1436))</f>
        <v>30</v>
      </c>
      <c r="G1436" s="21">
        <f>B1436+C1436+F1436</f>
        <v>50</v>
      </c>
      <c r="H1436" s="22">
        <f>IF(E1436&lt;0,-999999999,B1436*(PRICE_TOM-FERT_TOM)+C1436*(PRICE_CAR-FERT_CAR)+F1436*(PRICE_MES-FERT_MES)-(FARMER_SALARY+A1436*TEMP_COST)-FIXED_COSTS)</f>
        <v>-32256</v>
      </c>
    </row>
    <row r="1437">
      <c r="A1437" s="5" t="n">
        <v>3</v>
      </c>
      <c r="B1437" s="5" t="n">
        <v>4</v>
      </c>
      <c r="C1437" s="5" t="n">
        <v>17</v>
      </c>
      <c r="D1437" s="18">
        <f>SEASON_HRS_TOM*B1437*(1+DIM_TOM)^B1437+SEASON_HRS_CAR*C1437*(1+DIM_CAR)^C1437</f>
        <v>1303.101313200309</v>
      </c>
      <c r="E1437" s="18">
        <f>(FARMER_FIELD_HRS+A1437*TEMP_HRS)-D1437</f>
        <v>3736.898686799691</v>
      </c>
      <c r="F1437" s="21">
        <f>IF(E1437&lt;0,0,MIN(COUNTIF(Labor!$C$59:$C$88,"&lt;="&amp;E1437),MAXBED_MES,TOTAL_BEDS-B1437-C1437))</f>
        <v>30</v>
      </c>
      <c r="G1437" s="21">
        <f>B1437+C1437+F1437</f>
        <v>51</v>
      </c>
      <c r="H1437" s="22">
        <f>IF(E1437&lt;0,-999999999,B1437*(PRICE_TOM-FERT_TOM)+C1437*(PRICE_CAR-FERT_CAR)+F1437*(PRICE_MES-FERT_MES)-(FARMER_SALARY+A1437*TEMP_COST)-FIXED_COSTS)</f>
        <v>-30602</v>
      </c>
    </row>
    <row r="1438">
      <c r="A1438" s="5" t="n">
        <v>3</v>
      </c>
      <c r="B1438" s="5" t="n">
        <v>4</v>
      </c>
      <c r="C1438" s="5" t="n">
        <v>18</v>
      </c>
      <c r="D1438" s="18">
        <f>SEASON_HRS_TOM*B1438*(1+DIM_TOM)^B1438+SEASON_HRS_CAR*C1438*(1+DIM_CAR)^C1438</f>
        <v>1369.2917075615117</v>
      </c>
      <c r="E1438" s="18">
        <f>(FARMER_FIELD_HRS+A1438*TEMP_HRS)-D1438</f>
        <v>3670.7082924384886</v>
      </c>
      <c r="F1438" s="21">
        <f>IF(E1438&lt;0,0,MIN(COUNTIF(Labor!$C$59:$C$88,"&lt;="&amp;E1438),MAXBED_MES,TOTAL_BEDS-B1438-C1438))</f>
        <v>30</v>
      </c>
      <c r="G1438" s="21">
        <f>B1438+C1438+F1438</f>
        <v>52</v>
      </c>
      <c r="H1438" s="22">
        <f>IF(E1438&lt;0,-999999999,B1438*(PRICE_TOM-FERT_TOM)+C1438*(PRICE_CAR-FERT_CAR)+F1438*(PRICE_MES-FERT_MES)-(FARMER_SALARY+A1438*TEMP_COST)-FIXED_COSTS)</f>
        <v>-28948</v>
      </c>
    </row>
    <row r="1439">
      <c r="A1439" s="5" t="n">
        <v>3</v>
      </c>
      <c r="B1439" s="5" t="n">
        <v>4</v>
      </c>
      <c r="C1439" s="5" t="n">
        <v>19</v>
      </c>
      <c r="D1439" s="18">
        <f>SEASON_HRS_TOM*B1439*(1+DIM_TOM)^B1439+SEASON_HRS_CAR*C1439*(1+DIM_CAR)^C1439</f>
        <v>1438.3066058200243</v>
      </c>
      <c r="E1439" s="18">
        <f>(FARMER_FIELD_HRS+A1439*TEMP_HRS)-D1439</f>
        <v>3601.6933941799757</v>
      </c>
      <c r="F1439" s="21">
        <f>IF(E1439&lt;0,0,MIN(COUNTIF(Labor!$C$59:$C$88,"&lt;="&amp;E1439),MAXBED_MES,TOTAL_BEDS-B1439-C1439))</f>
        <v>30</v>
      </c>
      <c r="G1439" s="21">
        <f>B1439+C1439+F1439</f>
        <v>53</v>
      </c>
      <c r="H1439" s="22">
        <f>IF(E1439&lt;0,-999999999,B1439*(PRICE_TOM-FERT_TOM)+C1439*(PRICE_CAR-FERT_CAR)+F1439*(PRICE_MES-FERT_MES)-(FARMER_SALARY+A1439*TEMP_COST)-FIXED_COSTS)</f>
        <v>-27294</v>
      </c>
    </row>
    <row r="1440">
      <c r="A1440" s="5" t="n">
        <v>3</v>
      </c>
      <c r="B1440" s="5" t="n">
        <v>4</v>
      </c>
      <c r="C1440" s="5" t="n">
        <v>20</v>
      </c>
      <c r="D1440" s="18">
        <f>SEASON_HRS_TOM*B1440*(1+DIM_TOM)^B1440+SEASON_HRS_CAR*C1440*(1+DIM_CAR)^C1440</f>
        <v>1510.2458641742367</v>
      </c>
      <c r="E1440" s="18">
        <f>(FARMER_FIELD_HRS+A1440*TEMP_HRS)-D1440</f>
        <v>3529.754135825763</v>
      </c>
      <c r="F1440" s="21">
        <f>IF(E1440&lt;0,0,MIN(COUNTIF(Labor!$C$59:$C$88,"&lt;="&amp;E1440),MAXBED_MES,TOTAL_BEDS-B1440-C1440))</f>
        <v>30</v>
      </c>
      <c r="G1440" s="21">
        <f>B1440+C1440+F1440</f>
        <v>54</v>
      </c>
      <c r="H1440" s="22">
        <f>IF(E1440&lt;0,-999999999,B1440*(PRICE_TOM-FERT_TOM)+C1440*(PRICE_CAR-FERT_CAR)+F1440*(PRICE_MES-FERT_MES)-(FARMER_SALARY+A1440*TEMP_COST)-FIXED_COSTS)</f>
        <v>-25640</v>
      </c>
    </row>
    <row r="1441">
      <c r="A1441" s="5" t="n">
        <v>3</v>
      </c>
      <c r="B1441" s="5" t="n">
        <v>5</v>
      </c>
      <c r="C1441" s="5" t="n">
        <v>0</v>
      </c>
      <c r="D1441" s="18">
        <f>SEASON_HRS_TOM*B1441*(1+DIM_TOM)^B1441+SEASON_HRS_CAR*C1441*(1+DIM_CAR)^C1441</f>
        <v>724.7295000000003</v>
      </c>
      <c r="E1441" s="18">
        <f>(FARMER_FIELD_HRS+A1441*TEMP_HRS)-D1441</f>
        <v>4315.2705</v>
      </c>
      <c r="F1441" s="21">
        <f>IF(E1441&lt;0,0,MIN(COUNTIF(Labor!$C$59:$C$88,"&lt;="&amp;E1441),MAXBED_MES,TOTAL_BEDS-B1441-C1441))</f>
        <v>30</v>
      </c>
      <c r="G1441" s="21">
        <f>B1441+C1441+F1441</f>
        <v>35</v>
      </c>
      <c r="H1441" s="22">
        <f>IF(E1441&lt;0,-999999999,B1441*(PRICE_TOM-FERT_TOM)+C1441*(PRICE_CAR-FERT_CAR)+F1441*(PRICE_MES-FERT_MES)-(FARMER_SALARY+A1441*TEMP_COST)-FIXED_COSTS)</f>
        <v>-50800</v>
      </c>
    </row>
    <row r="1442">
      <c r="A1442" s="5" t="n">
        <v>3</v>
      </c>
      <c r="B1442" s="5" t="n">
        <v>5</v>
      </c>
      <c r="C1442" s="5" t="n">
        <v>1</v>
      </c>
      <c r="D1442" s="18">
        <f>SEASON_HRS_TOM*B1442*(1+DIM_TOM)^B1442+SEASON_HRS_CAR*C1442*(1+DIM_CAR)^C1442</f>
        <v>755.4795000000003</v>
      </c>
      <c r="E1442" s="18">
        <f>(FARMER_FIELD_HRS+A1442*TEMP_HRS)-D1442</f>
        <v>4284.5205</v>
      </c>
      <c r="F1442" s="21">
        <f>IF(E1442&lt;0,0,MIN(COUNTIF(Labor!$C$59:$C$88,"&lt;="&amp;E1442),MAXBED_MES,TOTAL_BEDS-B1442-C1442))</f>
        <v>30</v>
      </c>
      <c r="G1442" s="21">
        <f>B1442+C1442+F1442</f>
        <v>36</v>
      </c>
      <c r="H1442" s="22">
        <f>IF(E1442&lt;0,-999999999,B1442*(PRICE_TOM-FERT_TOM)+C1442*(PRICE_CAR-FERT_CAR)+F1442*(PRICE_MES-FERT_MES)-(FARMER_SALARY+A1442*TEMP_COST)-FIXED_COSTS)</f>
        <v>-49146</v>
      </c>
    </row>
    <row r="1443">
      <c r="A1443" s="5" t="n">
        <v>3</v>
      </c>
      <c r="B1443" s="5" t="n">
        <v>5</v>
      </c>
      <c r="C1443" s="5" t="n">
        <v>2</v>
      </c>
      <c r="D1443" s="18">
        <f>SEASON_HRS_TOM*B1443*(1+DIM_TOM)^B1443+SEASON_HRS_CAR*C1443*(1+DIM_CAR)^C1443</f>
        <v>787.7670000000003</v>
      </c>
      <c r="E1443" s="18">
        <f>(FARMER_FIELD_HRS+A1443*TEMP_HRS)-D1443</f>
        <v>4252.233</v>
      </c>
      <c r="F1443" s="21">
        <f>IF(E1443&lt;0,0,MIN(COUNTIF(Labor!$C$59:$C$88,"&lt;="&amp;E1443),MAXBED_MES,TOTAL_BEDS-B1443-C1443))</f>
        <v>30</v>
      </c>
      <c r="G1443" s="21">
        <f>B1443+C1443+F1443</f>
        <v>37</v>
      </c>
      <c r="H1443" s="22">
        <f>IF(E1443&lt;0,-999999999,B1443*(PRICE_TOM-FERT_TOM)+C1443*(PRICE_CAR-FERT_CAR)+F1443*(PRICE_MES-FERT_MES)-(FARMER_SALARY+A1443*TEMP_COST)-FIXED_COSTS)</f>
        <v>-47492</v>
      </c>
    </row>
    <row r="1444">
      <c r="A1444" s="5" t="n">
        <v>3</v>
      </c>
      <c r="B1444" s="5" t="n">
        <v>5</v>
      </c>
      <c r="C1444" s="5" t="n">
        <v>3</v>
      </c>
      <c r="D1444" s="18">
        <f>SEASON_HRS_TOM*B1444*(1+DIM_TOM)^B1444+SEASON_HRS_CAR*C1444*(1+DIM_CAR)^C1444</f>
        <v>821.6496562500002</v>
      </c>
      <c r="E1444" s="18">
        <f>(FARMER_FIELD_HRS+A1444*TEMP_HRS)-D1444</f>
        <v>4218.350343749999</v>
      </c>
      <c r="F1444" s="21">
        <f>IF(E1444&lt;0,0,MIN(COUNTIF(Labor!$C$59:$C$88,"&lt;="&amp;E1444),MAXBED_MES,TOTAL_BEDS-B1444-C1444))</f>
        <v>30</v>
      </c>
      <c r="G1444" s="21">
        <f>B1444+C1444+F1444</f>
        <v>38</v>
      </c>
      <c r="H1444" s="22">
        <f>IF(E1444&lt;0,-999999999,B1444*(PRICE_TOM-FERT_TOM)+C1444*(PRICE_CAR-FERT_CAR)+F1444*(PRICE_MES-FERT_MES)-(FARMER_SALARY+A1444*TEMP_COST)-FIXED_COSTS)</f>
        <v>-45838</v>
      </c>
    </row>
    <row r="1445">
      <c r="A1445" s="5" t="n">
        <v>3</v>
      </c>
      <c r="B1445" s="5" t="n">
        <v>5</v>
      </c>
      <c r="C1445" s="5" t="n">
        <v>4</v>
      </c>
      <c r="D1445" s="18">
        <f>SEASON_HRS_TOM*B1445*(1+DIM_TOM)^B1445+SEASON_HRS_CAR*C1445*(1+DIM_CAR)^C1445</f>
        <v>857.1870468750002</v>
      </c>
      <c r="E1445" s="18">
        <f>(FARMER_FIELD_HRS+A1445*TEMP_HRS)-D1445</f>
        <v>4182.812953125</v>
      </c>
      <c r="F1445" s="21">
        <f>IF(E1445&lt;0,0,MIN(COUNTIF(Labor!$C$59:$C$88,"&lt;="&amp;E1445),MAXBED_MES,TOTAL_BEDS-B1445-C1445))</f>
        <v>30</v>
      </c>
      <c r="G1445" s="21">
        <f>B1445+C1445+F1445</f>
        <v>39</v>
      </c>
      <c r="H1445" s="22">
        <f>IF(E1445&lt;0,-999999999,B1445*(PRICE_TOM-FERT_TOM)+C1445*(PRICE_CAR-FERT_CAR)+F1445*(PRICE_MES-FERT_MES)-(FARMER_SALARY+A1445*TEMP_COST)-FIXED_COSTS)</f>
        <v>-44184</v>
      </c>
    </row>
    <row r="1446">
      <c r="A1446" s="5" t="n">
        <v>3</v>
      </c>
      <c r="B1446" s="5" t="n">
        <v>5</v>
      </c>
      <c r="C1446" s="5" t="n">
        <v>5</v>
      </c>
      <c r="D1446" s="18">
        <f>SEASON_HRS_TOM*B1446*(1+DIM_TOM)^B1446+SEASON_HRS_CAR*C1446*(1+DIM_CAR)^C1446</f>
        <v>894.440731933594</v>
      </c>
      <c r="E1446" s="18">
        <f>(FARMER_FIELD_HRS+A1446*TEMP_HRS)-D1446</f>
        <v>4145.559268066406</v>
      </c>
      <c r="F1446" s="21">
        <f>IF(E1446&lt;0,0,MIN(COUNTIF(Labor!$C$59:$C$88,"&lt;="&amp;E1446),MAXBED_MES,TOTAL_BEDS-B1446-C1446))</f>
        <v>30</v>
      </c>
      <c r="G1446" s="21">
        <f>B1446+C1446+F1446</f>
        <v>40</v>
      </c>
      <c r="H1446" s="22">
        <f>IF(E1446&lt;0,-999999999,B1446*(PRICE_TOM-FERT_TOM)+C1446*(PRICE_CAR-FERT_CAR)+F1446*(PRICE_MES-FERT_MES)-(FARMER_SALARY+A1446*TEMP_COST)-FIXED_COSTS)</f>
        <v>-42530</v>
      </c>
    </row>
    <row r="1447">
      <c r="A1447" s="5" t="n">
        <v>3</v>
      </c>
      <c r="B1447" s="5" t="n">
        <v>5</v>
      </c>
      <c r="C1447" s="5" t="n">
        <v>6</v>
      </c>
      <c r="D1447" s="18">
        <f>SEASON_HRS_TOM*B1447*(1+DIM_TOM)^B1447+SEASON_HRS_CAR*C1447*(1+DIM_CAR)^C1447</f>
        <v>933.4743152783204</v>
      </c>
      <c r="E1447" s="18">
        <f>(FARMER_FIELD_HRS+A1447*TEMP_HRS)-D1447</f>
        <v>4106.52568472168</v>
      </c>
      <c r="F1447" s="21">
        <f>IF(E1447&lt;0,0,MIN(COUNTIF(Labor!$C$59:$C$88,"&lt;="&amp;E1447),MAXBED_MES,TOTAL_BEDS-B1447-C1447))</f>
        <v>30</v>
      </c>
      <c r="G1447" s="21">
        <f>B1447+C1447+F1447</f>
        <v>41</v>
      </c>
      <c r="H1447" s="22">
        <f>IF(E1447&lt;0,-999999999,B1447*(PRICE_TOM-FERT_TOM)+C1447*(PRICE_CAR-FERT_CAR)+F1447*(PRICE_MES-FERT_MES)-(FARMER_SALARY+A1447*TEMP_COST)-FIXED_COSTS)</f>
        <v>-40876</v>
      </c>
    </row>
    <row r="1448">
      <c r="A1448" s="5" t="n">
        <v>3</v>
      </c>
      <c r="B1448" s="5" t="n">
        <v>5</v>
      </c>
      <c r="C1448" s="5" t="n">
        <v>7</v>
      </c>
      <c r="D1448" s="18">
        <f>SEASON_HRS_TOM*B1448*(1+DIM_TOM)^B1448+SEASON_HRS_CAR*C1448*(1+DIM_CAR)^C1448</f>
        <v>974.3535082703248</v>
      </c>
      <c r="E1448" s="18">
        <f>(FARMER_FIELD_HRS+A1448*TEMP_HRS)-D1448</f>
        <v>4065.6464917296753</v>
      </c>
      <c r="F1448" s="21">
        <f>IF(E1448&lt;0,0,MIN(COUNTIF(Labor!$C$59:$C$88,"&lt;="&amp;E1448),MAXBED_MES,TOTAL_BEDS-B1448-C1448))</f>
        <v>30</v>
      </c>
      <c r="G1448" s="21">
        <f>B1448+C1448+F1448</f>
        <v>42</v>
      </c>
      <c r="H1448" s="22">
        <f>IF(E1448&lt;0,-999999999,B1448*(PRICE_TOM-FERT_TOM)+C1448*(PRICE_CAR-FERT_CAR)+F1448*(PRICE_MES-FERT_MES)-(FARMER_SALARY+A1448*TEMP_COST)-FIXED_COSTS)</f>
        <v>-39222</v>
      </c>
    </row>
    <row r="1449">
      <c r="A1449" s="5" t="n">
        <v>3</v>
      </c>
      <c r="B1449" s="5" t="n">
        <v>5</v>
      </c>
      <c r="C1449" s="5" t="n">
        <v>8</v>
      </c>
      <c r="D1449" s="18">
        <f>SEASON_HRS_TOM*B1449*(1+DIM_TOM)^B1449+SEASON_HRS_CAR*C1449*(1+DIM_CAR)^C1449</f>
        <v>1017.1461954023804</v>
      </c>
      <c r="E1449" s="18">
        <f>(FARMER_FIELD_HRS+A1449*TEMP_HRS)-D1449</f>
        <v>4022.8538045976197</v>
      </c>
      <c r="F1449" s="21">
        <f>IF(E1449&lt;0,0,MIN(COUNTIF(Labor!$C$59:$C$88,"&lt;="&amp;E1449),MAXBED_MES,TOTAL_BEDS-B1449-C1449))</f>
        <v>30</v>
      </c>
      <c r="G1449" s="21">
        <f>B1449+C1449+F1449</f>
        <v>43</v>
      </c>
      <c r="H1449" s="22">
        <f>IF(E1449&lt;0,-999999999,B1449*(PRICE_TOM-FERT_TOM)+C1449*(PRICE_CAR-FERT_CAR)+F1449*(PRICE_MES-FERT_MES)-(FARMER_SALARY+A1449*TEMP_COST)-FIXED_COSTS)</f>
        <v>-37568</v>
      </c>
    </row>
    <row r="1450">
      <c r="A1450" s="5" t="n">
        <v>3</v>
      </c>
      <c r="B1450" s="5" t="n">
        <v>5</v>
      </c>
      <c r="C1450" s="5" t="n">
        <v>9</v>
      </c>
      <c r="D1450" s="18">
        <f>SEASON_HRS_TOM*B1450*(1+DIM_TOM)^B1450+SEASON_HRS_CAR*C1450*(1+DIM_CAR)^C1450</f>
        <v>1061.92250188587</v>
      </c>
      <c r="E1450" s="18">
        <f>(FARMER_FIELD_HRS+A1450*TEMP_HRS)-D1450</f>
        <v>3978.0774981141303</v>
      </c>
      <c r="F1450" s="21">
        <f>IF(E1450&lt;0,0,MIN(COUNTIF(Labor!$C$59:$C$88,"&lt;="&amp;E1450),MAXBED_MES,TOTAL_BEDS-B1450-C1450))</f>
        <v>30</v>
      </c>
      <c r="G1450" s="21">
        <f>B1450+C1450+F1450</f>
        <v>44</v>
      </c>
      <c r="H1450" s="22">
        <f>IF(E1450&lt;0,-999999999,B1450*(PRICE_TOM-FERT_TOM)+C1450*(PRICE_CAR-FERT_CAR)+F1450*(PRICE_MES-FERT_MES)-(FARMER_SALARY+A1450*TEMP_COST)-FIXED_COSTS)</f>
        <v>-35914</v>
      </c>
    </row>
    <row r="1451">
      <c r="A1451" s="5" t="n">
        <v>3</v>
      </c>
      <c r="B1451" s="5" t="n">
        <v>5</v>
      </c>
      <c r="C1451" s="5" t="n">
        <v>10</v>
      </c>
      <c r="D1451" s="18">
        <f>SEASON_HRS_TOM*B1451*(1+DIM_TOM)^B1451+SEASON_HRS_CAR*C1451*(1+DIM_CAR)^C1451</f>
        <v>1108.7548632589073</v>
      </c>
      <c r="E1451" s="18">
        <f>(FARMER_FIELD_HRS+A1451*TEMP_HRS)-D1451</f>
        <v>3931.2451367410927</v>
      </c>
      <c r="F1451" s="21">
        <f>IF(E1451&lt;0,0,MIN(COUNTIF(Labor!$C$59:$C$88,"&lt;="&amp;E1451),MAXBED_MES,TOTAL_BEDS-B1451-C1451))</f>
        <v>30</v>
      </c>
      <c r="G1451" s="21">
        <f>B1451+C1451+F1451</f>
        <v>45</v>
      </c>
      <c r="H1451" s="22">
        <f>IF(E1451&lt;0,-999999999,B1451*(PRICE_TOM-FERT_TOM)+C1451*(PRICE_CAR-FERT_CAR)+F1451*(PRICE_MES-FERT_MES)-(FARMER_SALARY+A1451*TEMP_COST)-FIXED_COSTS)</f>
        <v>-34260</v>
      </c>
    </row>
    <row r="1452">
      <c r="A1452" s="5" t="n">
        <v>3</v>
      </c>
      <c r="B1452" s="5" t="n">
        <v>5</v>
      </c>
      <c r="C1452" s="5" t="n">
        <v>11</v>
      </c>
      <c r="D1452" s="18">
        <f>SEASON_HRS_TOM*B1452*(1+DIM_TOM)^B1452+SEASON_HRS_CAR*C1452*(1+DIM_CAR)^C1452</f>
        <v>1157.718097074418</v>
      </c>
      <c r="E1452" s="18">
        <f>(FARMER_FIELD_HRS+A1452*TEMP_HRS)-D1452</f>
        <v>3882.281902925582</v>
      </c>
      <c r="F1452" s="21">
        <f>IF(E1452&lt;0,0,MIN(COUNTIF(Labor!$C$59:$C$88,"&lt;="&amp;E1452),MAXBED_MES,TOTAL_BEDS-B1452-C1452))</f>
        <v>30</v>
      </c>
      <c r="G1452" s="21">
        <f>B1452+C1452+F1452</f>
        <v>46</v>
      </c>
      <c r="H1452" s="22">
        <f>IF(E1452&lt;0,-999999999,B1452*(PRICE_TOM-FERT_TOM)+C1452*(PRICE_CAR-FERT_CAR)+F1452*(PRICE_MES-FERT_MES)-(FARMER_SALARY+A1452*TEMP_COST)-FIXED_COSTS)</f>
        <v>-32606</v>
      </c>
    </row>
    <row r="1453">
      <c r="A1453" s="5" t="n">
        <v>3</v>
      </c>
      <c r="B1453" s="5" t="n">
        <v>5</v>
      </c>
      <c r="C1453" s="5" t="n">
        <v>12</v>
      </c>
      <c r="D1453" s="18">
        <f>SEASON_HRS_TOM*B1453*(1+DIM_TOM)^B1453+SEASON_HRS_CAR*C1453*(1+DIM_CAR)^C1453</f>
        <v>1208.8894767286672</v>
      </c>
      <c r="E1453" s="18">
        <f>(FARMER_FIELD_HRS+A1453*TEMP_HRS)-D1453</f>
        <v>3831.1105232713326</v>
      </c>
      <c r="F1453" s="21">
        <f>IF(E1453&lt;0,0,MIN(COUNTIF(Labor!$C$59:$C$88,"&lt;="&amp;E1453),MAXBED_MES,TOTAL_BEDS-B1453-C1453))</f>
        <v>30</v>
      </c>
      <c r="G1453" s="21">
        <f>B1453+C1453+F1453</f>
        <v>47</v>
      </c>
      <c r="H1453" s="22">
        <f>IF(E1453&lt;0,-999999999,B1453*(PRICE_TOM-FERT_TOM)+C1453*(PRICE_CAR-FERT_CAR)+F1453*(PRICE_MES-FERT_MES)-(FARMER_SALARY+A1453*TEMP_COST)-FIXED_COSTS)</f>
        <v>-30952</v>
      </c>
    </row>
    <row r="1454">
      <c r="A1454" s="5" t="n">
        <v>3</v>
      </c>
      <c r="B1454" s="5" t="n">
        <v>5</v>
      </c>
      <c r="C1454" s="5" t="n">
        <v>13</v>
      </c>
      <c r="D1454" s="18">
        <f>SEASON_HRS_TOM*B1454*(1+DIM_TOM)^B1454+SEASON_HRS_CAR*C1454*(1+DIM_CAR)^C1454</f>
        <v>1262.3488074924574</v>
      </c>
      <c r="E1454" s="18">
        <f>(FARMER_FIELD_HRS+A1454*TEMP_HRS)-D1454</f>
        <v>3777.651192507543</v>
      </c>
      <c r="F1454" s="21">
        <f>IF(E1454&lt;0,0,MIN(COUNTIF(Labor!$C$59:$C$88,"&lt;="&amp;E1454),MAXBED_MES,TOTAL_BEDS-B1454-C1454))</f>
        <v>30</v>
      </c>
      <c r="G1454" s="21">
        <f>B1454+C1454+F1454</f>
        <v>48</v>
      </c>
      <c r="H1454" s="22">
        <f>IF(E1454&lt;0,-999999999,B1454*(PRICE_TOM-FERT_TOM)+C1454*(PRICE_CAR-FERT_CAR)+F1454*(PRICE_MES-FERT_MES)-(FARMER_SALARY+A1454*TEMP_COST)-FIXED_COSTS)</f>
        <v>-29298</v>
      </c>
    </row>
    <row r="1455">
      <c r="A1455" s="5" t="n">
        <v>3</v>
      </c>
      <c r="B1455" s="5" t="n">
        <v>5</v>
      </c>
      <c r="C1455" s="5" t="n">
        <v>14</v>
      </c>
      <c r="D1455" s="18">
        <f>SEASON_HRS_TOM*B1455*(1+DIM_TOM)^B1455+SEASON_HRS_CAR*C1455*(1+DIM_CAR)^C1455</f>
        <v>1318.1785048089819</v>
      </c>
      <c r="E1455" s="18">
        <f>(FARMER_FIELD_HRS+A1455*TEMP_HRS)-D1455</f>
        <v>3721.821495191018</v>
      </c>
      <c r="F1455" s="21">
        <f>IF(E1455&lt;0,0,MIN(COUNTIF(Labor!$C$59:$C$88,"&lt;="&amp;E1455),MAXBED_MES,TOTAL_BEDS-B1455-C1455))</f>
        <v>30</v>
      </c>
      <c r="G1455" s="21">
        <f>B1455+C1455+F1455</f>
        <v>49</v>
      </c>
      <c r="H1455" s="22">
        <f>IF(E1455&lt;0,-999999999,B1455*(PRICE_TOM-FERT_TOM)+C1455*(PRICE_CAR-FERT_CAR)+F1455*(PRICE_MES-FERT_MES)-(FARMER_SALARY+A1455*TEMP_COST)-FIXED_COSTS)</f>
        <v>-27644</v>
      </c>
    </row>
    <row r="1456">
      <c r="A1456" s="5" t="n">
        <v>3</v>
      </c>
      <c r="B1456" s="5" t="n">
        <v>5</v>
      </c>
      <c r="C1456" s="5" t="n">
        <v>15</v>
      </c>
      <c r="D1456" s="18">
        <f>SEASON_HRS_TOM*B1456*(1+DIM_TOM)^B1456+SEASON_HRS_CAR*C1456*(1+DIM_CAR)^C1456</f>
        <v>1376.4636749241495</v>
      </c>
      <c r="E1456" s="18">
        <f>(FARMER_FIELD_HRS+A1456*TEMP_HRS)-D1456</f>
        <v>3663.5363250758505</v>
      </c>
      <c r="F1456" s="21">
        <f>IF(E1456&lt;0,0,MIN(COUNTIF(Labor!$C$59:$C$88,"&lt;="&amp;E1456),MAXBED_MES,TOTAL_BEDS-B1456-C1456))</f>
        <v>30</v>
      </c>
      <c r="G1456" s="21">
        <f>B1456+C1456+F1456</f>
        <v>50</v>
      </c>
      <c r="H1456" s="22">
        <f>IF(E1456&lt;0,-999999999,B1456*(PRICE_TOM-FERT_TOM)+C1456*(PRICE_CAR-FERT_CAR)+F1456*(PRICE_MES-FERT_MES)-(FARMER_SALARY+A1456*TEMP_COST)-FIXED_COSTS)</f>
        <v>-25990</v>
      </c>
    </row>
    <row r="1457">
      <c r="A1457" s="5" t="n">
        <v>3</v>
      </c>
      <c r="B1457" s="5" t="n">
        <v>5</v>
      </c>
      <c r="C1457" s="5" t="n">
        <v>16</v>
      </c>
      <c r="D1457" s="18">
        <f>SEASON_HRS_TOM*B1457*(1+DIM_TOM)^B1457+SEASON_HRS_CAR*C1457*(1+DIM_CAR)^C1457</f>
        <v>1437.29219791707</v>
      </c>
      <c r="E1457" s="18">
        <f>(FARMER_FIELD_HRS+A1457*TEMP_HRS)-D1457</f>
        <v>3602.70780208293</v>
      </c>
      <c r="F1457" s="21">
        <f>IF(E1457&lt;0,0,MIN(COUNTIF(Labor!$C$59:$C$88,"&lt;="&amp;E1457),MAXBED_MES,TOTAL_BEDS-B1457-C1457))</f>
        <v>30</v>
      </c>
      <c r="G1457" s="21">
        <f>B1457+C1457+F1457</f>
        <v>51</v>
      </c>
      <c r="H1457" s="22">
        <f>IF(E1457&lt;0,-999999999,B1457*(PRICE_TOM-FERT_TOM)+C1457*(PRICE_CAR-FERT_CAR)+F1457*(PRICE_MES-FERT_MES)-(FARMER_SALARY+A1457*TEMP_COST)-FIXED_COSTS)</f>
        <v>-24336</v>
      </c>
    </row>
    <row r="1458">
      <c r="A1458" s="5" t="n">
        <v>3</v>
      </c>
      <c r="B1458" s="5" t="n">
        <v>5</v>
      </c>
      <c r="C1458" s="5" t="n">
        <v>17</v>
      </c>
      <c r="D1458" s="18">
        <f>SEASON_HRS_TOM*B1458*(1+DIM_TOM)^B1458+SEASON_HRS_CAR*C1458*(1+DIM_CAR)^C1458</f>
        <v>1500.754813200309</v>
      </c>
      <c r="E1458" s="18">
        <f>(FARMER_FIELD_HRS+A1458*TEMP_HRS)-D1458</f>
        <v>3539.245186799691</v>
      </c>
      <c r="F1458" s="21">
        <f>IF(E1458&lt;0,0,MIN(COUNTIF(Labor!$C$59:$C$88,"&lt;="&amp;E1458),MAXBED_MES,TOTAL_BEDS-B1458-C1458))</f>
        <v>30</v>
      </c>
      <c r="G1458" s="21">
        <f>B1458+C1458+F1458</f>
        <v>52</v>
      </c>
      <c r="H1458" s="22">
        <f>IF(E1458&lt;0,-999999999,B1458*(PRICE_TOM-FERT_TOM)+C1458*(PRICE_CAR-FERT_CAR)+F1458*(PRICE_MES-FERT_MES)-(FARMER_SALARY+A1458*TEMP_COST)-FIXED_COSTS)</f>
        <v>-22682</v>
      </c>
    </row>
    <row r="1459">
      <c r="A1459" s="5" t="n">
        <v>3</v>
      </c>
      <c r="B1459" s="5" t="n">
        <v>5</v>
      </c>
      <c r="C1459" s="5" t="n">
        <v>18</v>
      </c>
      <c r="D1459" s="18">
        <f>SEASON_HRS_TOM*B1459*(1+DIM_TOM)^B1459+SEASON_HRS_CAR*C1459*(1+DIM_CAR)^C1459</f>
        <v>1566.9452075615118</v>
      </c>
      <c r="E1459" s="18">
        <f>(FARMER_FIELD_HRS+A1459*TEMP_HRS)-D1459</f>
        <v>3473.054792438488</v>
      </c>
      <c r="F1459" s="21">
        <f>IF(E1459&lt;0,0,MIN(COUNTIF(Labor!$C$59:$C$88,"&lt;="&amp;E1459),MAXBED_MES,TOTAL_BEDS-B1459-C1459))</f>
        <v>30</v>
      </c>
      <c r="G1459" s="21">
        <f>B1459+C1459+F1459</f>
        <v>53</v>
      </c>
      <c r="H1459" s="22">
        <f>IF(E1459&lt;0,-999999999,B1459*(PRICE_TOM-FERT_TOM)+C1459*(PRICE_CAR-FERT_CAR)+F1459*(PRICE_MES-FERT_MES)-(FARMER_SALARY+A1459*TEMP_COST)-FIXED_COSTS)</f>
        <v>-21028</v>
      </c>
    </row>
    <row r="1460">
      <c r="A1460" s="5" t="n">
        <v>3</v>
      </c>
      <c r="B1460" s="5" t="n">
        <v>5</v>
      </c>
      <c r="C1460" s="5" t="n">
        <v>19</v>
      </c>
      <c r="D1460" s="18">
        <f>SEASON_HRS_TOM*B1460*(1+DIM_TOM)^B1460+SEASON_HRS_CAR*C1460*(1+DIM_CAR)^C1460</f>
        <v>1635.9601058200244</v>
      </c>
      <c r="E1460" s="18">
        <f>(FARMER_FIELD_HRS+A1460*TEMP_HRS)-D1460</f>
        <v>3404.039894179976</v>
      </c>
      <c r="F1460" s="21">
        <f>IF(E1460&lt;0,0,MIN(COUNTIF(Labor!$C$59:$C$88,"&lt;="&amp;E1460),MAXBED_MES,TOTAL_BEDS-B1460-C1460))</f>
        <v>30</v>
      </c>
      <c r="G1460" s="21">
        <f>B1460+C1460+F1460</f>
        <v>54</v>
      </c>
      <c r="H1460" s="22">
        <f>IF(E1460&lt;0,-999999999,B1460*(PRICE_TOM-FERT_TOM)+C1460*(PRICE_CAR-FERT_CAR)+F1460*(PRICE_MES-FERT_MES)-(FARMER_SALARY+A1460*TEMP_COST)-FIXED_COSTS)</f>
        <v>-19374</v>
      </c>
    </row>
    <row r="1461">
      <c r="A1461" s="5" t="n">
        <v>3</v>
      </c>
      <c r="B1461" s="5" t="n">
        <v>5</v>
      </c>
      <c r="C1461" s="5" t="n">
        <v>20</v>
      </c>
      <c r="D1461" s="18">
        <f>SEASON_HRS_TOM*B1461*(1+DIM_TOM)^B1461+SEASON_HRS_CAR*C1461*(1+DIM_CAR)^C1461</f>
        <v>1707.8993641742368</v>
      </c>
      <c r="E1461" s="18">
        <f>(FARMER_FIELD_HRS+A1461*TEMP_HRS)-D1461</f>
        <v>3332.100635825763</v>
      </c>
      <c r="F1461" s="21">
        <f>IF(E1461&lt;0,0,MIN(COUNTIF(Labor!$C$59:$C$88,"&lt;="&amp;E1461),MAXBED_MES,TOTAL_BEDS-B1461-C1461))</f>
        <v>30</v>
      </c>
      <c r="G1461" s="21">
        <f>B1461+C1461+F1461</f>
        <v>55</v>
      </c>
      <c r="H1461" s="22">
        <f>IF(E1461&lt;0,-999999999,B1461*(PRICE_TOM-FERT_TOM)+C1461*(PRICE_CAR-FERT_CAR)+F1461*(PRICE_MES-FERT_MES)-(FARMER_SALARY+A1461*TEMP_COST)-FIXED_COSTS)</f>
        <v>-17720</v>
      </c>
    </row>
    <row r="1462">
      <c r="A1462" s="5" t="n">
        <v>3</v>
      </c>
      <c r="B1462" s="5" t="n">
        <v>6</v>
      </c>
      <c r="C1462" s="5" t="n">
        <v>0</v>
      </c>
      <c r="D1462" s="18">
        <f>SEASON_HRS_TOM*B1462*(1+DIM_TOM)^B1462+SEASON_HRS_CAR*C1462*(1+DIM_CAR)^C1462</f>
        <v>956.6429400000004</v>
      </c>
      <c r="E1462" s="18">
        <f>(FARMER_FIELD_HRS+A1462*TEMP_HRS)-D1462</f>
        <v>4083.3570599999994</v>
      </c>
      <c r="F1462" s="21">
        <f>IF(E1462&lt;0,0,MIN(COUNTIF(Labor!$C$59:$C$88,"&lt;="&amp;E1462),MAXBED_MES,TOTAL_BEDS-B1462-C1462))</f>
        <v>30</v>
      </c>
      <c r="G1462" s="21">
        <f>B1462+C1462+F1462</f>
        <v>36</v>
      </c>
      <c r="H1462" s="22">
        <f>IF(E1462&lt;0,-999999999,B1462*(PRICE_TOM-FERT_TOM)+C1462*(PRICE_CAR-FERT_CAR)+F1462*(PRICE_MES-FERT_MES)-(FARMER_SALARY+A1462*TEMP_COST)-FIXED_COSTS)</f>
        <v>-42880</v>
      </c>
    </row>
    <row r="1463">
      <c r="A1463" s="5" t="n">
        <v>3</v>
      </c>
      <c r="B1463" s="5" t="n">
        <v>6</v>
      </c>
      <c r="C1463" s="5" t="n">
        <v>1</v>
      </c>
      <c r="D1463" s="18">
        <f>SEASON_HRS_TOM*B1463*(1+DIM_TOM)^B1463+SEASON_HRS_CAR*C1463*(1+DIM_CAR)^C1463</f>
        <v>987.3929400000004</v>
      </c>
      <c r="E1463" s="18">
        <f>(FARMER_FIELD_HRS+A1463*TEMP_HRS)-D1463</f>
        <v>4052.6070599999994</v>
      </c>
      <c r="F1463" s="21">
        <f>IF(E1463&lt;0,0,MIN(COUNTIF(Labor!$C$59:$C$88,"&lt;="&amp;E1463),MAXBED_MES,TOTAL_BEDS-B1463-C1463))</f>
        <v>30</v>
      </c>
      <c r="G1463" s="21">
        <f>B1463+C1463+F1463</f>
        <v>37</v>
      </c>
      <c r="H1463" s="22">
        <f>IF(E1463&lt;0,-999999999,B1463*(PRICE_TOM-FERT_TOM)+C1463*(PRICE_CAR-FERT_CAR)+F1463*(PRICE_MES-FERT_MES)-(FARMER_SALARY+A1463*TEMP_COST)-FIXED_COSTS)</f>
        <v>-41226</v>
      </c>
    </row>
    <row r="1464">
      <c r="A1464" s="5" t="n">
        <v>3</v>
      </c>
      <c r="B1464" s="5" t="n">
        <v>6</v>
      </c>
      <c r="C1464" s="5" t="n">
        <v>2</v>
      </c>
      <c r="D1464" s="18">
        <f>SEASON_HRS_TOM*B1464*(1+DIM_TOM)^B1464+SEASON_HRS_CAR*C1464*(1+DIM_CAR)^C1464</f>
        <v>1019.6804400000004</v>
      </c>
      <c r="E1464" s="18">
        <f>(FARMER_FIELD_HRS+A1464*TEMP_HRS)-D1464</f>
        <v>4020.3195599999995</v>
      </c>
      <c r="F1464" s="21">
        <f>IF(E1464&lt;0,0,MIN(COUNTIF(Labor!$C$59:$C$88,"&lt;="&amp;E1464),MAXBED_MES,TOTAL_BEDS-B1464-C1464))</f>
        <v>30</v>
      </c>
      <c r="G1464" s="21">
        <f>B1464+C1464+F1464</f>
        <v>38</v>
      </c>
      <c r="H1464" s="22">
        <f>IF(E1464&lt;0,-999999999,B1464*(PRICE_TOM-FERT_TOM)+C1464*(PRICE_CAR-FERT_CAR)+F1464*(PRICE_MES-FERT_MES)-(FARMER_SALARY+A1464*TEMP_COST)-FIXED_COSTS)</f>
        <v>-39572</v>
      </c>
    </row>
    <row r="1465">
      <c r="A1465" s="5" t="n">
        <v>3</v>
      </c>
      <c r="B1465" s="5" t="n">
        <v>6</v>
      </c>
      <c r="C1465" s="5" t="n">
        <v>3</v>
      </c>
      <c r="D1465" s="18">
        <f>SEASON_HRS_TOM*B1465*(1+DIM_TOM)^B1465+SEASON_HRS_CAR*C1465*(1+DIM_CAR)^C1465</f>
        <v>1053.5630962500004</v>
      </c>
      <c r="E1465" s="18">
        <f>(FARMER_FIELD_HRS+A1465*TEMP_HRS)-D1465</f>
        <v>3986.4369037499996</v>
      </c>
      <c r="F1465" s="21">
        <f>IF(E1465&lt;0,0,MIN(COUNTIF(Labor!$C$59:$C$88,"&lt;="&amp;E1465),MAXBED_MES,TOTAL_BEDS-B1465-C1465))</f>
        <v>30</v>
      </c>
      <c r="G1465" s="21">
        <f>B1465+C1465+F1465</f>
        <v>39</v>
      </c>
      <c r="H1465" s="22">
        <f>IF(E1465&lt;0,-999999999,B1465*(PRICE_TOM-FERT_TOM)+C1465*(PRICE_CAR-FERT_CAR)+F1465*(PRICE_MES-FERT_MES)-(FARMER_SALARY+A1465*TEMP_COST)-FIXED_COSTS)</f>
        <v>-37918</v>
      </c>
    </row>
    <row r="1466">
      <c r="A1466" s="5" t="n">
        <v>3</v>
      </c>
      <c r="B1466" s="5" t="n">
        <v>6</v>
      </c>
      <c r="C1466" s="5" t="n">
        <v>4</v>
      </c>
      <c r="D1466" s="18">
        <f>SEASON_HRS_TOM*B1466*(1+DIM_TOM)^B1466+SEASON_HRS_CAR*C1466*(1+DIM_CAR)^C1466</f>
        <v>1089.1004868750003</v>
      </c>
      <c r="E1466" s="18">
        <f>(FARMER_FIELD_HRS+A1466*TEMP_HRS)-D1466</f>
        <v>3950.8995131249994</v>
      </c>
      <c r="F1466" s="21">
        <f>IF(E1466&lt;0,0,MIN(COUNTIF(Labor!$C$59:$C$88,"&lt;="&amp;E1466),MAXBED_MES,TOTAL_BEDS-B1466-C1466))</f>
        <v>30</v>
      </c>
      <c r="G1466" s="21">
        <f>B1466+C1466+F1466</f>
        <v>40</v>
      </c>
      <c r="H1466" s="22">
        <f>IF(E1466&lt;0,-999999999,B1466*(PRICE_TOM-FERT_TOM)+C1466*(PRICE_CAR-FERT_CAR)+F1466*(PRICE_MES-FERT_MES)-(FARMER_SALARY+A1466*TEMP_COST)-FIXED_COSTS)</f>
        <v>-36264</v>
      </c>
    </row>
    <row r="1467">
      <c r="A1467" s="5" t="n">
        <v>3</v>
      </c>
      <c r="B1467" s="5" t="n">
        <v>6</v>
      </c>
      <c r="C1467" s="5" t="n">
        <v>5</v>
      </c>
      <c r="D1467" s="18">
        <f>SEASON_HRS_TOM*B1467*(1+DIM_TOM)^B1467+SEASON_HRS_CAR*C1467*(1+DIM_CAR)^C1467</f>
        <v>1126.354171933594</v>
      </c>
      <c r="E1467" s="18">
        <f>(FARMER_FIELD_HRS+A1467*TEMP_HRS)-D1467</f>
        <v>3913.645828066406</v>
      </c>
      <c r="F1467" s="21">
        <f>IF(E1467&lt;0,0,MIN(COUNTIF(Labor!$C$59:$C$88,"&lt;="&amp;E1467),MAXBED_MES,TOTAL_BEDS-B1467-C1467))</f>
        <v>30</v>
      </c>
      <c r="G1467" s="21">
        <f>B1467+C1467+F1467</f>
        <v>41</v>
      </c>
      <c r="H1467" s="22">
        <f>IF(E1467&lt;0,-999999999,B1467*(PRICE_TOM-FERT_TOM)+C1467*(PRICE_CAR-FERT_CAR)+F1467*(PRICE_MES-FERT_MES)-(FARMER_SALARY+A1467*TEMP_COST)-FIXED_COSTS)</f>
        <v>-34610</v>
      </c>
    </row>
    <row r="1468">
      <c r="A1468" s="5" t="n">
        <v>3</v>
      </c>
      <c r="B1468" s="5" t="n">
        <v>6</v>
      </c>
      <c r="C1468" s="5" t="n">
        <v>6</v>
      </c>
      <c r="D1468" s="18">
        <f>SEASON_HRS_TOM*B1468*(1+DIM_TOM)^B1468+SEASON_HRS_CAR*C1468*(1+DIM_CAR)^C1468</f>
        <v>1165.3877552783206</v>
      </c>
      <c r="E1468" s="18">
        <f>(FARMER_FIELD_HRS+A1468*TEMP_HRS)-D1468</f>
        <v>3874.6122447216794</v>
      </c>
      <c r="F1468" s="21">
        <f>IF(E1468&lt;0,0,MIN(COUNTIF(Labor!$C$59:$C$88,"&lt;="&amp;E1468),MAXBED_MES,TOTAL_BEDS-B1468-C1468))</f>
        <v>30</v>
      </c>
      <c r="G1468" s="21">
        <f>B1468+C1468+F1468</f>
        <v>42</v>
      </c>
      <c r="H1468" s="22">
        <f>IF(E1468&lt;0,-999999999,B1468*(PRICE_TOM-FERT_TOM)+C1468*(PRICE_CAR-FERT_CAR)+F1468*(PRICE_MES-FERT_MES)-(FARMER_SALARY+A1468*TEMP_COST)-FIXED_COSTS)</f>
        <v>-32956</v>
      </c>
    </row>
    <row r="1469">
      <c r="A1469" s="5" t="n">
        <v>3</v>
      </c>
      <c r="B1469" s="5" t="n">
        <v>6</v>
      </c>
      <c r="C1469" s="5" t="n">
        <v>7</v>
      </c>
      <c r="D1469" s="18">
        <f>SEASON_HRS_TOM*B1469*(1+DIM_TOM)^B1469+SEASON_HRS_CAR*C1469*(1+DIM_CAR)^C1469</f>
        <v>1206.266948270325</v>
      </c>
      <c r="E1469" s="18">
        <f>(FARMER_FIELD_HRS+A1469*TEMP_HRS)-D1469</f>
        <v>3833.733051729675</v>
      </c>
      <c r="F1469" s="21">
        <f>IF(E1469&lt;0,0,MIN(COUNTIF(Labor!$C$59:$C$88,"&lt;="&amp;E1469),MAXBED_MES,TOTAL_BEDS-B1469-C1469))</f>
        <v>30</v>
      </c>
      <c r="G1469" s="21">
        <f>B1469+C1469+F1469</f>
        <v>43</v>
      </c>
      <c r="H1469" s="22">
        <f>IF(E1469&lt;0,-999999999,B1469*(PRICE_TOM-FERT_TOM)+C1469*(PRICE_CAR-FERT_CAR)+F1469*(PRICE_MES-FERT_MES)-(FARMER_SALARY+A1469*TEMP_COST)-FIXED_COSTS)</f>
        <v>-31302</v>
      </c>
    </row>
    <row r="1470">
      <c r="A1470" s="5" t="n">
        <v>3</v>
      </c>
      <c r="B1470" s="5" t="n">
        <v>6</v>
      </c>
      <c r="C1470" s="5" t="n">
        <v>8</v>
      </c>
      <c r="D1470" s="18">
        <f>SEASON_HRS_TOM*B1470*(1+DIM_TOM)^B1470+SEASON_HRS_CAR*C1470*(1+DIM_CAR)^C1470</f>
        <v>1249.0596354023805</v>
      </c>
      <c r="E1470" s="18">
        <f>(FARMER_FIELD_HRS+A1470*TEMP_HRS)-D1470</f>
        <v>3790.9403645976195</v>
      </c>
      <c r="F1470" s="21">
        <f>IF(E1470&lt;0,0,MIN(COUNTIF(Labor!$C$59:$C$88,"&lt;="&amp;E1470),MAXBED_MES,TOTAL_BEDS-B1470-C1470))</f>
        <v>30</v>
      </c>
      <c r="G1470" s="21">
        <f>B1470+C1470+F1470</f>
        <v>44</v>
      </c>
      <c r="H1470" s="22">
        <f>IF(E1470&lt;0,-999999999,B1470*(PRICE_TOM-FERT_TOM)+C1470*(PRICE_CAR-FERT_CAR)+F1470*(PRICE_MES-FERT_MES)-(FARMER_SALARY+A1470*TEMP_COST)-FIXED_COSTS)</f>
        <v>-29648</v>
      </c>
    </row>
    <row r="1471">
      <c r="A1471" s="5" t="n">
        <v>3</v>
      </c>
      <c r="B1471" s="5" t="n">
        <v>6</v>
      </c>
      <c r="C1471" s="5" t="n">
        <v>9</v>
      </c>
      <c r="D1471" s="18">
        <f>SEASON_HRS_TOM*B1471*(1+DIM_TOM)^B1471+SEASON_HRS_CAR*C1471*(1+DIM_CAR)^C1471</f>
        <v>1293.83594188587</v>
      </c>
      <c r="E1471" s="18">
        <f>(FARMER_FIELD_HRS+A1471*TEMP_HRS)-D1471</f>
        <v>3746.16405811413</v>
      </c>
      <c r="F1471" s="21">
        <f>IF(E1471&lt;0,0,MIN(COUNTIF(Labor!$C$59:$C$88,"&lt;="&amp;E1471),MAXBED_MES,TOTAL_BEDS-B1471-C1471))</f>
        <v>30</v>
      </c>
      <c r="G1471" s="21">
        <f>B1471+C1471+F1471</f>
        <v>45</v>
      </c>
      <c r="H1471" s="22">
        <f>IF(E1471&lt;0,-999999999,B1471*(PRICE_TOM-FERT_TOM)+C1471*(PRICE_CAR-FERT_CAR)+F1471*(PRICE_MES-FERT_MES)-(FARMER_SALARY+A1471*TEMP_COST)-FIXED_COSTS)</f>
        <v>-27994</v>
      </c>
    </row>
    <row r="1472">
      <c r="A1472" s="5" t="n">
        <v>3</v>
      </c>
      <c r="B1472" s="5" t="n">
        <v>6</v>
      </c>
      <c r="C1472" s="5" t="n">
        <v>10</v>
      </c>
      <c r="D1472" s="18">
        <f>SEASON_HRS_TOM*B1472*(1+DIM_TOM)^B1472+SEASON_HRS_CAR*C1472*(1+DIM_CAR)^C1472</f>
        <v>1340.6683032589074</v>
      </c>
      <c r="E1472" s="18">
        <f>(FARMER_FIELD_HRS+A1472*TEMP_HRS)-D1472</f>
        <v>3699.331696741093</v>
      </c>
      <c r="F1472" s="21">
        <f>IF(E1472&lt;0,0,MIN(COUNTIF(Labor!$C$59:$C$88,"&lt;="&amp;E1472),MAXBED_MES,TOTAL_BEDS-B1472-C1472))</f>
        <v>30</v>
      </c>
      <c r="G1472" s="21">
        <f>B1472+C1472+F1472</f>
        <v>46</v>
      </c>
      <c r="H1472" s="22">
        <f>IF(E1472&lt;0,-999999999,B1472*(PRICE_TOM-FERT_TOM)+C1472*(PRICE_CAR-FERT_CAR)+F1472*(PRICE_MES-FERT_MES)-(FARMER_SALARY+A1472*TEMP_COST)-FIXED_COSTS)</f>
        <v>-26340</v>
      </c>
    </row>
    <row r="1473">
      <c r="A1473" s="5" t="n">
        <v>3</v>
      </c>
      <c r="B1473" s="5" t="n">
        <v>6</v>
      </c>
      <c r="C1473" s="5" t="n">
        <v>11</v>
      </c>
      <c r="D1473" s="18">
        <f>SEASON_HRS_TOM*B1473*(1+DIM_TOM)^B1473+SEASON_HRS_CAR*C1473*(1+DIM_CAR)^C1473</f>
        <v>1389.631537074418</v>
      </c>
      <c r="E1473" s="18">
        <f>(FARMER_FIELD_HRS+A1473*TEMP_HRS)-D1473</f>
        <v>3650.368462925582</v>
      </c>
      <c r="F1473" s="21">
        <f>IF(E1473&lt;0,0,MIN(COUNTIF(Labor!$C$59:$C$88,"&lt;="&amp;E1473),MAXBED_MES,TOTAL_BEDS-B1473-C1473))</f>
        <v>30</v>
      </c>
      <c r="G1473" s="21">
        <f>B1473+C1473+F1473</f>
        <v>47</v>
      </c>
      <c r="H1473" s="22">
        <f>IF(E1473&lt;0,-999999999,B1473*(PRICE_TOM-FERT_TOM)+C1473*(PRICE_CAR-FERT_CAR)+F1473*(PRICE_MES-FERT_MES)-(FARMER_SALARY+A1473*TEMP_COST)-FIXED_COSTS)</f>
        <v>-24686</v>
      </c>
    </row>
    <row r="1474">
      <c r="A1474" s="5" t="n">
        <v>3</v>
      </c>
      <c r="B1474" s="5" t="n">
        <v>6</v>
      </c>
      <c r="C1474" s="5" t="n">
        <v>12</v>
      </c>
      <c r="D1474" s="18">
        <f>SEASON_HRS_TOM*B1474*(1+DIM_TOM)^B1474+SEASON_HRS_CAR*C1474*(1+DIM_CAR)^C1474</f>
        <v>1440.8029167286672</v>
      </c>
      <c r="E1474" s="18">
        <f>(FARMER_FIELD_HRS+A1474*TEMP_HRS)-D1474</f>
        <v>3599.1970832713328</v>
      </c>
      <c r="F1474" s="21">
        <f>IF(E1474&lt;0,0,MIN(COUNTIF(Labor!$C$59:$C$88,"&lt;="&amp;E1474),MAXBED_MES,TOTAL_BEDS-B1474-C1474))</f>
        <v>30</v>
      </c>
      <c r="G1474" s="21">
        <f>B1474+C1474+F1474</f>
        <v>48</v>
      </c>
      <c r="H1474" s="22">
        <f>IF(E1474&lt;0,-999999999,B1474*(PRICE_TOM-FERT_TOM)+C1474*(PRICE_CAR-FERT_CAR)+F1474*(PRICE_MES-FERT_MES)-(FARMER_SALARY+A1474*TEMP_COST)-FIXED_COSTS)</f>
        <v>-23032</v>
      </c>
    </row>
    <row r="1475">
      <c r="A1475" s="5" t="n">
        <v>3</v>
      </c>
      <c r="B1475" s="5" t="n">
        <v>6</v>
      </c>
      <c r="C1475" s="5" t="n">
        <v>13</v>
      </c>
      <c r="D1475" s="18">
        <f>SEASON_HRS_TOM*B1475*(1+DIM_TOM)^B1475+SEASON_HRS_CAR*C1475*(1+DIM_CAR)^C1475</f>
        <v>1494.2622474924574</v>
      </c>
      <c r="E1475" s="18">
        <f>(FARMER_FIELD_HRS+A1475*TEMP_HRS)-D1475</f>
        <v>3545.7377525075426</v>
      </c>
      <c r="F1475" s="21">
        <f>IF(E1475&lt;0,0,MIN(COUNTIF(Labor!$C$59:$C$88,"&lt;="&amp;E1475),MAXBED_MES,TOTAL_BEDS-B1475-C1475))</f>
        <v>30</v>
      </c>
      <c r="G1475" s="21">
        <f>B1475+C1475+F1475</f>
        <v>49</v>
      </c>
      <c r="H1475" s="22">
        <f>IF(E1475&lt;0,-999999999,B1475*(PRICE_TOM-FERT_TOM)+C1475*(PRICE_CAR-FERT_CAR)+F1475*(PRICE_MES-FERT_MES)-(FARMER_SALARY+A1475*TEMP_COST)-FIXED_COSTS)</f>
        <v>-21378</v>
      </c>
    </row>
    <row r="1476">
      <c r="A1476" s="5" t="n">
        <v>3</v>
      </c>
      <c r="B1476" s="5" t="n">
        <v>6</v>
      </c>
      <c r="C1476" s="5" t="n">
        <v>14</v>
      </c>
      <c r="D1476" s="18">
        <f>SEASON_HRS_TOM*B1476*(1+DIM_TOM)^B1476+SEASON_HRS_CAR*C1476*(1+DIM_CAR)^C1476</f>
        <v>1550.0919448089821</v>
      </c>
      <c r="E1476" s="18">
        <f>(FARMER_FIELD_HRS+A1476*TEMP_HRS)-D1476</f>
        <v>3489.908055191018</v>
      </c>
      <c r="F1476" s="21">
        <f>IF(E1476&lt;0,0,MIN(COUNTIF(Labor!$C$59:$C$88,"&lt;="&amp;E1476),MAXBED_MES,TOTAL_BEDS-B1476-C1476))</f>
        <v>30</v>
      </c>
      <c r="G1476" s="21">
        <f>B1476+C1476+F1476</f>
        <v>50</v>
      </c>
      <c r="H1476" s="22">
        <f>IF(E1476&lt;0,-999999999,B1476*(PRICE_TOM-FERT_TOM)+C1476*(PRICE_CAR-FERT_CAR)+F1476*(PRICE_MES-FERT_MES)-(FARMER_SALARY+A1476*TEMP_COST)-FIXED_COSTS)</f>
        <v>-19724</v>
      </c>
    </row>
    <row r="1477">
      <c r="A1477" s="5" t="n">
        <v>3</v>
      </c>
      <c r="B1477" s="5" t="n">
        <v>6</v>
      </c>
      <c r="C1477" s="5" t="n">
        <v>15</v>
      </c>
      <c r="D1477" s="18">
        <f>SEASON_HRS_TOM*B1477*(1+DIM_TOM)^B1477+SEASON_HRS_CAR*C1477*(1+DIM_CAR)^C1477</f>
        <v>1608.3771149241497</v>
      </c>
      <c r="E1477" s="18">
        <f>(FARMER_FIELD_HRS+A1477*TEMP_HRS)-D1477</f>
        <v>3431.6228850758503</v>
      </c>
      <c r="F1477" s="21">
        <f>IF(E1477&lt;0,0,MIN(COUNTIF(Labor!$C$59:$C$88,"&lt;="&amp;E1477),MAXBED_MES,TOTAL_BEDS-B1477-C1477))</f>
        <v>30</v>
      </c>
      <c r="G1477" s="21">
        <f>B1477+C1477+F1477</f>
        <v>51</v>
      </c>
      <c r="H1477" s="22">
        <f>IF(E1477&lt;0,-999999999,B1477*(PRICE_TOM-FERT_TOM)+C1477*(PRICE_CAR-FERT_CAR)+F1477*(PRICE_MES-FERT_MES)-(FARMER_SALARY+A1477*TEMP_COST)-FIXED_COSTS)</f>
        <v>-18070</v>
      </c>
    </row>
    <row r="1478">
      <c r="A1478" s="5" t="n">
        <v>3</v>
      </c>
      <c r="B1478" s="5" t="n">
        <v>6</v>
      </c>
      <c r="C1478" s="5" t="n">
        <v>16</v>
      </c>
      <c r="D1478" s="18">
        <f>SEASON_HRS_TOM*B1478*(1+DIM_TOM)^B1478+SEASON_HRS_CAR*C1478*(1+DIM_CAR)^C1478</f>
        <v>1669.2056379170704</v>
      </c>
      <c r="E1478" s="18">
        <f>(FARMER_FIELD_HRS+A1478*TEMP_HRS)-D1478</f>
        <v>3370.7943620829296</v>
      </c>
      <c r="F1478" s="21">
        <f>IF(E1478&lt;0,0,MIN(COUNTIF(Labor!$C$59:$C$88,"&lt;="&amp;E1478),MAXBED_MES,TOTAL_BEDS-B1478-C1478))</f>
        <v>30</v>
      </c>
      <c r="G1478" s="21">
        <f>B1478+C1478+F1478</f>
        <v>52</v>
      </c>
      <c r="H1478" s="22">
        <f>IF(E1478&lt;0,-999999999,B1478*(PRICE_TOM-FERT_TOM)+C1478*(PRICE_CAR-FERT_CAR)+F1478*(PRICE_MES-FERT_MES)-(FARMER_SALARY+A1478*TEMP_COST)-FIXED_COSTS)</f>
        <v>-16416</v>
      </c>
    </row>
    <row r="1479">
      <c r="A1479" s="5" t="n">
        <v>3</v>
      </c>
      <c r="B1479" s="5" t="n">
        <v>6</v>
      </c>
      <c r="C1479" s="5" t="n">
        <v>17</v>
      </c>
      <c r="D1479" s="18">
        <f>SEASON_HRS_TOM*B1479*(1+DIM_TOM)^B1479+SEASON_HRS_CAR*C1479*(1+DIM_CAR)^C1479</f>
        <v>1732.6682532003092</v>
      </c>
      <c r="E1479" s="18">
        <f>(FARMER_FIELD_HRS+A1479*TEMP_HRS)-D1479</f>
        <v>3307.331746799691</v>
      </c>
      <c r="F1479" s="21">
        <f>IF(E1479&lt;0,0,MIN(COUNTIF(Labor!$C$59:$C$88,"&lt;="&amp;E1479),MAXBED_MES,TOTAL_BEDS-B1479-C1479))</f>
        <v>30</v>
      </c>
      <c r="G1479" s="21">
        <f>B1479+C1479+F1479</f>
        <v>53</v>
      </c>
      <c r="H1479" s="22">
        <f>IF(E1479&lt;0,-999999999,B1479*(PRICE_TOM-FERT_TOM)+C1479*(PRICE_CAR-FERT_CAR)+F1479*(PRICE_MES-FERT_MES)-(FARMER_SALARY+A1479*TEMP_COST)-FIXED_COSTS)</f>
        <v>-14762</v>
      </c>
    </row>
    <row r="1480">
      <c r="A1480" s="5" t="n">
        <v>3</v>
      </c>
      <c r="B1480" s="5" t="n">
        <v>6</v>
      </c>
      <c r="C1480" s="5" t="n">
        <v>18</v>
      </c>
      <c r="D1480" s="18">
        <f>SEASON_HRS_TOM*B1480*(1+DIM_TOM)^B1480+SEASON_HRS_CAR*C1480*(1+DIM_CAR)^C1480</f>
        <v>1798.858647561512</v>
      </c>
      <c r="E1480" s="18">
        <f>(FARMER_FIELD_HRS+A1480*TEMP_HRS)-D1480</f>
        <v>3241.141352438488</v>
      </c>
      <c r="F1480" s="21">
        <f>IF(E1480&lt;0,0,MIN(COUNTIF(Labor!$C$59:$C$88,"&lt;="&amp;E1480),MAXBED_MES,TOTAL_BEDS-B1480-C1480))</f>
        <v>30</v>
      </c>
      <c r="G1480" s="21">
        <f>B1480+C1480+F1480</f>
        <v>54</v>
      </c>
      <c r="H1480" s="22">
        <f>IF(E1480&lt;0,-999999999,B1480*(PRICE_TOM-FERT_TOM)+C1480*(PRICE_CAR-FERT_CAR)+F1480*(PRICE_MES-FERT_MES)-(FARMER_SALARY+A1480*TEMP_COST)-FIXED_COSTS)</f>
        <v>-13108</v>
      </c>
    </row>
    <row r="1481">
      <c r="A1481" s="5" t="n">
        <v>3</v>
      </c>
      <c r="B1481" s="5" t="n">
        <v>6</v>
      </c>
      <c r="C1481" s="5" t="n">
        <v>19</v>
      </c>
      <c r="D1481" s="18">
        <f>SEASON_HRS_TOM*B1481*(1+DIM_TOM)^B1481+SEASON_HRS_CAR*C1481*(1+DIM_CAR)^C1481</f>
        <v>1867.8735458200244</v>
      </c>
      <c r="E1481" s="18">
        <f>(FARMER_FIELD_HRS+A1481*TEMP_HRS)-D1481</f>
        <v>3172.1264541799756</v>
      </c>
      <c r="F1481" s="21">
        <f>IF(E1481&lt;0,0,MIN(COUNTIF(Labor!$C$59:$C$88,"&lt;="&amp;E1481),MAXBED_MES,TOTAL_BEDS-B1481-C1481))</f>
        <v>30</v>
      </c>
      <c r="G1481" s="21">
        <f>B1481+C1481+F1481</f>
        <v>55</v>
      </c>
      <c r="H1481" s="22">
        <f>IF(E1481&lt;0,-999999999,B1481*(PRICE_TOM-FERT_TOM)+C1481*(PRICE_CAR-FERT_CAR)+F1481*(PRICE_MES-FERT_MES)-(FARMER_SALARY+A1481*TEMP_COST)-FIXED_COSTS)</f>
        <v>-11454</v>
      </c>
    </row>
    <row r="1482">
      <c r="A1482" s="5" t="n">
        <v>3</v>
      </c>
      <c r="B1482" s="5" t="n">
        <v>6</v>
      </c>
      <c r="C1482" s="5" t="n">
        <v>20</v>
      </c>
      <c r="D1482" s="18">
        <f>SEASON_HRS_TOM*B1482*(1+DIM_TOM)^B1482+SEASON_HRS_CAR*C1482*(1+DIM_CAR)^C1482</f>
        <v>1939.812804174237</v>
      </c>
      <c r="E1482" s="18">
        <f>(FARMER_FIELD_HRS+A1482*TEMP_HRS)-D1482</f>
        <v>3100.187195825763</v>
      </c>
      <c r="F1482" s="21">
        <f>IF(E1482&lt;0,0,MIN(COUNTIF(Labor!$C$59:$C$88,"&lt;="&amp;E1482),MAXBED_MES,TOTAL_BEDS-B1482-C1482))</f>
        <v>30</v>
      </c>
      <c r="G1482" s="21">
        <f>B1482+C1482+F1482</f>
        <v>56</v>
      </c>
      <c r="H1482" s="22">
        <f>IF(E1482&lt;0,-999999999,B1482*(PRICE_TOM-FERT_TOM)+C1482*(PRICE_CAR-FERT_CAR)+F1482*(PRICE_MES-FERT_MES)-(FARMER_SALARY+A1482*TEMP_COST)-FIXED_COSTS)</f>
        <v>-9800</v>
      </c>
    </row>
    <row r="1483">
      <c r="A1483" s="5" t="n">
        <v>3</v>
      </c>
      <c r="B1483" s="5" t="n">
        <v>7</v>
      </c>
      <c r="C1483" s="5" t="n">
        <v>0</v>
      </c>
      <c r="D1483" s="18">
        <f>SEASON_HRS_TOM*B1483*(1+DIM_TOM)^B1483+SEASON_HRS_CAR*C1483*(1+DIM_CAR)^C1483</f>
        <v>1227.6917730000007</v>
      </c>
      <c r="E1483" s="18">
        <f>(FARMER_FIELD_HRS+A1483*TEMP_HRS)-D1483</f>
        <v>3812.3082269999995</v>
      </c>
      <c r="F1483" s="21">
        <f>IF(E1483&lt;0,0,MIN(COUNTIF(Labor!$C$59:$C$88,"&lt;="&amp;E1483),MAXBED_MES,TOTAL_BEDS-B1483-C1483))</f>
        <v>30</v>
      </c>
      <c r="G1483" s="21">
        <f>B1483+C1483+F1483</f>
        <v>37</v>
      </c>
      <c r="H1483" s="22">
        <f>IF(E1483&lt;0,-999999999,B1483*(PRICE_TOM-FERT_TOM)+C1483*(PRICE_CAR-FERT_CAR)+F1483*(PRICE_MES-FERT_MES)-(FARMER_SALARY+A1483*TEMP_COST)-FIXED_COSTS)</f>
        <v>-34960</v>
      </c>
    </row>
    <row r="1484">
      <c r="A1484" s="5" t="n">
        <v>3</v>
      </c>
      <c r="B1484" s="5" t="n">
        <v>7</v>
      </c>
      <c r="C1484" s="5" t="n">
        <v>1</v>
      </c>
      <c r="D1484" s="18">
        <f>SEASON_HRS_TOM*B1484*(1+DIM_TOM)^B1484+SEASON_HRS_CAR*C1484*(1+DIM_CAR)^C1484</f>
        <v>1258.4417730000007</v>
      </c>
      <c r="E1484" s="18">
        <f>(FARMER_FIELD_HRS+A1484*TEMP_HRS)-D1484</f>
        <v>3781.5582269999995</v>
      </c>
      <c r="F1484" s="21">
        <f>IF(E1484&lt;0,0,MIN(COUNTIF(Labor!$C$59:$C$88,"&lt;="&amp;E1484),MAXBED_MES,TOTAL_BEDS-B1484-C1484))</f>
        <v>30</v>
      </c>
      <c r="G1484" s="21">
        <f>B1484+C1484+F1484</f>
        <v>38</v>
      </c>
      <c r="H1484" s="22">
        <f>IF(E1484&lt;0,-999999999,B1484*(PRICE_TOM-FERT_TOM)+C1484*(PRICE_CAR-FERT_CAR)+F1484*(PRICE_MES-FERT_MES)-(FARMER_SALARY+A1484*TEMP_COST)-FIXED_COSTS)</f>
        <v>-33306</v>
      </c>
    </row>
    <row r="1485">
      <c r="A1485" s="5" t="n">
        <v>3</v>
      </c>
      <c r="B1485" s="5" t="n">
        <v>7</v>
      </c>
      <c r="C1485" s="5" t="n">
        <v>2</v>
      </c>
      <c r="D1485" s="18">
        <f>SEASON_HRS_TOM*B1485*(1+DIM_TOM)^B1485+SEASON_HRS_CAR*C1485*(1+DIM_CAR)^C1485</f>
        <v>1290.7292730000006</v>
      </c>
      <c r="E1485" s="18">
        <f>(FARMER_FIELD_HRS+A1485*TEMP_HRS)-D1485</f>
        <v>3749.270726999999</v>
      </c>
      <c r="F1485" s="21">
        <f>IF(E1485&lt;0,0,MIN(COUNTIF(Labor!$C$59:$C$88,"&lt;="&amp;E1485),MAXBED_MES,TOTAL_BEDS-B1485-C1485))</f>
        <v>30</v>
      </c>
      <c r="G1485" s="21">
        <f>B1485+C1485+F1485</f>
        <v>39</v>
      </c>
      <c r="H1485" s="22">
        <f>IF(E1485&lt;0,-999999999,B1485*(PRICE_TOM-FERT_TOM)+C1485*(PRICE_CAR-FERT_CAR)+F1485*(PRICE_MES-FERT_MES)-(FARMER_SALARY+A1485*TEMP_COST)-FIXED_COSTS)</f>
        <v>-31652</v>
      </c>
    </row>
    <row r="1486">
      <c r="A1486" s="5" t="n">
        <v>3</v>
      </c>
      <c r="B1486" s="5" t="n">
        <v>7</v>
      </c>
      <c r="C1486" s="5" t="n">
        <v>3</v>
      </c>
      <c r="D1486" s="18">
        <f>SEASON_HRS_TOM*B1486*(1+DIM_TOM)^B1486+SEASON_HRS_CAR*C1486*(1+DIM_CAR)^C1486</f>
        <v>1324.6119292500007</v>
      </c>
      <c r="E1486" s="18">
        <f>(FARMER_FIELD_HRS+A1486*TEMP_HRS)-D1486</f>
        <v>3715.3880707499993</v>
      </c>
      <c r="F1486" s="21">
        <f>IF(E1486&lt;0,0,MIN(COUNTIF(Labor!$C$59:$C$88,"&lt;="&amp;E1486),MAXBED_MES,TOTAL_BEDS-B1486-C1486))</f>
        <v>30</v>
      </c>
      <c r="G1486" s="21">
        <f>B1486+C1486+F1486</f>
        <v>40</v>
      </c>
      <c r="H1486" s="22">
        <f>IF(E1486&lt;0,-999999999,B1486*(PRICE_TOM-FERT_TOM)+C1486*(PRICE_CAR-FERT_CAR)+F1486*(PRICE_MES-FERT_MES)-(FARMER_SALARY+A1486*TEMP_COST)-FIXED_COSTS)</f>
        <v>-29998</v>
      </c>
    </row>
    <row r="1487">
      <c r="A1487" s="5" t="n">
        <v>3</v>
      </c>
      <c r="B1487" s="5" t="n">
        <v>7</v>
      </c>
      <c r="C1487" s="5" t="n">
        <v>4</v>
      </c>
      <c r="D1487" s="18">
        <f>SEASON_HRS_TOM*B1487*(1+DIM_TOM)^B1487+SEASON_HRS_CAR*C1487*(1+DIM_CAR)^C1487</f>
        <v>1360.1493198750006</v>
      </c>
      <c r="E1487" s="18">
        <f>(FARMER_FIELD_HRS+A1487*TEMP_HRS)-D1487</f>
        <v>3679.8506801249996</v>
      </c>
      <c r="F1487" s="21">
        <f>IF(E1487&lt;0,0,MIN(COUNTIF(Labor!$C$59:$C$88,"&lt;="&amp;E1487),MAXBED_MES,TOTAL_BEDS-B1487-C1487))</f>
        <v>30</v>
      </c>
      <c r="G1487" s="21">
        <f>B1487+C1487+F1487</f>
        <v>41</v>
      </c>
      <c r="H1487" s="22">
        <f>IF(E1487&lt;0,-999999999,B1487*(PRICE_TOM-FERT_TOM)+C1487*(PRICE_CAR-FERT_CAR)+F1487*(PRICE_MES-FERT_MES)-(FARMER_SALARY+A1487*TEMP_COST)-FIXED_COSTS)</f>
        <v>-28344</v>
      </c>
    </row>
    <row r="1488">
      <c r="A1488" s="5" t="n">
        <v>3</v>
      </c>
      <c r="B1488" s="5" t="n">
        <v>7</v>
      </c>
      <c r="C1488" s="5" t="n">
        <v>5</v>
      </c>
      <c r="D1488" s="18">
        <f>SEASON_HRS_TOM*B1488*(1+DIM_TOM)^B1488+SEASON_HRS_CAR*C1488*(1+DIM_CAR)^C1488</f>
        <v>1397.4030049335943</v>
      </c>
      <c r="E1488" s="18">
        <f>(FARMER_FIELD_HRS+A1488*TEMP_HRS)-D1488</f>
        <v>3642.5969950664057</v>
      </c>
      <c r="F1488" s="21">
        <f>IF(E1488&lt;0,0,MIN(COUNTIF(Labor!$C$59:$C$88,"&lt;="&amp;E1488),MAXBED_MES,TOTAL_BEDS-B1488-C1488))</f>
        <v>30</v>
      </c>
      <c r="G1488" s="21">
        <f>B1488+C1488+F1488</f>
        <v>42</v>
      </c>
      <c r="H1488" s="22">
        <f>IF(E1488&lt;0,-999999999,B1488*(PRICE_TOM-FERT_TOM)+C1488*(PRICE_CAR-FERT_CAR)+F1488*(PRICE_MES-FERT_MES)-(FARMER_SALARY+A1488*TEMP_COST)-FIXED_COSTS)</f>
        <v>-26690</v>
      </c>
    </row>
    <row r="1489">
      <c r="A1489" s="5" t="n">
        <v>3</v>
      </c>
      <c r="B1489" s="5" t="n">
        <v>7</v>
      </c>
      <c r="C1489" s="5" t="n">
        <v>6</v>
      </c>
      <c r="D1489" s="18">
        <f>SEASON_HRS_TOM*B1489*(1+DIM_TOM)^B1489+SEASON_HRS_CAR*C1489*(1+DIM_CAR)^C1489</f>
        <v>1436.4365882783209</v>
      </c>
      <c r="E1489" s="18">
        <f>(FARMER_FIELD_HRS+A1489*TEMP_HRS)-D1489</f>
        <v>3603.563411721679</v>
      </c>
      <c r="F1489" s="21">
        <f>IF(E1489&lt;0,0,MIN(COUNTIF(Labor!$C$59:$C$88,"&lt;="&amp;E1489),MAXBED_MES,TOTAL_BEDS-B1489-C1489))</f>
        <v>30</v>
      </c>
      <c r="G1489" s="21">
        <f>B1489+C1489+F1489</f>
        <v>43</v>
      </c>
      <c r="H1489" s="22">
        <f>IF(E1489&lt;0,-999999999,B1489*(PRICE_TOM-FERT_TOM)+C1489*(PRICE_CAR-FERT_CAR)+F1489*(PRICE_MES-FERT_MES)-(FARMER_SALARY+A1489*TEMP_COST)-FIXED_COSTS)</f>
        <v>-25036</v>
      </c>
    </row>
    <row r="1490">
      <c r="A1490" s="5" t="n">
        <v>3</v>
      </c>
      <c r="B1490" s="5" t="n">
        <v>7</v>
      </c>
      <c r="C1490" s="5" t="n">
        <v>7</v>
      </c>
      <c r="D1490" s="18">
        <f>SEASON_HRS_TOM*B1490*(1+DIM_TOM)^B1490+SEASON_HRS_CAR*C1490*(1+DIM_CAR)^C1490</f>
        <v>1477.3157812703253</v>
      </c>
      <c r="E1490" s="18">
        <f>(FARMER_FIELD_HRS+A1490*TEMP_HRS)-D1490</f>
        <v>3562.6842187296747</v>
      </c>
      <c r="F1490" s="21">
        <f>IF(E1490&lt;0,0,MIN(COUNTIF(Labor!$C$59:$C$88,"&lt;="&amp;E1490),MAXBED_MES,TOTAL_BEDS-B1490-C1490))</f>
        <v>30</v>
      </c>
      <c r="G1490" s="21">
        <f>B1490+C1490+F1490</f>
        <v>44</v>
      </c>
      <c r="H1490" s="22">
        <f>IF(E1490&lt;0,-999999999,B1490*(PRICE_TOM-FERT_TOM)+C1490*(PRICE_CAR-FERT_CAR)+F1490*(PRICE_MES-FERT_MES)-(FARMER_SALARY+A1490*TEMP_COST)-FIXED_COSTS)</f>
        <v>-23382</v>
      </c>
    </row>
    <row r="1491">
      <c r="A1491" s="5" t="n">
        <v>3</v>
      </c>
      <c r="B1491" s="5" t="n">
        <v>7</v>
      </c>
      <c r="C1491" s="5" t="n">
        <v>8</v>
      </c>
      <c r="D1491" s="18">
        <f>SEASON_HRS_TOM*B1491*(1+DIM_TOM)^B1491+SEASON_HRS_CAR*C1491*(1+DIM_CAR)^C1491</f>
        <v>1520.1084684023808</v>
      </c>
      <c r="E1491" s="18">
        <f>(FARMER_FIELD_HRS+A1491*TEMP_HRS)-D1491</f>
        <v>3519.891531597619</v>
      </c>
      <c r="F1491" s="21">
        <f>IF(E1491&lt;0,0,MIN(COUNTIF(Labor!$C$59:$C$88,"&lt;="&amp;E1491),MAXBED_MES,TOTAL_BEDS-B1491-C1491))</f>
        <v>30</v>
      </c>
      <c r="G1491" s="21">
        <f>B1491+C1491+F1491</f>
        <v>45</v>
      </c>
      <c r="H1491" s="22">
        <f>IF(E1491&lt;0,-999999999,B1491*(PRICE_TOM-FERT_TOM)+C1491*(PRICE_CAR-FERT_CAR)+F1491*(PRICE_MES-FERT_MES)-(FARMER_SALARY+A1491*TEMP_COST)-FIXED_COSTS)</f>
        <v>-21728</v>
      </c>
    </row>
    <row r="1492">
      <c r="A1492" s="5" t="n">
        <v>3</v>
      </c>
      <c r="B1492" s="5" t="n">
        <v>7</v>
      </c>
      <c r="C1492" s="5" t="n">
        <v>9</v>
      </c>
      <c r="D1492" s="18">
        <f>SEASON_HRS_TOM*B1492*(1+DIM_TOM)^B1492+SEASON_HRS_CAR*C1492*(1+DIM_CAR)^C1492</f>
        <v>1564.8847748858702</v>
      </c>
      <c r="E1492" s="18">
        <f>(FARMER_FIELD_HRS+A1492*TEMP_HRS)-D1492</f>
        <v>3475.1152251141298</v>
      </c>
      <c r="F1492" s="21">
        <f>IF(E1492&lt;0,0,MIN(COUNTIF(Labor!$C$59:$C$88,"&lt;="&amp;E1492),MAXBED_MES,TOTAL_BEDS-B1492-C1492))</f>
        <v>30</v>
      </c>
      <c r="G1492" s="21">
        <f>B1492+C1492+F1492</f>
        <v>46</v>
      </c>
      <c r="H1492" s="22">
        <f>IF(E1492&lt;0,-999999999,B1492*(PRICE_TOM-FERT_TOM)+C1492*(PRICE_CAR-FERT_CAR)+F1492*(PRICE_MES-FERT_MES)-(FARMER_SALARY+A1492*TEMP_COST)-FIXED_COSTS)</f>
        <v>-20074</v>
      </c>
    </row>
    <row r="1493">
      <c r="A1493" s="5" t="n">
        <v>3</v>
      </c>
      <c r="B1493" s="5" t="n">
        <v>7</v>
      </c>
      <c r="C1493" s="5" t="n">
        <v>10</v>
      </c>
      <c r="D1493" s="18">
        <f>SEASON_HRS_TOM*B1493*(1+DIM_TOM)^B1493+SEASON_HRS_CAR*C1493*(1+DIM_CAR)^C1493</f>
        <v>1611.7171362589077</v>
      </c>
      <c r="E1493" s="18">
        <f>(FARMER_FIELD_HRS+A1493*TEMP_HRS)-D1493</f>
        <v>3428.282863741092</v>
      </c>
      <c r="F1493" s="21">
        <f>IF(E1493&lt;0,0,MIN(COUNTIF(Labor!$C$59:$C$88,"&lt;="&amp;E1493),MAXBED_MES,TOTAL_BEDS-B1493-C1493))</f>
        <v>30</v>
      </c>
      <c r="G1493" s="21">
        <f>B1493+C1493+F1493</f>
        <v>47</v>
      </c>
      <c r="H1493" s="22">
        <f>IF(E1493&lt;0,-999999999,B1493*(PRICE_TOM-FERT_TOM)+C1493*(PRICE_CAR-FERT_CAR)+F1493*(PRICE_MES-FERT_MES)-(FARMER_SALARY+A1493*TEMP_COST)-FIXED_COSTS)</f>
        <v>-18420</v>
      </c>
    </row>
    <row r="1494">
      <c r="A1494" s="5" t="n">
        <v>3</v>
      </c>
      <c r="B1494" s="5" t="n">
        <v>7</v>
      </c>
      <c r="C1494" s="5" t="n">
        <v>11</v>
      </c>
      <c r="D1494" s="18">
        <f>SEASON_HRS_TOM*B1494*(1+DIM_TOM)^B1494+SEASON_HRS_CAR*C1494*(1+DIM_CAR)^C1494</f>
        <v>1660.6803700744183</v>
      </c>
      <c r="E1494" s="18">
        <f>(FARMER_FIELD_HRS+A1494*TEMP_HRS)-D1494</f>
        <v>3379.3196299255815</v>
      </c>
      <c r="F1494" s="21">
        <f>IF(E1494&lt;0,0,MIN(COUNTIF(Labor!$C$59:$C$88,"&lt;="&amp;E1494),MAXBED_MES,TOTAL_BEDS-B1494-C1494))</f>
        <v>30</v>
      </c>
      <c r="G1494" s="21">
        <f>B1494+C1494+F1494</f>
        <v>48</v>
      </c>
      <c r="H1494" s="22">
        <f>IF(E1494&lt;0,-999999999,B1494*(PRICE_TOM-FERT_TOM)+C1494*(PRICE_CAR-FERT_CAR)+F1494*(PRICE_MES-FERT_MES)-(FARMER_SALARY+A1494*TEMP_COST)-FIXED_COSTS)</f>
        <v>-16766</v>
      </c>
    </row>
    <row r="1495">
      <c r="A1495" s="5" t="n">
        <v>3</v>
      </c>
      <c r="B1495" s="5" t="n">
        <v>7</v>
      </c>
      <c r="C1495" s="5" t="n">
        <v>12</v>
      </c>
      <c r="D1495" s="18">
        <f>SEASON_HRS_TOM*B1495*(1+DIM_TOM)^B1495+SEASON_HRS_CAR*C1495*(1+DIM_CAR)^C1495</f>
        <v>1711.8517497286675</v>
      </c>
      <c r="E1495" s="18">
        <f>(FARMER_FIELD_HRS+A1495*TEMP_HRS)-D1495</f>
        <v>3328.1482502713325</v>
      </c>
      <c r="F1495" s="21">
        <f>IF(E1495&lt;0,0,MIN(COUNTIF(Labor!$C$59:$C$88,"&lt;="&amp;E1495),MAXBED_MES,TOTAL_BEDS-B1495-C1495))</f>
        <v>30</v>
      </c>
      <c r="G1495" s="21">
        <f>B1495+C1495+F1495</f>
        <v>49</v>
      </c>
      <c r="H1495" s="22">
        <f>IF(E1495&lt;0,-999999999,B1495*(PRICE_TOM-FERT_TOM)+C1495*(PRICE_CAR-FERT_CAR)+F1495*(PRICE_MES-FERT_MES)-(FARMER_SALARY+A1495*TEMP_COST)-FIXED_COSTS)</f>
        <v>-15112</v>
      </c>
    </row>
    <row r="1496">
      <c r="A1496" s="5" t="n">
        <v>3</v>
      </c>
      <c r="B1496" s="5" t="n">
        <v>7</v>
      </c>
      <c r="C1496" s="5" t="n">
        <v>13</v>
      </c>
      <c r="D1496" s="18">
        <f>SEASON_HRS_TOM*B1496*(1+DIM_TOM)^B1496+SEASON_HRS_CAR*C1496*(1+DIM_CAR)^C1496</f>
        <v>1765.3110804924577</v>
      </c>
      <c r="E1496" s="18">
        <f>(FARMER_FIELD_HRS+A1496*TEMP_HRS)-D1496</f>
        <v>3274.6889195075423</v>
      </c>
      <c r="F1496" s="21">
        <f>IF(E1496&lt;0,0,MIN(COUNTIF(Labor!$C$59:$C$88,"&lt;="&amp;E1496),MAXBED_MES,TOTAL_BEDS-B1496-C1496))</f>
        <v>30</v>
      </c>
      <c r="G1496" s="21">
        <f>B1496+C1496+F1496</f>
        <v>50</v>
      </c>
      <c r="H1496" s="22">
        <f>IF(E1496&lt;0,-999999999,B1496*(PRICE_TOM-FERT_TOM)+C1496*(PRICE_CAR-FERT_CAR)+F1496*(PRICE_MES-FERT_MES)-(FARMER_SALARY+A1496*TEMP_COST)-FIXED_COSTS)</f>
        <v>-13458</v>
      </c>
    </row>
    <row r="1497">
      <c r="A1497" s="5" t="n">
        <v>3</v>
      </c>
      <c r="B1497" s="5" t="n">
        <v>7</v>
      </c>
      <c r="C1497" s="5" t="n">
        <v>14</v>
      </c>
      <c r="D1497" s="18">
        <f>SEASON_HRS_TOM*B1497*(1+DIM_TOM)^B1497+SEASON_HRS_CAR*C1497*(1+DIM_CAR)^C1497</f>
        <v>1821.1407778089824</v>
      </c>
      <c r="E1497" s="18">
        <f>(FARMER_FIELD_HRS+A1497*TEMP_HRS)-D1497</f>
        <v>3218.8592221910176</v>
      </c>
      <c r="F1497" s="21">
        <f>IF(E1497&lt;0,0,MIN(COUNTIF(Labor!$C$59:$C$88,"&lt;="&amp;E1497),MAXBED_MES,TOTAL_BEDS-B1497-C1497))</f>
        <v>30</v>
      </c>
      <c r="G1497" s="21">
        <f>B1497+C1497+F1497</f>
        <v>51</v>
      </c>
      <c r="H1497" s="22">
        <f>IF(E1497&lt;0,-999999999,B1497*(PRICE_TOM-FERT_TOM)+C1497*(PRICE_CAR-FERT_CAR)+F1497*(PRICE_MES-FERT_MES)-(FARMER_SALARY+A1497*TEMP_COST)-FIXED_COSTS)</f>
        <v>-11804</v>
      </c>
    </row>
    <row r="1498">
      <c r="A1498" s="5" t="n">
        <v>3</v>
      </c>
      <c r="B1498" s="5" t="n">
        <v>7</v>
      </c>
      <c r="C1498" s="5" t="n">
        <v>15</v>
      </c>
      <c r="D1498" s="18">
        <f>SEASON_HRS_TOM*B1498*(1+DIM_TOM)^B1498+SEASON_HRS_CAR*C1498*(1+DIM_CAR)^C1498</f>
        <v>1879.42594792415</v>
      </c>
      <c r="E1498" s="18">
        <f>(FARMER_FIELD_HRS+A1498*TEMP_HRS)-D1498</f>
        <v>3160.57405207585</v>
      </c>
      <c r="F1498" s="21">
        <f>IF(E1498&lt;0,0,MIN(COUNTIF(Labor!$C$59:$C$88,"&lt;="&amp;E1498),MAXBED_MES,TOTAL_BEDS-B1498-C1498))</f>
        <v>30</v>
      </c>
      <c r="G1498" s="21">
        <f>B1498+C1498+F1498</f>
        <v>52</v>
      </c>
      <c r="H1498" s="22">
        <f>IF(E1498&lt;0,-999999999,B1498*(PRICE_TOM-FERT_TOM)+C1498*(PRICE_CAR-FERT_CAR)+F1498*(PRICE_MES-FERT_MES)-(FARMER_SALARY+A1498*TEMP_COST)-FIXED_COSTS)</f>
        <v>-10150</v>
      </c>
    </row>
    <row r="1499">
      <c r="A1499" s="5" t="n">
        <v>3</v>
      </c>
      <c r="B1499" s="5" t="n">
        <v>7</v>
      </c>
      <c r="C1499" s="5" t="n">
        <v>16</v>
      </c>
      <c r="D1499" s="18">
        <f>SEASON_HRS_TOM*B1499*(1+DIM_TOM)^B1499+SEASON_HRS_CAR*C1499*(1+DIM_CAR)^C1499</f>
        <v>1940.2544709170706</v>
      </c>
      <c r="E1499" s="18">
        <f>(FARMER_FIELD_HRS+A1499*TEMP_HRS)-D1499</f>
        <v>3099.7455290829294</v>
      </c>
      <c r="F1499" s="21">
        <f>IF(E1499&lt;0,0,MIN(COUNTIF(Labor!$C$59:$C$88,"&lt;="&amp;E1499),MAXBED_MES,TOTAL_BEDS-B1499-C1499))</f>
        <v>30</v>
      </c>
      <c r="G1499" s="21">
        <f>B1499+C1499+F1499</f>
        <v>53</v>
      </c>
      <c r="H1499" s="22">
        <f>IF(E1499&lt;0,-999999999,B1499*(PRICE_TOM-FERT_TOM)+C1499*(PRICE_CAR-FERT_CAR)+F1499*(PRICE_MES-FERT_MES)-(FARMER_SALARY+A1499*TEMP_COST)-FIXED_COSTS)</f>
        <v>-8496</v>
      </c>
    </row>
    <row r="1500">
      <c r="A1500" s="5" t="n">
        <v>3</v>
      </c>
      <c r="B1500" s="5" t="n">
        <v>7</v>
      </c>
      <c r="C1500" s="5" t="n">
        <v>17</v>
      </c>
      <c r="D1500" s="18">
        <f>SEASON_HRS_TOM*B1500*(1+DIM_TOM)^B1500+SEASON_HRS_CAR*C1500*(1+DIM_CAR)^C1500</f>
        <v>2003.7170862003095</v>
      </c>
      <c r="E1500" s="18">
        <f>(FARMER_FIELD_HRS+A1500*TEMP_HRS)-D1500</f>
        <v>3036.2829137996905</v>
      </c>
      <c r="F1500" s="21">
        <f>IF(E1500&lt;0,0,MIN(COUNTIF(Labor!$C$59:$C$88,"&lt;="&amp;E1500),MAXBED_MES,TOTAL_BEDS-B1500-C1500))</f>
        <v>30</v>
      </c>
      <c r="G1500" s="21">
        <f>B1500+C1500+F1500</f>
        <v>54</v>
      </c>
      <c r="H1500" s="22">
        <f>IF(E1500&lt;0,-999999999,B1500*(PRICE_TOM-FERT_TOM)+C1500*(PRICE_CAR-FERT_CAR)+F1500*(PRICE_MES-FERT_MES)-(FARMER_SALARY+A1500*TEMP_COST)-FIXED_COSTS)</f>
        <v>-6842</v>
      </c>
    </row>
    <row r="1501">
      <c r="A1501" s="5" t="n">
        <v>3</v>
      </c>
      <c r="B1501" s="5" t="n">
        <v>7</v>
      </c>
      <c r="C1501" s="5" t="n">
        <v>18</v>
      </c>
      <c r="D1501" s="18">
        <f>SEASON_HRS_TOM*B1501*(1+DIM_TOM)^B1501+SEASON_HRS_CAR*C1501*(1+DIM_CAR)^C1501</f>
        <v>2069.9074805615123</v>
      </c>
      <c r="E1501" s="18">
        <f>(FARMER_FIELD_HRS+A1501*TEMP_HRS)-D1501</f>
        <v>2970.0925194384877</v>
      </c>
      <c r="F1501" s="21">
        <f>IF(E1501&lt;0,0,MIN(COUNTIF(Labor!$C$59:$C$88,"&lt;="&amp;E1501),MAXBED_MES,TOTAL_BEDS-B1501-C1501))</f>
        <v>30</v>
      </c>
      <c r="G1501" s="21">
        <f>B1501+C1501+F1501</f>
        <v>55</v>
      </c>
      <c r="H1501" s="22">
        <f>IF(E1501&lt;0,-999999999,B1501*(PRICE_TOM-FERT_TOM)+C1501*(PRICE_CAR-FERT_CAR)+F1501*(PRICE_MES-FERT_MES)-(FARMER_SALARY+A1501*TEMP_COST)-FIXED_COSTS)</f>
        <v>-5188</v>
      </c>
    </row>
    <row r="1502">
      <c r="A1502" s="5" t="n">
        <v>3</v>
      </c>
      <c r="B1502" s="5" t="n">
        <v>7</v>
      </c>
      <c r="C1502" s="5" t="n">
        <v>19</v>
      </c>
      <c r="D1502" s="18">
        <f>SEASON_HRS_TOM*B1502*(1+DIM_TOM)^B1502+SEASON_HRS_CAR*C1502*(1+DIM_CAR)^C1502</f>
        <v>2138.9223788200247</v>
      </c>
      <c r="E1502" s="18">
        <f>(FARMER_FIELD_HRS+A1502*TEMP_HRS)-D1502</f>
        <v>2901.0776211799753</v>
      </c>
      <c r="F1502" s="21">
        <f>IF(E1502&lt;0,0,MIN(COUNTIF(Labor!$C$59:$C$88,"&lt;="&amp;E1502),MAXBED_MES,TOTAL_BEDS-B1502-C1502))</f>
        <v>30</v>
      </c>
      <c r="G1502" s="21">
        <f>B1502+C1502+F1502</f>
        <v>56</v>
      </c>
      <c r="H1502" s="22">
        <f>IF(E1502&lt;0,-999999999,B1502*(PRICE_TOM-FERT_TOM)+C1502*(PRICE_CAR-FERT_CAR)+F1502*(PRICE_MES-FERT_MES)-(FARMER_SALARY+A1502*TEMP_COST)-FIXED_COSTS)</f>
        <v>-3534</v>
      </c>
    </row>
    <row r="1503">
      <c r="A1503" s="5" t="n">
        <v>3</v>
      </c>
      <c r="B1503" s="5" t="n">
        <v>7</v>
      </c>
      <c r="C1503" s="5" t="n">
        <v>20</v>
      </c>
      <c r="D1503" s="18">
        <f>SEASON_HRS_TOM*B1503*(1+DIM_TOM)^B1503+SEASON_HRS_CAR*C1503*(1+DIM_CAR)^C1503</f>
        <v>2210.8616371742373</v>
      </c>
      <c r="E1503" s="18">
        <f>(FARMER_FIELD_HRS+A1503*TEMP_HRS)-D1503</f>
        <v>2829.1383628257627</v>
      </c>
      <c r="F1503" s="21">
        <f>IF(E1503&lt;0,0,MIN(COUNTIF(Labor!$C$59:$C$88,"&lt;="&amp;E1503),MAXBED_MES,TOTAL_BEDS-B1503-C1503))</f>
        <v>30</v>
      </c>
      <c r="G1503" s="21">
        <f>B1503+C1503+F1503</f>
        <v>57</v>
      </c>
      <c r="H1503" s="22">
        <f>IF(E1503&lt;0,-999999999,B1503*(PRICE_TOM-FERT_TOM)+C1503*(PRICE_CAR-FERT_CAR)+F1503*(PRICE_MES-FERT_MES)-(FARMER_SALARY+A1503*TEMP_COST)-FIXED_COSTS)</f>
        <v>-1880</v>
      </c>
    </row>
    <row r="1504">
      <c r="A1504" s="5" t="n">
        <v>3</v>
      </c>
      <c r="B1504" s="5" t="n">
        <v>8</v>
      </c>
      <c r="C1504" s="5" t="n">
        <v>0</v>
      </c>
      <c r="D1504" s="18">
        <f>SEASON_HRS_TOM*B1504*(1+DIM_TOM)^B1504+SEASON_HRS_CAR*C1504*(1+DIM_CAR)^C1504</f>
        <v>1543.383943200001</v>
      </c>
      <c r="E1504" s="18">
        <f>(FARMER_FIELD_HRS+A1504*TEMP_HRS)-D1504</f>
        <v>3496.6160567999987</v>
      </c>
      <c r="F1504" s="21">
        <f>IF(E1504&lt;0,0,MIN(COUNTIF(Labor!$C$59:$C$88,"&lt;="&amp;E1504),MAXBED_MES,TOTAL_BEDS-B1504-C1504))</f>
        <v>30</v>
      </c>
      <c r="G1504" s="21">
        <f>B1504+C1504+F1504</f>
        <v>38</v>
      </c>
      <c r="H1504" s="22">
        <f>IF(E1504&lt;0,-999999999,B1504*(PRICE_TOM-FERT_TOM)+C1504*(PRICE_CAR-FERT_CAR)+F1504*(PRICE_MES-FERT_MES)-(FARMER_SALARY+A1504*TEMP_COST)-FIXED_COSTS)</f>
        <v>-27040</v>
      </c>
    </row>
    <row r="1505">
      <c r="A1505" s="5" t="n">
        <v>3</v>
      </c>
      <c r="B1505" s="5" t="n">
        <v>8</v>
      </c>
      <c r="C1505" s="5" t="n">
        <v>1</v>
      </c>
      <c r="D1505" s="18">
        <f>SEASON_HRS_TOM*B1505*(1+DIM_TOM)^B1505+SEASON_HRS_CAR*C1505*(1+DIM_CAR)^C1505</f>
        <v>1574.133943200001</v>
      </c>
      <c r="E1505" s="18">
        <f>(FARMER_FIELD_HRS+A1505*TEMP_HRS)-D1505</f>
        <v>3465.8660567999987</v>
      </c>
      <c r="F1505" s="21">
        <f>IF(E1505&lt;0,0,MIN(COUNTIF(Labor!$C$59:$C$88,"&lt;="&amp;E1505),MAXBED_MES,TOTAL_BEDS-B1505-C1505))</f>
        <v>30</v>
      </c>
      <c r="G1505" s="21">
        <f>B1505+C1505+F1505</f>
        <v>39</v>
      </c>
      <c r="H1505" s="22">
        <f>IF(E1505&lt;0,-999999999,B1505*(PRICE_TOM-FERT_TOM)+C1505*(PRICE_CAR-FERT_CAR)+F1505*(PRICE_MES-FERT_MES)-(FARMER_SALARY+A1505*TEMP_COST)-FIXED_COSTS)</f>
        <v>-25386</v>
      </c>
    </row>
    <row r="1506">
      <c r="A1506" s="5" t="n">
        <v>3</v>
      </c>
      <c r="B1506" s="5" t="n">
        <v>8</v>
      </c>
      <c r="C1506" s="5" t="n">
        <v>2</v>
      </c>
      <c r="D1506" s="18">
        <f>SEASON_HRS_TOM*B1506*(1+DIM_TOM)^B1506+SEASON_HRS_CAR*C1506*(1+DIM_CAR)^C1506</f>
        <v>1606.421443200001</v>
      </c>
      <c r="E1506" s="18">
        <f>(FARMER_FIELD_HRS+A1506*TEMP_HRS)-D1506</f>
        <v>3433.578556799999</v>
      </c>
      <c r="F1506" s="21">
        <f>IF(E1506&lt;0,0,MIN(COUNTIF(Labor!$C$59:$C$88,"&lt;="&amp;E1506),MAXBED_MES,TOTAL_BEDS-B1506-C1506))</f>
        <v>30</v>
      </c>
      <c r="G1506" s="21">
        <f>B1506+C1506+F1506</f>
        <v>40</v>
      </c>
      <c r="H1506" s="22">
        <f>IF(E1506&lt;0,-999999999,B1506*(PRICE_TOM-FERT_TOM)+C1506*(PRICE_CAR-FERT_CAR)+F1506*(PRICE_MES-FERT_MES)-(FARMER_SALARY+A1506*TEMP_COST)-FIXED_COSTS)</f>
        <v>-23732</v>
      </c>
    </row>
    <row r="1507">
      <c r="A1507" s="5" t="n">
        <v>3</v>
      </c>
      <c r="B1507" s="5" t="n">
        <v>8</v>
      </c>
      <c r="C1507" s="5" t="n">
        <v>3</v>
      </c>
      <c r="D1507" s="18">
        <f>SEASON_HRS_TOM*B1507*(1+DIM_TOM)^B1507+SEASON_HRS_CAR*C1507*(1+DIM_CAR)^C1507</f>
        <v>1640.304099450001</v>
      </c>
      <c r="E1507" s="18">
        <f>(FARMER_FIELD_HRS+A1507*TEMP_HRS)-D1507</f>
        <v>3399.695900549999</v>
      </c>
      <c r="F1507" s="21">
        <f>IF(E1507&lt;0,0,MIN(COUNTIF(Labor!$C$59:$C$88,"&lt;="&amp;E1507),MAXBED_MES,TOTAL_BEDS-B1507-C1507))</f>
        <v>30</v>
      </c>
      <c r="G1507" s="21">
        <f>B1507+C1507+F1507</f>
        <v>41</v>
      </c>
      <c r="H1507" s="22">
        <f>IF(E1507&lt;0,-999999999,B1507*(PRICE_TOM-FERT_TOM)+C1507*(PRICE_CAR-FERT_CAR)+F1507*(PRICE_MES-FERT_MES)-(FARMER_SALARY+A1507*TEMP_COST)-FIXED_COSTS)</f>
        <v>-22078</v>
      </c>
    </row>
    <row r="1508">
      <c r="A1508" s="5" t="n">
        <v>3</v>
      </c>
      <c r="B1508" s="5" t="n">
        <v>8</v>
      </c>
      <c r="C1508" s="5" t="n">
        <v>4</v>
      </c>
      <c r="D1508" s="18">
        <f>SEASON_HRS_TOM*B1508*(1+DIM_TOM)^B1508+SEASON_HRS_CAR*C1508*(1+DIM_CAR)^C1508</f>
        <v>1675.841490075001</v>
      </c>
      <c r="E1508" s="18">
        <f>(FARMER_FIELD_HRS+A1508*TEMP_HRS)-D1508</f>
        <v>3364.1585099249987</v>
      </c>
      <c r="F1508" s="21">
        <f>IF(E1508&lt;0,0,MIN(COUNTIF(Labor!$C$59:$C$88,"&lt;="&amp;E1508),MAXBED_MES,TOTAL_BEDS-B1508-C1508))</f>
        <v>30</v>
      </c>
      <c r="G1508" s="21">
        <f>B1508+C1508+F1508</f>
        <v>42</v>
      </c>
      <c r="H1508" s="22">
        <f>IF(E1508&lt;0,-999999999,B1508*(PRICE_TOM-FERT_TOM)+C1508*(PRICE_CAR-FERT_CAR)+F1508*(PRICE_MES-FERT_MES)-(FARMER_SALARY+A1508*TEMP_COST)-FIXED_COSTS)</f>
        <v>-20424</v>
      </c>
    </row>
    <row r="1509">
      <c r="A1509" s="5" t="n">
        <v>3</v>
      </c>
      <c r="B1509" s="5" t="n">
        <v>8</v>
      </c>
      <c r="C1509" s="5" t="n">
        <v>5</v>
      </c>
      <c r="D1509" s="18">
        <f>SEASON_HRS_TOM*B1509*(1+DIM_TOM)^B1509+SEASON_HRS_CAR*C1509*(1+DIM_CAR)^C1509</f>
        <v>1713.0951751335947</v>
      </c>
      <c r="E1509" s="18">
        <f>(FARMER_FIELD_HRS+A1509*TEMP_HRS)-D1509</f>
        <v>3326.9048248664053</v>
      </c>
      <c r="F1509" s="21">
        <f>IF(E1509&lt;0,0,MIN(COUNTIF(Labor!$C$59:$C$88,"&lt;="&amp;E1509),MAXBED_MES,TOTAL_BEDS-B1509-C1509))</f>
        <v>30</v>
      </c>
      <c r="G1509" s="21">
        <f>B1509+C1509+F1509</f>
        <v>43</v>
      </c>
      <c r="H1509" s="22">
        <f>IF(E1509&lt;0,-999999999,B1509*(PRICE_TOM-FERT_TOM)+C1509*(PRICE_CAR-FERT_CAR)+F1509*(PRICE_MES-FERT_MES)-(FARMER_SALARY+A1509*TEMP_COST)-FIXED_COSTS)</f>
        <v>-18770</v>
      </c>
    </row>
    <row r="1510">
      <c r="A1510" s="5" t="n">
        <v>3</v>
      </c>
      <c r="B1510" s="5" t="n">
        <v>8</v>
      </c>
      <c r="C1510" s="5" t="n">
        <v>6</v>
      </c>
      <c r="D1510" s="18">
        <f>SEASON_HRS_TOM*B1510*(1+DIM_TOM)^B1510+SEASON_HRS_CAR*C1510*(1+DIM_CAR)^C1510</f>
        <v>1752.1287584783213</v>
      </c>
      <c r="E1510" s="18">
        <f>(FARMER_FIELD_HRS+A1510*TEMP_HRS)-D1510</f>
        <v>3287.8712415216787</v>
      </c>
      <c r="F1510" s="21">
        <f>IF(E1510&lt;0,0,MIN(COUNTIF(Labor!$C$59:$C$88,"&lt;="&amp;E1510),MAXBED_MES,TOTAL_BEDS-B1510-C1510))</f>
        <v>30</v>
      </c>
      <c r="G1510" s="21">
        <f>B1510+C1510+F1510</f>
        <v>44</v>
      </c>
      <c r="H1510" s="22">
        <f>IF(E1510&lt;0,-999999999,B1510*(PRICE_TOM-FERT_TOM)+C1510*(PRICE_CAR-FERT_CAR)+F1510*(PRICE_MES-FERT_MES)-(FARMER_SALARY+A1510*TEMP_COST)-FIXED_COSTS)</f>
        <v>-17116</v>
      </c>
    </row>
    <row r="1511">
      <c r="A1511" s="5" t="n">
        <v>3</v>
      </c>
      <c r="B1511" s="5" t="n">
        <v>8</v>
      </c>
      <c r="C1511" s="5" t="n">
        <v>7</v>
      </c>
      <c r="D1511" s="18">
        <f>SEASON_HRS_TOM*B1511*(1+DIM_TOM)^B1511+SEASON_HRS_CAR*C1511*(1+DIM_CAR)^C1511</f>
        <v>1793.0079514703257</v>
      </c>
      <c r="E1511" s="18">
        <f>(FARMER_FIELD_HRS+A1511*TEMP_HRS)-D1511</f>
        <v>3246.9920485296743</v>
      </c>
      <c r="F1511" s="21">
        <f>IF(E1511&lt;0,0,MIN(COUNTIF(Labor!$C$59:$C$88,"&lt;="&amp;E1511),MAXBED_MES,TOTAL_BEDS-B1511-C1511))</f>
        <v>30</v>
      </c>
      <c r="G1511" s="21">
        <f>B1511+C1511+F1511</f>
        <v>45</v>
      </c>
      <c r="H1511" s="22">
        <f>IF(E1511&lt;0,-999999999,B1511*(PRICE_TOM-FERT_TOM)+C1511*(PRICE_CAR-FERT_CAR)+F1511*(PRICE_MES-FERT_MES)-(FARMER_SALARY+A1511*TEMP_COST)-FIXED_COSTS)</f>
        <v>-15462</v>
      </c>
    </row>
    <row r="1512">
      <c r="A1512" s="5" t="n">
        <v>3</v>
      </c>
      <c r="B1512" s="5" t="n">
        <v>8</v>
      </c>
      <c r="C1512" s="5" t="n">
        <v>8</v>
      </c>
      <c r="D1512" s="18">
        <f>SEASON_HRS_TOM*B1512*(1+DIM_TOM)^B1512+SEASON_HRS_CAR*C1512*(1+DIM_CAR)^C1512</f>
        <v>1835.8006386023812</v>
      </c>
      <c r="E1512" s="18">
        <f>(FARMER_FIELD_HRS+A1512*TEMP_HRS)-D1512</f>
        <v>3204.1993613976188</v>
      </c>
      <c r="F1512" s="21">
        <f>IF(E1512&lt;0,0,MIN(COUNTIF(Labor!$C$59:$C$88,"&lt;="&amp;E1512),MAXBED_MES,TOTAL_BEDS-B1512-C1512))</f>
        <v>30</v>
      </c>
      <c r="G1512" s="21">
        <f>B1512+C1512+F1512</f>
        <v>46</v>
      </c>
      <c r="H1512" s="22">
        <f>IF(E1512&lt;0,-999999999,B1512*(PRICE_TOM-FERT_TOM)+C1512*(PRICE_CAR-FERT_CAR)+F1512*(PRICE_MES-FERT_MES)-(FARMER_SALARY+A1512*TEMP_COST)-FIXED_COSTS)</f>
        <v>-13808</v>
      </c>
    </row>
    <row r="1513">
      <c r="A1513" s="5" t="n">
        <v>3</v>
      </c>
      <c r="B1513" s="5" t="n">
        <v>8</v>
      </c>
      <c r="C1513" s="5" t="n">
        <v>9</v>
      </c>
      <c r="D1513" s="18">
        <f>SEASON_HRS_TOM*B1513*(1+DIM_TOM)^B1513+SEASON_HRS_CAR*C1513*(1+DIM_CAR)^C1513</f>
        <v>1880.5769450858706</v>
      </c>
      <c r="E1513" s="18">
        <f>(FARMER_FIELD_HRS+A1513*TEMP_HRS)-D1513</f>
        <v>3159.4230549141294</v>
      </c>
      <c r="F1513" s="21">
        <f>IF(E1513&lt;0,0,MIN(COUNTIF(Labor!$C$59:$C$88,"&lt;="&amp;E1513),MAXBED_MES,TOTAL_BEDS-B1513-C1513))</f>
        <v>30</v>
      </c>
      <c r="G1513" s="21">
        <f>B1513+C1513+F1513</f>
        <v>47</v>
      </c>
      <c r="H1513" s="22">
        <f>IF(E1513&lt;0,-999999999,B1513*(PRICE_TOM-FERT_TOM)+C1513*(PRICE_CAR-FERT_CAR)+F1513*(PRICE_MES-FERT_MES)-(FARMER_SALARY+A1513*TEMP_COST)-FIXED_COSTS)</f>
        <v>-12154</v>
      </c>
    </row>
    <row r="1514">
      <c r="A1514" s="5" t="n">
        <v>3</v>
      </c>
      <c r="B1514" s="5" t="n">
        <v>8</v>
      </c>
      <c r="C1514" s="5" t="n">
        <v>10</v>
      </c>
      <c r="D1514" s="18">
        <f>SEASON_HRS_TOM*B1514*(1+DIM_TOM)^B1514+SEASON_HRS_CAR*C1514*(1+DIM_CAR)^C1514</f>
        <v>1927.409306458908</v>
      </c>
      <c r="E1514" s="18">
        <f>(FARMER_FIELD_HRS+A1514*TEMP_HRS)-D1514</f>
        <v>3112.590693541092</v>
      </c>
      <c r="F1514" s="21">
        <f>IF(E1514&lt;0,0,MIN(COUNTIF(Labor!$C$59:$C$88,"&lt;="&amp;E1514),MAXBED_MES,TOTAL_BEDS-B1514-C1514))</f>
        <v>30</v>
      </c>
      <c r="G1514" s="21">
        <f>B1514+C1514+F1514</f>
        <v>48</v>
      </c>
      <c r="H1514" s="22">
        <f>IF(E1514&lt;0,-999999999,B1514*(PRICE_TOM-FERT_TOM)+C1514*(PRICE_CAR-FERT_CAR)+F1514*(PRICE_MES-FERT_MES)-(FARMER_SALARY+A1514*TEMP_COST)-FIXED_COSTS)</f>
        <v>-10500</v>
      </c>
    </row>
    <row r="1515">
      <c r="A1515" s="5" t="n">
        <v>3</v>
      </c>
      <c r="B1515" s="5" t="n">
        <v>8</v>
      </c>
      <c r="C1515" s="5" t="n">
        <v>11</v>
      </c>
      <c r="D1515" s="18">
        <f>SEASON_HRS_TOM*B1515*(1+DIM_TOM)^B1515+SEASON_HRS_CAR*C1515*(1+DIM_CAR)^C1515</f>
        <v>1976.3725402744187</v>
      </c>
      <c r="E1515" s="18">
        <f>(FARMER_FIELD_HRS+A1515*TEMP_HRS)-D1515</f>
        <v>3063.6274597255815</v>
      </c>
      <c r="F1515" s="21">
        <f>IF(E1515&lt;0,0,MIN(COUNTIF(Labor!$C$59:$C$88,"&lt;="&amp;E1515),MAXBED_MES,TOTAL_BEDS-B1515-C1515))</f>
        <v>30</v>
      </c>
      <c r="G1515" s="21">
        <f>B1515+C1515+F1515</f>
        <v>49</v>
      </c>
      <c r="H1515" s="22">
        <f>IF(E1515&lt;0,-999999999,B1515*(PRICE_TOM-FERT_TOM)+C1515*(PRICE_CAR-FERT_CAR)+F1515*(PRICE_MES-FERT_MES)-(FARMER_SALARY+A1515*TEMP_COST)-FIXED_COSTS)</f>
        <v>-8846</v>
      </c>
    </row>
    <row r="1516">
      <c r="A1516" s="5" t="n">
        <v>3</v>
      </c>
      <c r="B1516" s="5" t="n">
        <v>8</v>
      </c>
      <c r="C1516" s="5" t="n">
        <v>12</v>
      </c>
      <c r="D1516" s="18">
        <f>SEASON_HRS_TOM*B1516*(1+DIM_TOM)^B1516+SEASON_HRS_CAR*C1516*(1+DIM_CAR)^C1516</f>
        <v>2027.543919928668</v>
      </c>
      <c r="E1516" s="18">
        <f>(FARMER_FIELD_HRS+A1516*TEMP_HRS)-D1516</f>
        <v>3012.456080071332</v>
      </c>
      <c r="F1516" s="21">
        <f>IF(E1516&lt;0,0,MIN(COUNTIF(Labor!$C$59:$C$88,"&lt;="&amp;E1516),MAXBED_MES,TOTAL_BEDS-B1516-C1516))</f>
        <v>30</v>
      </c>
      <c r="G1516" s="21">
        <f>B1516+C1516+F1516</f>
        <v>50</v>
      </c>
      <c r="H1516" s="22">
        <f>IF(E1516&lt;0,-999999999,B1516*(PRICE_TOM-FERT_TOM)+C1516*(PRICE_CAR-FERT_CAR)+F1516*(PRICE_MES-FERT_MES)-(FARMER_SALARY+A1516*TEMP_COST)-FIXED_COSTS)</f>
        <v>-7192</v>
      </c>
    </row>
    <row r="1517">
      <c r="A1517" s="5" t="n">
        <v>3</v>
      </c>
      <c r="B1517" s="5" t="n">
        <v>8</v>
      </c>
      <c r="C1517" s="5" t="n">
        <v>13</v>
      </c>
      <c r="D1517" s="18">
        <f>SEASON_HRS_TOM*B1517*(1+DIM_TOM)^B1517+SEASON_HRS_CAR*C1517*(1+DIM_CAR)^C1517</f>
        <v>2081.003250692458</v>
      </c>
      <c r="E1517" s="18">
        <f>(FARMER_FIELD_HRS+A1517*TEMP_HRS)-D1517</f>
        <v>2958.996749307542</v>
      </c>
      <c r="F1517" s="21">
        <f>IF(E1517&lt;0,0,MIN(COUNTIF(Labor!$C$59:$C$88,"&lt;="&amp;E1517),MAXBED_MES,TOTAL_BEDS-B1517-C1517))</f>
        <v>30</v>
      </c>
      <c r="G1517" s="21">
        <f>B1517+C1517+F1517</f>
        <v>51</v>
      </c>
      <c r="H1517" s="22">
        <f>IF(E1517&lt;0,-999999999,B1517*(PRICE_TOM-FERT_TOM)+C1517*(PRICE_CAR-FERT_CAR)+F1517*(PRICE_MES-FERT_MES)-(FARMER_SALARY+A1517*TEMP_COST)-FIXED_COSTS)</f>
        <v>-5538</v>
      </c>
    </row>
    <row r="1518">
      <c r="A1518" s="5" t="n">
        <v>3</v>
      </c>
      <c r="B1518" s="5" t="n">
        <v>8</v>
      </c>
      <c r="C1518" s="5" t="n">
        <v>14</v>
      </c>
      <c r="D1518" s="18">
        <f>SEASON_HRS_TOM*B1518*(1+DIM_TOM)^B1518+SEASON_HRS_CAR*C1518*(1+DIM_CAR)^C1518</f>
        <v>2136.832948008983</v>
      </c>
      <c r="E1518" s="18">
        <f>(FARMER_FIELD_HRS+A1518*TEMP_HRS)-D1518</f>
        <v>2903.167051991017</v>
      </c>
      <c r="F1518" s="21">
        <f>IF(E1518&lt;0,0,MIN(COUNTIF(Labor!$C$59:$C$88,"&lt;="&amp;E1518),MAXBED_MES,TOTAL_BEDS-B1518-C1518))</f>
        <v>30</v>
      </c>
      <c r="G1518" s="21">
        <f>B1518+C1518+F1518</f>
        <v>52</v>
      </c>
      <c r="H1518" s="22">
        <f>IF(E1518&lt;0,-999999999,B1518*(PRICE_TOM-FERT_TOM)+C1518*(PRICE_CAR-FERT_CAR)+F1518*(PRICE_MES-FERT_MES)-(FARMER_SALARY+A1518*TEMP_COST)-FIXED_COSTS)</f>
        <v>-3884</v>
      </c>
    </row>
    <row r="1519">
      <c r="A1519" s="5" t="n">
        <v>3</v>
      </c>
      <c r="B1519" s="5" t="n">
        <v>8</v>
      </c>
      <c r="C1519" s="5" t="n">
        <v>15</v>
      </c>
      <c r="D1519" s="18">
        <f>SEASON_HRS_TOM*B1519*(1+DIM_TOM)^B1519+SEASON_HRS_CAR*C1519*(1+DIM_CAR)^C1519</f>
        <v>2195.1181181241504</v>
      </c>
      <c r="E1519" s="18">
        <f>(FARMER_FIELD_HRS+A1519*TEMP_HRS)-D1519</f>
        <v>2844.8818818758496</v>
      </c>
      <c r="F1519" s="21">
        <f>IF(E1519&lt;0,0,MIN(COUNTIF(Labor!$C$59:$C$88,"&lt;="&amp;E1519),MAXBED_MES,TOTAL_BEDS-B1519-C1519))</f>
        <v>30</v>
      </c>
      <c r="G1519" s="21">
        <f>B1519+C1519+F1519</f>
        <v>53</v>
      </c>
      <c r="H1519" s="22">
        <f>IF(E1519&lt;0,-999999999,B1519*(PRICE_TOM-FERT_TOM)+C1519*(PRICE_CAR-FERT_CAR)+F1519*(PRICE_MES-FERT_MES)-(FARMER_SALARY+A1519*TEMP_COST)-FIXED_COSTS)</f>
        <v>-2230</v>
      </c>
    </row>
    <row r="1520">
      <c r="A1520" s="5" t="n">
        <v>3</v>
      </c>
      <c r="B1520" s="5" t="n">
        <v>8</v>
      </c>
      <c r="C1520" s="5" t="n">
        <v>16</v>
      </c>
      <c r="D1520" s="18">
        <f>SEASON_HRS_TOM*B1520*(1+DIM_TOM)^B1520+SEASON_HRS_CAR*C1520*(1+DIM_CAR)^C1520</f>
        <v>2255.946641117071</v>
      </c>
      <c r="E1520" s="18">
        <f>(FARMER_FIELD_HRS+A1520*TEMP_HRS)-D1520</f>
        <v>2784.053358882929</v>
      </c>
      <c r="F1520" s="21">
        <f>IF(E1520&lt;0,0,MIN(COUNTIF(Labor!$C$59:$C$88,"&lt;="&amp;E1520),MAXBED_MES,TOTAL_BEDS-B1520-C1520))</f>
        <v>30</v>
      </c>
      <c r="G1520" s="21">
        <f>B1520+C1520+F1520</f>
        <v>54</v>
      </c>
      <c r="H1520" s="22">
        <f>IF(E1520&lt;0,-999999999,B1520*(PRICE_TOM-FERT_TOM)+C1520*(PRICE_CAR-FERT_CAR)+F1520*(PRICE_MES-FERT_MES)-(FARMER_SALARY+A1520*TEMP_COST)-FIXED_COSTS)</f>
        <v>-576</v>
      </c>
    </row>
    <row r="1521">
      <c r="A1521" s="5" t="n">
        <v>3</v>
      </c>
      <c r="B1521" s="5" t="n">
        <v>8</v>
      </c>
      <c r="C1521" s="5" t="n">
        <v>17</v>
      </c>
      <c r="D1521" s="18">
        <f>SEASON_HRS_TOM*B1521*(1+DIM_TOM)^B1521+SEASON_HRS_CAR*C1521*(1+DIM_CAR)^C1521</f>
        <v>2319.40925640031</v>
      </c>
      <c r="E1521" s="18">
        <f>(FARMER_FIELD_HRS+A1521*TEMP_HRS)-D1521</f>
        <v>2720.59074359969</v>
      </c>
      <c r="F1521" s="21">
        <f>IF(E1521&lt;0,0,MIN(COUNTIF(Labor!$C$59:$C$88,"&lt;="&amp;E1521),MAXBED_MES,TOTAL_BEDS-B1521-C1521))</f>
        <v>30</v>
      </c>
      <c r="G1521" s="21">
        <f>B1521+C1521+F1521</f>
        <v>55</v>
      </c>
      <c r="H1521" s="22">
        <f>IF(E1521&lt;0,-999999999,B1521*(PRICE_TOM-FERT_TOM)+C1521*(PRICE_CAR-FERT_CAR)+F1521*(PRICE_MES-FERT_MES)-(FARMER_SALARY+A1521*TEMP_COST)-FIXED_COSTS)</f>
        <v>1078</v>
      </c>
    </row>
    <row r="1522">
      <c r="A1522" s="5" t="n">
        <v>3</v>
      </c>
      <c r="B1522" s="5" t="n">
        <v>8</v>
      </c>
      <c r="C1522" s="5" t="n">
        <v>18</v>
      </c>
      <c r="D1522" s="18">
        <f>SEASON_HRS_TOM*B1522*(1+DIM_TOM)^B1522+SEASON_HRS_CAR*C1522*(1+DIM_CAR)^C1522</f>
        <v>2385.5996507615127</v>
      </c>
      <c r="E1522" s="18">
        <f>(FARMER_FIELD_HRS+A1522*TEMP_HRS)-D1522</f>
        <v>2654.4003492384873</v>
      </c>
      <c r="F1522" s="21">
        <f>IF(E1522&lt;0,0,MIN(COUNTIF(Labor!$C$59:$C$88,"&lt;="&amp;E1522),MAXBED_MES,TOTAL_BEDS-B1522-C1522))</f>
        <v>30</v>
      </c>
      <c r="G1522" s="21">
        <f>B1522+C1522+F1522</f>
        <v>56</v>
      </c>
      <c r="H1522" s="22">
        <f>IF(E1522&lt;0,-999999999,B1522*(PRICE_TOM-FERT_TOM)+C1522*(PRICE_CAR-FERT_CAR)+F1522*(PRICE_MES-FERT_MES)-(FARMER_SALARY+A1522*TEMP_COST)-FIXED_COSTS)</f>
        <v>2732</v>
      </c>
    </row>
    <row r="1523">
      <c r="A1523" s="5" t="n">
        <v>3</v>
      </c>
      <c r="B1523" s="5" t="n">
        <v>8</v>
      </c>
      <c r="C1523" s="5" t="n">
        <v>19</v>
      </c>
      <c r="D1523" s="18">
        <f>SEASON_HRS_TOM*B1523*(1+DIM_TOM)^B1523+SEASON_HRS_CAR*C1523*(1+DIM_CAR)^C1523</f>
        <v>2454.614549020025</v>
      </c>
      <c r="E1523" s="18">
        <f>(FARMER_FIELD_HRS+A1523*TEMP_HRS)-D1523</f>
        <v>2585.385450979975</v>
      </c>
      <c r="F1523" s="21">
        <f>IF(E1523&lt;0,0,MIN(COUNTIF(Labor!$C$59:$C$88,"&lt;="&amp;E1523),MAXBED_MES,TOTAL_BEDS-B1523-C1523))</f>
        <v>30</v>
      </c>
      <c r="G1523" s="21">
        <f>B1523+C1523+F1523</f>
        <v>57</v>
      </c>
      <c r="H1523" s="22">
        <f>IF(E1523&lt;0,-999999999,B1523*(PRICE_TOM-FERT_TOM)+C1523*(PRICE_CAR-FERT_CAR)+F1523*(PRICE_MES-FERT_MES)-(FARMER_SALARY+A1523*TEMP_COST)-FIXED_COSTS)</f>
        <v>4386</v>
      </c>
    </row>
    <row r="1524">
      <c r="A1524" s="5" t="n">
        <v>3</v>
      </c>
      <c r="B1524" s="5" t="n">
        <v>8</v>
      </c>
      <c r="C1524" s="5" t="n">
        <v>20</v>
      </c>
      <c r="D1524" s="18">
        <f>SEASON_HRS_TOM*B1524*(1+DIM_TOM)^B1524+SEASON_HRS_CAR*C1524*(1+DIM_CAR)^C1524</f>
        <v>2526.5538073742377</v>
      </c>
      <c r="E1524" s="18">
        <f>(FARMER_FIELD_HRS+A1524*TEMP_HRS)-D1524</f>
        <v>2513.4461926257623</v>
      </c>
      <c r="F1524" s="21">
        <f>IF(E1524&lt;0,0,MIN(COUNTIF(Labor!$C$59:$C$88,"&lt;="&amp;E1524),MAXBED_MES,TOTAL_BEDS-B1524-C1524))</f>
        <v>30</v>
      </c>
      <c r="G1524" s="21">
        <f>B1524+C1524+F1524</f>
        <v>58</v>
      </c>
      <c r="H1524" s="22">
        <f>IF(E1524&lt;0,-999999999,B1524*(PRICE_TOM-FERT_TOM)+C1524*(PRICE_CAR-FERT_CAR)+F1524*(PRICE_MES-FERT_MES)-(FARMER_SALARY+A1524*TEMP_COST)-FIXED_COSTS)</f>
        <v>6040</v>
      </c>
    </row>
    <row r="1525">
      <c r="A1525" s="5" t="n">
        <v>3</v>
      </c>
      <c r="B1525" s="5" t="n">
        <v>9</v>
      </c>
      <c r="C1525" s="5" t="n">
        <v>0</v>
      </c>
      <c r="D1525" s="18">
        <f>SEASON_HRS_TOM*B1525*(1+DIM_TOM)^B1525+SEASON_HRS_CAR*C1525*(1+DIM_CAR)^C1525</f>
        <v>1909.9376297100016</v>
      </c>
      <c r="E1525" s="18">
        <f>(FARMER_FIELD_HRS+A1525*TEMP_HRS)-D1525</f>
        <v>3130.0623702899984</v>
      </c>
      <c r="F1525" s="21">
        <f>IF(E1525&lt;0,0,MIN(COUNTIF(Labor!$C$59:$C$88,"&lt;="&amp;E1525),MAXBED_MES,TOTAL_BEDS-B1525-C1525))</f>
        <v>30</v>
      </c>
      <c r="G1525" s="21">
        <f>B1525+C1525+F1525</f>
        <v>39</v>
      </c>
      <c r="H1525" s="22">
        <f>IF(E1525&lt;0,-999999999,B1525*(PRICE_TOM-FERT_TOM)+C1525*(PRICE_CAR-FERT_CAR)+F1525*(PRICE_MES-FERT_MES)-(FARMER_SALARY+A1525*TEMP_COST)-FIXED_COSTS)</f>
        <v>-19120</v>
      </c>
    </row>
    <row r="1526">
      <c r="A1526" s="5" t="n">
        <v>3</v>
      </c>
      <c r="B1526" s="5" t="n">
        <v>9</v>
      </c>
      <c r="C1526" s="5" t="n">
        <v>1</v>
      </c>
      <c r="D1526" s="18">
        <f>SEASON_HRS_TOM*B1526*(1+DIM_TOM)^B1526+SEASON_HRS_CAR*C1526*(1+DIM_CAR)^C1526</f>
        <v>1940.6876297100016</v>
      </c>
      <c r="E1526" s="18">
        <f>(FARMER_FIELD_HRS+A1526*TEMP_HRS)-D1526</f>
        <v>3099.3123702899984</v>
      </c>
      <c r="F1526" s="21">
        <f>IF(E1526&lt;0,0,MIN(COUNTIF(Labor!$C$59:$C$88,"&lt;="&amp;E1526),MAXBED_MES,TOTAL_BEDS-B1526-C1526))</f>
        <v>30</v>
      </c>
      <c r="G1526" s="21">
        <f>B1526+C1526+F1526</f>
        <v>40</v>
      </c>
      <c r="H1526" s="22">
        <f>IF(E1526&lt;0,-999999999,B1526*(PRICE_TOM-FERT_TOM)+C1526*(PRICE_CAR-FERT_CAR)+F1526*(PRICE_MES-FERT_MES)-(FARMER_SALARY+A1526*TEMP_COST)-FIXED_COSTS)</f>
        <v>-17466</v>
      </c>
    </row>
    <row r="1527">
      <c r="A1527" s="5" t="n">
        <v>3</v>
      </c>
      <c r="B1527" s="5" t="n">
        <v>9</v>
      </c>
      <c r="C1527" s="5" t="n">
        <v>2</v>
      </c>
      <c r="D1527" s="18">
        <f>SEASON_HRS_TOM*B1527*(1+DIM_TOM)^B1527+SEASON_HRS_CAR*C1527*(1+DIM_CAR)^C1527</f>
        <v>1972.9751297100015</v>
      </c>
      <c r="E1527" s="18">
        <f>(FARMER_FIELD_HRS+A1527*TEMP_HRS)-D1527</f>
        <v>3067.0248702899985</v>
      </c>
      <c r="F1527" s="21">
        <f>IF(E1527&lt;0,0,MIN(COUNTIF(Labor!$C$59:$C$88,"&lt;="&amp;E1527),MAXBED_MES,TOTAL_BEDS-B1527-C1527))</f>
        <v>30</v>
      </c>
      <c r="G1527" s="21">
        <f>B1527+C1527+F1527</f>
        <v>41</v>
      </c>
      <c r="H1527" s="22">
        <f>IF(E1527&lt;0,-999999999,B1527*(PRICE_TOM-FERT_TOM)+C1527*(PRICE_CAR-FERT_CAR)+F1527*(PRICE_MES-FERT_MES)-(FARMER_SALARY+A1527*TEMP_COST)-FIXED_COSTS)</f>
        <v>-15812</v>
      </c>
    </row>
    <row r="1528">
      <c r="A1528" s="5" t="n">
        <v>3</v>
      </c>
      <c r="B1528" s="5" t="n">
        <v>9</v>
      </c>
      <c r="C1528" s="5" t="n">
        <v>3</v>
      </c>
      <c r="D1528" s="18">
        <f>SEASON_HRS_TOM*B1528*(1+DIM_TOM)^B1528+SEASON_HRS_CAR*C1528*(1+DIM_CAR)^C1528</f>
        <v>2006.8577859600016</v>
      </c>
      <c r="E1528" s="18">
        <f>(FARMER_FIELD_HRS+A1528*TEMP_HRS)-D1528</f>
        <v>3033.142214039998</v>
      </c>
      <c r="F1528" s="21">
        <f>IF(E1528&lt;0,0,MIN(COUNTIF(Labor!$C$59:$C$88,"&lt;="&amp;E1528),MAXBED_MES,TOTAL_BEDS-B1528-C1528))</f>
        <v>30</v>
      </c>
      <c r="G1528" s="21">
        <f>B1528+C1528+F1528</f>
        <v>42</v>
      </c>
      <c r="H1528" s="22">
        <f>IF(E1528&lt;0,-999999999,B1528*(PRICE_TOM-FERT_TOM)+C1528*(PRICE_CAR-FERT_CAR)+F1528*(PRICE_MES-FERT_MES)-(FARMER_SALARY+A1528*TEMP_COST)-FIXED_COSTS)</f>
        <v>-14158</v>
      </c>
    </row>
    <row r="1529">
      <c r="A1529" s="5" t="n">
        <v>3</v>
      </c>
      <c r="B1529" s="5" t="n">
        <v>9</v>
      </c>
      <c r="C1529" s="5" t="n">
        <v>4</v>
      </c>
      <c r="D1529" s="18">
        <f>SEASON_HRS_TOM*B1529*(1+DIM_TOM)^B1529+SEASON_HRS_CAR*C1529*(1+DIM_CAR)^C1529</f>
        <v>2042.3951765850015</v>
      </c>
      <c r="E1529" s="18">
        <f>(FARMER_FIELD_HRS+A1529*TEMP_HRS)-D1529</f>
        <v>2997.6048234149985</v>
      </c>
      <c r="F1529" s="21">
        <f>IF(E1529&lt;0,0,MIN(COUNTIF(Labor!$C$59:$C$88,"&lt;="&amp;E1529),MAXBED_MES,TOTAL_BEDS-B1529-C1529))</f>
        <v>30</v>
      </c>
      <c r="G1529" s="21">
        <f>B1529+C1529+F1529</f>
        <v>43</v>
      </c>
      <c r="H1529" s="22">
        <f>IF(E1529&lt;0,-999999999,B1529*(PRICE_TOM-FERT_TOM)+C1529*(PRICE_CAR-FERT_CAR)+F1529*(PRICE_MES-FERT_MES)-(FARMER_SALARY+A1529*TEMP_COST)-FIXED_COSTS)</f>
        <v>-12504</v>
      </c>
    </row>
    <row r="1530">
      <c r="A1530" s="5" t="n">
        <v>3</v>
      </c>
      <c r="B1530" s="5" t="n">
        <v>9</v>
      </c>
      <c r="C1530" s="5" t="n">
        <v>5</v>
      </c>
      <c r="D1530" s="18">
        <f>SEASON_HRS_TOM*B1530*(1+DIM_TOM)^B1530+SEASON_HRS_CAR*C1530*(1+DIM_CAR)^C1530</f>
        <v>2079.6488616435954</v>
      </c>
      <c r="E1530" s="18">
        <f>(FARMER_FIELD_HRS+A1530*TEMP_HRS)-D1530</f>
        <v>2960.3511383564046</v>
      </c>
      <c r="F1530" s="21">
        <f>IF(E1530&lt;0,0,MIN(COUNTIF(Labor!$C$59:$C$88,"&lt;="&amp;E1530),MAXBED_MES,TOTAL_BEDS-B1530-C1530))</f>
        <v>30</v>
      </c>
      <c r="G1530" s="21">
        <f>B1530+C1530+F1530</f>
        <v>44</v>
      </c>
      <c r="H1530" s="22">
        <f>IF(E1530&lt;0,-999999999,B1530*(PRICE_TOM-FERT_TOM)+C1530*(PRICE_CAR-FERT_CAR)+F1530*(PRICE_MES-FERT_MES)-(FARMER_SALARY+A1530*TEMP_COST)-FIXED_COSTS)</f>
        <v>-10850</v>
      </c>
    </row>
    <row r="1531">
      <c r="A1531" s="5" t="n">
        <v>3</v>
      </c>
      <c r="B1531" s="5" t="n">
        <v>9</v>
      </c>
      <c r="C1531" s="5" t="n">
        <v>6</v>
      </c>
      <c r="D1531" s="18">
        <f>SEASON_HRS_TOM*B1531*(1+DIM_TOM)^B1531+SEASON_HRS_CAR*C1531*(1+DIM_CAR)^C1531</f>
        <v>2118.682444988322</v>
      </c>
      <c r="E1531" s="18">
        <f>(FARMER_FIELD_HRS+A1531*TEMP_HRS)-D1531</f>
        <v>2921.317555011678</v>
      </c>
      <c r="F1531" s="21">
        <f>IF(E1531&lt;0,0,MIN(COUNTIF(Labor!$C$59:$C$88,"&lt;="&amp;E1531),MAXBED_MES,TOTAL_BEDS-B1531-C1531))</f>
        <v>30</v>
      </c>
      <c r="G1531" s="21">
        <f>B1531+C1531+F1531</f>
        <v>45</v>
      </c>
      <c r="H1531" s="22">
        <f>IF(E1531&lt;0,-999999999,B1531*(PRICE_TOM-FERT_TOM)+C1531*(PRICE_CAR-FERT_CAR)+F1531*(PRICE_MES-FERT_MES)-(FARMER_SALARY+A1531*TEMP_COST)-FIXED_COSTS)</f>
        <v>-9196</v>
      </c>
    </row>
    <row r="1532">
      <c r="A1532" s="5" t="n">
        <v>3</v>
      </c>
      <c r="B1532" s="5" t="n">
        <v>9</v>
      </c>
      <c r="C1532" s="5" t="n">
        <v>7</v>
      </c>
      <c r="D1532" s="18">
        <f>SEASON_HRS_TOM*B1532*(1+DIM_TOM)^B1532+SEASON_HRS_CAR*C1532*(1+DIM_CAR)^C1532</f>
        <v>2159.561637980326</v>
      </c>
      <c r="E1532" s="18">
        <f>(FARMER_FIELD_HRS+A1532*TEMP_HRS)-D1532</f>
        <v>2880.438362019674</v>
      </c>
      <c r="F1532" s="21">
        <f>IF(E1532&lt;0,0,MIN(COUNTIF(Labor!$C$59:$C$88,"&lt;="&amp;E1532),MAXBED_MES,TOTAL_BEDS-B1532-C1532))</f>
        <v>30</v>
      </c>
      <c r="G1532" s="21">
        <f>B1532+C1532+F1532</f>
        <v>46</v>
      </c>
      <c r="H1532" s="22">
        <f>IF(E1532&lt;0,-999999999,B1532*(PRICE_TOM-FERT_TOM)+C1532*(PRICE_CAR-FERT_CAR)+F1532*(PRICE_MES-FERT_MES)-(FARMER_SALARY+A1532*TEMP_COST)-FIXED_COSTS)</f>
        <v>-7542</v>
      </c>
    </row>
    <row r="1533">
      <c r="A1533" s="5" t="n">
        <v>3</v>
      </c>
      <c r="B1533" s="5" t="n">
        <v>9</v>
      </c>
      <c r="C1533" s="5" t="n">
        <v>8</v>
      </c>
      <c r="D1533" s="18">
        <f>SEASON_HRS_TOM*B1533*(1+DIM_TOM)^B1533+SEASON_HRS_CAR*C1533*(1+DIM_CAR)^C1533</f>
        <v>2202.354325112382</v>
      </c>
      <c r="E1533" s="18">
        <f>(FARMER_FIELD_HRS+A1533*TEMP_HRS)-D1533</f>
        <v>2837.645674887618</v>
      </c>
      <c r="F1533" s="21">
        <f>IF(E1533&lt;0,0,MIN(COUNTIF(Labor!$C$59:$C$88,"&lt;="&amp;E1533),MAXBED_MES,TOTAL_BEDS-B1533-C1533))</f>
        <v>30</v>
      </c>
      <c r="G1533" s="21">
        <f>B1533+C1533+F1533</f>
        <v>47</v>
      </c>
      <c r="H1533" s="22">
        <f>IF(E1533&lt;0,-999999999,B1533*(PRICE_TOM-FERT_TOM)+C1533*(PRICE_CAR-FERT_CAR)+F1533*(PRICE_MES-FERT_MES)-(FARMER_SALARY+A1533*TEMP_COST)-FIXED_COSTS)</f>
        <v>-5888</v>
      </c>
    </row>
    <row r="1534">
      <c r="A1534" s="5" t="n">
        <v>3</v>
      </c>
      <c r="B1534" s="5" t="n">
        <v>9</v>
      </c>
      <c r="C1534" s="5" t="n">
        <v>9</v>
      </c>
      <c r="D1534" s="18">
        <f>SEASON_HRS_TOM*B1534*(1+DIM_TOM)^B1534+SEASON_HRS_CAR*C1534*(1+DIM_CAR)^C1534</f>
        <v>2247.1306315958714</v>
      </c>
      <c r="E1534" s="18">
        <f>(FARMER_FIELD_HRS+A1534*TEMP_HRS)-D1534</f>
        <v>2792.8693684041286</v>
      </c>
      <c r="F1534" s="21">
        <f>IF(E1534&lt;0,0,MIN(COUNTIF(Labor!$C$59:$C$88,"&lt;="&amp;E1534),MAXBED_MES,TOTAL_BEDS-B1534-C1534))</f>
        <v>30</v>
      </c>
      <c r="G1534" s="21">
        <f>B1534+C1534+F1534</f>
        <v>48</v>
      </c>
      <c r="H1534" s="22">
        <f>IF(E1534&lt;0,-999999999,B1534*(PRICE_TOM-FERT_TOM)+C1534*(PRICE_CAR-FERT_CAR)+F1534*(PRICE_MES-FERT_MES)-(FARMER_SALARY+A1534*TEMP_COST)-FIXED_COSTS)</f>
        <v>-4234</v>
      </c>
    </row>
    <row r="1535">
      <c r="A1535" s="5" t="n">
        <v>3</v>
      </c>
      <c r="B1535" s="5" t="n">
        <v>9</v>
      </c>
      <c r="C1535" s="5" t="n">
        <v>10</v>
      </c>
      <c r="D1535" s="18">
        <f>SEASON_HRS_TOM*B1535*(1+DIM_TOM)^B1535+SEASON_HRS_CAR*C1535*(1+DIM_CAR)^C1535</f>
        <v>2293.9629929689086</v>
      </c>
      <c r="E1535" s="18">
        <f>(FARMER_FIELD_HRS+A1535*TEMP_HRS)-D1535</f>
        <v>2746.0370070310914</v>
      </c>
      <c r="F1535" s="21">
        <f>IF(E1535&lt;0,0,MIN(COUNTIF(Labor!$C$59:$C$88,"&lt;="&amp;E1535),MAXBED_MES,TOTAL_BEDS-B1535-C1535))</f>
        <v>30</v>
      </c>
      <c r="G1535" s="21">
        <f>B1535+C1535+F1535</f>
        <v>49</v>
      </c>
      <c r="H1535" s="22">
        <f>IF(E1535&lt;0,-999999999,B1535*(PRICE_TOM-FERT_TOM)+C1535*(PRICE_CAR-FERT_CAR)+F1535*(PRICE_MES-FERT_MES)-(FARMER_SALARY+A1535*TEMP_COST)-FIXED_COSTS)</f>
        <v>-2580</v>
      </c>
    </row>
    <row r="1536">
      <c r="A1536" s="5" t="n">
        <v>3</v>
      </c>
      <c r="B1536" s="5" t="n">
        <v>9</v>
      </c>
      <c r="C1536" s="5" t="n">
        <v>11</v>
      </c>
      <c r="D1536" s="18">
        <f>SEASON_HRS_TOM*B1536*(1+DIM_TOM)^B1536+SEASON_HRS_CAR*C1536*(1+DIM_CAR)^C1536</f>
        <v>2342.926226784419</v>
      </c>
      <c r="E1536" s="18">
        <f>(FARMER_FIELD_HRS+A1536*TEMP_HRS)-D1536</f>
        <v>2697.073773215581</v>
      </c>
      <c r="F1536" s="21">
        <f>IF(E1536&lt;0,0,MIN(COUNTIF(Labor!$C$59:$C$88,"&lt;="&amp;E1536),MAXBED_MES,TOTAL_BEDS-B1536-C1536))</f>
        <v>30</v>
      </c>
      <c r="G1536" s="21">
        <f>B1536+C1536+F1536</f>
        <v>50</v>
      </c>
      <c r="H1536" s="22">
        <f>IF(E1536&lt;0,-999999999,B1536*(PRICE_TOM-FERT_TOM)+C1536*(PRICE_CAR-FERT_CAR)+F1536*(PRICE_MES-FERT_MES)-(FARMER_SALARY+A1536*TEMP_COST)-FIXED_COSTS)</f>
        <v>-926</v>
      </c>
    </row>
    <row r="1537">
      <c r="A1537" s="5" t="n">
        <v>3</v>
      </c>
      <c r="B1537" s="5" t="n">
        <v>9</v>
      </c>
      <c r="C1537" s="5" t="n">
        <v>12</v>
      </c>
      <c r="D1537" s="18">
        <f>SEASON_HRS_TOM*B1537*(1+DIM_TOM)^B1537+SEASON_HRS_CAR*C1537*(1+DIM_CAR)^C1537</f>
        <v>2394.0976064386687</v>
      </c>
      <c r="E1537" s="18">
        <f>(FARMER_FIELD_HRS+A1537*TEMP_HRS)-D1537</f>
        <v>2645.9023935613313</v>
      </c>
      <c r="F1537" s="21">
        <f>IF(E1537&lt;0,0,MIN(COUNTIF(Labor!$C$59:$C$88,"&lt;="&amp;E1537),MAXBED_MES,TOTAL_BEDS-B1537-C1537))</f>
        <v>30</v>
      </c>
      <c r="G1537" s="21">
        <f>B1537+C1537+F1537</f>
        <v>51</v>
      </c>
      <c r="H1537" s="22">
        <f>IF(E1537&lt;0,-999999999,B1537*(PRICE_TOM-FERT_TOM)+C1537*(PRICE_CAR-FERT_CAR)+F1537*(PRICE_MES-FERT_MES)-(FARMER_SALARY+A1537*TEMP_COST)-FIXED_COSTS)</f>
        <v>728</v>
      </c>
    </row>
    <row r="1538">
      <c r="A1538" s="5" t="n">
        <v>3</v>
      </c>
      <c r="B1538" s="5" t="n">
        <v>9</v>
      </c>
      <c r="C1538" s="5" t="n">
        <v>13</v>
      </c>
      <c r="D1538" s="18">
        <f>SEASON_HRS_TOM*B1538*(1+DIM_TOM)^B1538+SEASON_HRS_CAR*C1538*(1+DIM_CAR)^C1538</f>
        <v>2447.556937202459</v>
      </c>
      <c r="E1538" s="18">
        <f>(FARMER_FIELD_HRS+A1538*TEMP_HRS)-D1538</f>
        <v>2592.443062797541</v>
      </c>
      <c r="F1538" s="21">
        <f>IF(E1538&lt;0,0,MIN(COUNTIF(Labor!$C$59:$C$88,"&lt;="&amp;E1538),MAXBED_MES,TOTAL_BEDS-B1538-C1538))</f>
        <v>30</v>
      </c>
      <c r="G1538" s="21">
        <f>B1538+C1538+F1538</f>
        <v>52</v>
      </c>
      <c r="H1538" s="22">
        <f>IF(E1538&lt;0,-999999999,B1538*(PRICE_TOM-FERT_TOM)+C1538*(PRICE_CAR-FERT_CAR)+F1538*(PRICE_MES-FERT_MES)-(FARMER_SALARY+A1538*TEMP_COST)-FIXED_COSTS)</f>
        <v>2382</v>
      </c>
    </row>
    <row r="1539">
      <c r="A1539" s="5" t="n">
        <v>3</v>
      </c>
      <c r="B1539" s="5" t="n">
        <v>9</v>
      </c>
      <c r="C1539" s="5" t="n">
        <v>14</v>
      </c>
      <c r="D1539" s="18">
        <f>SEASON_HRS_TOM*B1539*(1+DIM_TOM)^B1539+SEASON_HRS_CAR*C1539*(1+DIM_CAR)^C1539</f>
        <v>2503.386634518983</v>
      </c>
      <c r="E1539" s="18">
        <f>(FARMER_FIELD_HRS+A1539*TEMP_HRS)-D1539</f>
        <v>2536.613365481017</v>
      </c>
      <c r="F1539" s="21">
        <f>IF(E1539&lt;0,0,MIN(COUNTIF(Labor!$C$59:$C$88,"&lt;="&amp;E1539),MAXBED_MES,TOTAL_BEDS-B1539-C1539))</f>
        <v>30</v>
      </c>
      <c r="G1539" s="21">
        <f>B1539+C1539+F1539</f>
        <v>53</v>
      </c>
      <c r="H1539" s="22">
        <f>IF(E1539&lt;0,-999999999,B1539*(PRICE_TOM-FERT_TOM)+C1539*(PRICE_CAR-FERT_CAR)+F1539*(PRICE_MES-FERT_MES)-(FARMER_SALARY+A1539*TEMP_COST)-FIXED_COSTS)</f>
        <v>4036</v>
      </c>
    </row>
    <row r="1540">
      <c r="A1540" s="5" t="n">
        <v>3</v>
      </c>
      <c r="B1540" s="5" t="n">
        <v>9</v>
      </c>
      <c r="C1540" s="5" t="n">
        <v>15</v>
      </c>
      <c r="D1540" s="18">
        <f>SEASON_HRS_TOM*B1540*(1+DIM_TOM)^B1540+SEASON_HRS_CAR*C1540*(1+DIM_CAR)^C1540</f>
        <v>2561.671804634151</v>
      </c>
      <c r="E1540" s="18">
        <f>(FARMER_FIELD_HRS+A1540*TEMP_HRS)-D1540</f>
        <v>2478.328195365849</v>
      </c>
      <c r="F1540" s="21">
        <f>IF(E1540&lt;0,0,MIN(COUNTIF(Labor!$C$59:$C$88,"&lt;="&amp;E1540),MAXBED_MES,TOTAL_BEDS-B1540-C1540))</f>
        <v>30</v>
      </c>
      <c r="G1540" s="21">
        <f>B1540+C1540+F1540</f>
        <v>54</v>
      </c>
      <c r="H1540" s="22">
        <f>IF(E1540&lt;0,-999999999,B1540*(PRICE_TOM-FERT_TOM)+C1540*(PRICE_CAR-FERT_CAR)+F1540*(PRICE_MES-FERT_MES)-(FARMER_SALARY+A1540*TEMP_COST)-FIXED_COSTS)</f>
        <v>5690</v>
      </c>
    </row>
    <row r="1541">
      <c r="A1541" s="5" t="n">
        <v>3</v>
      </c>
      <c r="B1541" s="5" t="n">
        <v>9</v>
      </c>
      <c r="C1541" s="5" t="n">
        <v>16</v>
      </c>
      <c r="D1541" s="18">
        <f>SEASON_HRS_TOM*B1541*(1+DIM_TOM)^B1541+SEASON_HRS_CAR*C1541*(1+DIM_CAR)^C1541</f>
        <v>2622.5003276270713</v>
      </c>
      <c r="E1541" s="18">
        <f>(FARMER_FIELD_HRS+A1541*TEMP_HRS)-D1541</f>
        <v>2417.4996723729287</v>
      </c>
      <c r="F1541" s="21">
        <f>IF(E1541&lt;0,0,MIN(COUNTIF(Labor!$C$59:$C$88,"&lt;="&amp;E1541),MAXBED_MES,TOTAL_BEDS-B1541-C1541))</f>
        <v>30</v>
      </c>
      <c r="G1541" s="21">
        <f>B1541+C1541+F1541</f>
        <v>55</v>
      </c>
      <c r="H1541" s="22">
        <f>IF(E1541&lt;0,-999999999,B1541*(PRICE_TOM-FERT_TOM)+C1541*(PRICE_CAR-FERT_CAR)+F1541*(PRICE_MES-FERT_MES)-(FARMER_SALARY+A1541*TEMP_COST)-FIXED_COSTS)</f>
        <v>7344</v>
      </c>
    </row>
    <row r="1542">
      <c r="A1542" s="5" t="n">
        <v>3</v>
      </c>
      <c r="B1542" s="5" t="n">
        <v>9</v>
      </c>
      <c r="C1542" s="5" t="n">
        <v>17</v>
      </c>
      <c r="D1542" s="18">
        <f>SEASON_HRS_TOM*B1542*(1+DIM_TOM)^B1542+SEASON_HRS_CAR*C1542*(1+DIM_CAR)^C1542</f>
        <v>2685.9629429103106</v>
      </c>
      <c r="E1542" s="18">
        <f>(FARMER_FIELD_HRS+A1542*TEMP_HRS)-D1542</f>
        <v>2354.0370570896894</v>
      </c>
      <c r="F1542" s="21">
        <f>IF(E1542&lt;0,0,MIN(COUNTIF(Labor!$C$59:$C$88,"&lt;="&amp;E1542),MAXBED_MES,TOTAL_BEDS-B1542-C1542))</f>
        <v>30</v>
      </c>
      <c r="G1542" s="21">
        <f>B1542+C1542+F1542</f>
        <v>56</v>
      </c>
      <c r="H1542" s="22">
        <f>IF(E1542&lt;0,-999999999,B1542*(PRICE_TOM-FERT_TOM)+C1542*(PRICE_CAR-FERT_CAR)+F1542*(PRICE_MES-FERT_MES)-(FARMER_SALARY+A1542*TEMP_COST)-FIXED_COSTS)</f>
        <v>8998</v>
      </c>
    </row>
    <row r="1543">
      <c r="A1543" s="5" t="n">
        <v>3</v>
      </c>
      <c r="B1543" s="5" t="n">
        <v>9</v>
      </c>
      <c r="C1543" s="5" t="n">
        <v>18</v>
      </c>
      <c r="D1543" s="18">
        <f>SEASON_HRS_TOM*B1543*(1+DIM_TOM)^B1543+SEASON_HRS_CAR*C1543*(1+DIM_CAR)^C1543</f>
        <v>2752.153337271513</v>
      </c>
      <c r="E1543" s="18">
        <f>(FARMER_FIELD_HRS+A1543*TEMP_HRS)-D1543</f>
        <v>2287.846662728487</v>
      </c>
      <c r="F1543" s="21">
        <f>IF(E1543&lt;0,0,MIN(COUNTIF(Labor!$C$59:$C$88,"&lt;="&amp;E1543),MAXBED_MES,TOTAL_BEDS-B1543-C1543))</f>
        <v>30</v>
      </c>
      <c r="G1543" s="21">
        <f>B1543+C1543+F1543</f>
        <v>57</v>
      </c>
      <c r="H1543" s="22">
        <f>IF(E1543&lt;0,-999999999,B1543*(PRICE_TOM-FERT_TOM)+C1543*(PRICE_CAR-FERT_CAR)+F1543*(PRICE_MES-FERT_MES)-(FARMER_SALARY+A1543*TEMP_COST)-FIXED_COSTS)</f>
        <v>10652</v>
      </c>
    </row>
    <row r="1544">
      <c r="A1544" s="5" t="n">
        <v>3</v>
      </c>
      <c r="B1544" s="5" t="n">
        <v>9</v>
      </c>
      <c r="C1544" s="5" t="n">
        <v>19</v>
      </c>
      <c r="D1544" s="18">
        <f>SEASON_HRS_TOM*B1544*(1+DIM_TOM)^B1544+SEASON_HRS_CAR*C1544*(1+DIM_CAR)^C1544</f>
        <v>2821.168235530026</v>
      </c>
      <c r="E1544" s="18">
        <f>(FARMER_FIELD_HRS+A1544*TEMP_HRS)-D1544</f>
        <v>2218.831764469974</v>
      </c>
      <c r="F1544" s="21">
        <f>IF(E1544&lt;0,0,MIN(COUNTIF(Labor!$C$59:$C$88,"&lt;="&amp;E1544),MAXBED_MES,TOTAL_BEDS-B1544-C1544))</f>
        <v>30</v>
      </c>
      <c r="G1544" s="21">
        <f>B1544+C1544+F1544</f>
        <v>58</v>
      </c>
      <c r="H1544" s="22">
        <f>IF(E1544&lt;0,-999999999,B1544*(PRICE_TOM-FERT_TOM)+C1544*(PRICE_CAR-FERT_CAR)+F1544*(PRICE_MES-FERT_MES)-(FARMER_SALARY+A1544*TEMP_COST)-FIXED_COSTS)</f>
        <v>12306</v>
      </c>
    </row>
    <row r="1545">
      <c r="A1545" s="5" t="n">
        <v>3</v>
      </c>
      <c r="B1545" s="5" t="n">
        <v>9</v>
      </c>
      <c r="C1545" s="5" t="n">
        <v>20</v>
      </c>
      <c r="D1545" s="18">
        <f>SEASON_HRS_TOM*B1545*(1+DIM_TOM)^B1545+SEASON_HRS_CAR*C1545*(1+DIM_CAR)^C1545</f>
        <v>2893.107493884238</v>
      </c>
      <c r="E1545" s="18">
        <f>(FARMER_FIELD_HRS+A1545*TEMP_HRS)-D1545</f>
        <v>2146.892506115762</v>
      </c>
      <c r="F1545" s="21">
        <f>IF(E1545&lt;0,0,MIN(COUNTIF(Labor!$C$59:$C$88,"&lt;="&amp;E1545),MAXBED_MES,TOTAL_BEDS-B1545-C1545))</f>
        <v>30</v>
      </c>
      <c r="G1545" s="21">
        <f>B1545+C1545+F1545</f>
        <v>59</v>
      </c>
      <c r="H1545" s="22">
        <f>IF(E1545&lt;0,-999999999,B1545*(PRICE_TOM-FERT_TOM)+C1545*(PRICE_CAR-FERT_CAR)+F1545*(PRICE_MES-FERT_MES)-(FARMER_SALARY+A1545*TEMP_COST)-FIXED_COSTS)</f>
        <v>13960</v>
      </c>
    </row>
    <row r="1546">
      <c r="A1546" s="5" t="n">
        <v>3</v>
      </c>
      <c r="B1546" s="5" t="n">
        <v>10</v>
      </c>
      <c r="C1546" s="5" t="n">
        <v>0</v>
      </c>
      <c r="D1546" s="18">
        <f>SEASON_HRS_TOM*B1546*(1+DIM_TOM)^B1546+SEASON_HRS_CAR*C1546*(1+DIM_CAR)^C1546</f>
        <v>2334.368214090002</v>
      </c>
      <c r="E1546" s="18">
        <f>(FARMER_FIELD_HRS+A1546*TEMP_HRS)-D1546</f>
        <v>2705.631785909998</v>
      </c>
      <c r="F1546" s="21">
        <f>IF(E1546&lt;0,0,MIN(COUNTIF(Labor!$C$59:$C$88,"&lt;="&amp;E1546),MAXBED_MES,TOTAL_BEDS-B1546-C1546))</f>
        <v>30</v>
      </c>
      <c r="G1546" s="21">
        <f>B1546+C1546+F1546</f>
        <v>40</v>
      </c>
      <c r="H1546" s="22">
        <f>IF(E1546&lt;0,-999999999,B1546*(PRICE_TOM-FERT_TOM)+C1546*(PRICE_CAR-FERT_CAR)+F1546*(PRICE_MES-FERT_MES)-(FARMER_SALARY+A1546*TEMP_COST)-FIXED_COSTS)</f>
        <v>-11200</v>
      </c>
    </row>
    <row r="1547">
      <c r="A1547" s="5" t="n">
        <v>3</v>
      </c>
      <c r="B1547" s="5" t="n">
        <v>10</v>
      </c>
      <c r="C1547" s="5" t="n">
        <v>1</v>
      </c>
      <c r="D1547" s="18">
        <f>SEASON_HRS_TOM*B1547*(1+DIM_TOM)^B1547+SEASON_HRS_CAR*C1547*(1+DIM_CAR)^C1547</f>
        <v>2365.118214090002</v>
      </c>
      <c r="E1547" s="18">
        <f>(FARMER_FIELD_HRS+A1547*TEMP_HRS)-D1547</f>
        <v>2674.881785909998</v>
      </c>
      <c r="F1547" s="21">
        <f>IF(E1547&lt;0,0,MIN(COUNTIF(Labor!$C$59:$C$88,"&lt;="&amp;E1547),MAXBED_MES,TOTAL_BEDS-B1547-C1547))</f>
        <v>30</v>
      </c>
      <c r="G1547" s="21">
        <f>B1547+C1547+F1547</f>
        <v>41</v>
      </c>
      <c r="H1547" s="22">
        <f>IF(E1547&lt;0,-999999999,B1547*(PRICE_TOM-FERT_TOM)+C1547*(PRICE_CAR-FERT_CAR)+F1547*(PRICE_MES-FERT_MES)-(FARMER_SALARY+A1547*TEMP_COST)-FIXED_COSTS)</f>
        <v>-9546</v>
      </c>
    </row>
    <row r="1548">
      <c r="A1548" s="5" t="n">
        <v>3</v>
      </c>
      <c r="B1548" s="5" t="n">
        <v>10</v>
      </c>
      <c r="C1548" s="5" t="n">
        <v>2</v>
      </c>
      <c r="D1548" s="18">
        <f>SEASON_HRS_TOM*B1548*(1+DIM_TOM)^B1548+SEASON_HRS_CAR*C1548*(1+DIM_CAR)^C1548</f>
        <v>2397.4057140900018</v>
      </c>
      <c r="E1548" s="18">
        <f>(FARMER_FIELD_HRS+A1548*TEMP_HRS)-D1548</f>
        <v>2642.5942859099982</v>
      </c>
      <c r="F1548" s="21">
        <f>IF(E1548&lt;0,0,MIN(COUNTIF(Labor!$C$59:$C$88,"&lt;="&amp;E1548),MAXBED_MES,TOTAL_BEDS-B1548-C1548))</f>
        <v>30</v>
      </c>
      <c r="G1548" s="21">
        <f>B1548+C1548+F1548</f>
        <v>42</v>
      </c>
      <c r="H1548" s="22">
        <f>IF(E1548&lt;0,-999999999,B1548*(PRICE_TOM-FERT_TOM)+C1548*(PRICE_CAR-FERT_CAR)+F1548*(PRICE_MES-FERT_MES)-(FARMER_SALARY+A1548*TEMP_COST)-FIXED_COSTS)</f>
        <v>-7892</v>
      </c>
    </row>
    <row r="1549">
      <c r="A1549" s="5" t="n">
        <v>3</v>
      </c>
      <c r="B1549" s="5" t="n">
        <v>10</v>
      </c>
      <c r="C1549" s="5" t="n">
        <v>3</v>
      </c>
      <c r="D1549" s="18">
        <f>SEASON_HRS_TOM*B1549*(1+DIM_TOM)^B1549+SEASON_HRS_CAR*C1549*(1+DIM_CAR)^C1549</f>
        <v>2431.2883703400016</v>
      </c>
      <c r="E1549" s="18">
        <f>(FARMER_FIELD_HRS+A1549*TEMP_HRS)-D1549</f>
        <v>2608.7116296599984</v>
      </c>
      <c r="F1549" s="21">
        <f>IF(E1549&lt;0,0,MIN(COUNTIF(Labor!$C$59:$C$88,"&lt;="&amp;E1549),MAXBED_MES,TOTAL_BEDS-B1549-C1549))</f>
        <v>30</v>
      </c>
      <c r="G1549" s="21">
        <f>B1549+C1549+F1549</f>
        <v>43</v>
      </c>
      <c r="H1549" s="22">
        <f>IF(E1549&lt;0,-999999999,B1549*(PRICE_TOM-FERT_TOM)+C1549*(PRICE_CAR-FERT_CAR)+F1549*(PRICE_MES-FERT_MES)-(FARMER_SALARY+A1549*TEMP_COST)-FIXED_COSTS)</f>
        <v>-6238</v>
      </c>
    </row>
    <row r="1550">
      <c r="A1550" s="5" t="n">
        <v>3</v>
      </c>
      <c r="B1550" s="5" t="n">
        <v>10</v>
      </c>
      <c r="C1550" s="5" t="n">
        <v>4</v>
      </c>
      <c r="D1550" s="18">
        <f>SEASON_HRS_TOM*B1550*(1+DIM_TOM)^B1550+SEASON_HRS_CAR*C1550*(1+DIM_CAR)^C1550</f>
        <v>2466.825760965002</v>
      </c>
      <c r="E1550" s="18">
        <f>(FARMER_FIELD_HRS+A1550*TEMP_HRS)-D1550</f>
        <v>2573.174239034998</v>
      </c>
      <c r="F1550" s="21">
        <f>IF(E1550&lt;0,0,MIN(COUNTIF(Labor!$C$59:$C$88,"&lt;="&amp;E1550),MAXBED_MES,TOTAL_BEDS-B1550-C1550))</f>
        <v>30</v>
      </c>
      <c r="G1550" s="21">
        <f>B1550+C1550+F1550</f>
        <v>44</v>
      </c>
      <c r="H1550" s="22">
        <f>IF(E1550&lt;0,-999999999,B1550*(PRICE_TOM-FERT_TOM)+C1550*(PRICE_CAR-FERT_CAR)+F1550*(PRICE_MES-FERT_MES)-(FARMER_SALARY+A1550*TEMP_COST)-FIXED_COSTS)</f>
        <v>-4584</v>
      </c>
    </row>
    <row r="1551">
      <c r="A1551" s="5" t="n">
        <v>3</v>
      </c>
      <c r="B1551" s="5" t="n">
        <v>10</v>
      </c>
      <c r="C1551" s="5" t="n">
        <v>5</v>
      </c>
      <c r="D1551" s="18">
        <f>SEASON_HRS_TOM*B1551*(1+DIM_TOM)^B1551+SEASON_HRS_CAR*C1551*(1+DIM_CAR)^C1551</f>
        <v>2504.0794460235957</v>
      </c>
      <c r="E1551" s="18">
        <f>(FARMER_FIELD_HRS+A1551*TEMP_HRS)-D1551</f>
        <v>2535.9205539764043</v>
      </c>
      <c r="F1551" s="21">
        <f>IF(E1551&lt;0,0,MIN(COUNTIF(Labor!$C$59:$C$88,"&lt;="&amp;E1551),MAXBED_MES,TOTAL_BEDS-B1551-C1551))</f>
        <v>30</v>
      </c>
      <c r="G1551" s="21">
        <f>B1551+C1551+F1551</f>
        <v>45</v>
      </c>
      <c r="H1551" s="22">
        <f>IF(E1551&lt;0,-999999999,B1551*(PRICE_TOM-FERT_TOM)+C1551*(PRICE_CAR-FERT_CAR)+F1551*(PRICE_MES-FERT_MES)-(FARMER_SALARY+A1551*TEMP_COST)-FIXED_COSTS)</f>
        <v>-2930</v>
      </c>
    </row>
    <row r="1552">
      <c r="A1552" s="5" t="n">
        <v>3</v>
      </c>
      <c r="B1552" s="5" t="n">
        <v>10</v>
      </c>
      <c r="C1552" s="5" t="n">
        <v>6</v>
      </c>
      <c r="D1552" s="18">
        <f>SEASON_HRS_TOM*B1552*(1+DIM_TOM)^B1552+SEASON_HRS_CAR*C1552*(1+DIM_CAR)^C1552</f>
        <v>2543.1130293683223</v>
      </c>
      <c r="E1552" s="18">
        <f>(FARMER_FIELD_HRS+A1552*TEMP_HRS)-D1552</f>
        <v>2496.8869706316777</v>
      </c>
      <c r="F1552" s="21">
        <f>IF(E1552&lt;0,0,MIN(COUNTIF(Labor!$C$59:$C$88,"&lt;="&amp;E1552),MAXBED_MES,TOTAL_BEDS-B1552-C1552))</f>
        <v>30</v>
      </c>
      <c r="G1552" s="21">
        <f>B1552+C1552+F1552</f>
        <v>46</v>
      </c>
      <c r="H1552" s="22">
        <f>IF(E1552&lt;0,-999999999,B1552*(PRICE_TOM-FERT_TOM)+C1552*(PRICE_CAR-FERT_CAR)+F1552*(PRICE_MES-FERT_MES)-(FARMER_SALARY+A1552*TEMP_COST)-FIXED_COSTS)</f>
        <v>-1276</v>
      </c>
    </row>
    <row r="1553">
      <c r="A1553" s="5" t="n">
        <v>3</v>
      </c>
      <c r="B1553" s="5" t="n">
        <v>10</v>
      </c>
      <c r="C1553" s="5" t="n">
        <v>7</v>
      </c>
      <c r="D1553" s="18">
        <f>SEASON_HRS_TOM*B1553*(1+DIM_TOM)^B1553+SEASON_HRS_CAR*C1553*(1+DIM_CAR)^C1553</f>
        <v>2583.992222360326</v>
      </c>
      <c r="E1553" s="18">
        <f>(FARMER_FIELD_HRS+A1553*TEMP_HRS)-D1553</f>
        <v>2456.007777639674</v>
      </c>
      <c r="F1553" s="21">
        <f>IF(E1553&lt;0,0,MIN(COUNTIF(Labor!$C$59:$C$88,"&lt;="&amp;E1553),MAXBED_MES,TOTAL_BEDS-B1553-C1553))</f>
        <v>30</v>
      </c>
      <c r="G1553" s="21">
        <f>B1553+C1553+F1553</f>
        <v>47</v>
      </c>
      <c r="H1553" s="22">
        <f>IF(E1553&lt;0,-999999999,B1553*(PRICE_TOM-FERT_TOM)+C1553*(PRICE_CAR-FERT_CAR)+F1553*(PRICE_MES-FERT_MES)-(FARMER_SALARY+A1553*TEMP_COST)-FIXED_COSTS)</f>
        <v>378</v>
      </c>
    </row>
    <row r="1554">
      <c r="A1554" s="5" t="n">
        <v>3</v>
      </c>
      <c r="B1554" s="5" t="n">
        <v>10</v>
      </c>
      <c r="C1554" s="5" t="n">
        <v>8</v>
      </c>
      <c r="D1554" s="18">
        <f>SEASON_HRS_TOM*B1554*(1+DIM_TOM)^B1554+SEASON_HRS_CAR*C1554*(1+DIM_CAR)^C1554</f>
        <v>2626.784909492382</v>
      </c>
      <c r="E1554" s="18">
        <f>(FARMER_FIELD_HRS+A1554*TEMP_HRS)-D1554</f>
        <v>2413.215090507618</v>
      </c>
      <c r="F1554" s="21">
        <f>IF(E1554&lt;0,0,MIN(COUNTIF(Labor!$C$59:$C$88,"&lt;="&amp;E1554),MAXBED_MES,TOTAL_BEDS-B1554-C1554))</f>
        <v>30</v>
      </c>
      <c r="G1554" s="21">
        <f>B1554+C1554+F1554</f>
        <v>48</v>
      </c>
      <c r="H1554" s="22">
        <f>IF(E1554&lt;0,-999999999,B1554*(PRICE_TOM-FERT_TOM)+C1554*(PRICE_CAR-FERT_CAR)+F1554*(PRICE_MES-FERT_MES)-(FARMER_SALARY+A1554*TEMP_COST)-FIXED_COSTS)</f>
        <v>2032</v>
      </c>
    </row>
    <row r="1555">
      <c r="A1555" s="5" t="n">
        <v>3</v>
      </c>
      <c r="B1555" s="5" t="n">
        <v>10</v>
      </c>
      <c r="C1555" s="5" t="n">
        <v>9</v>
      </c>
      <c r="D1555" s="18">
        <f>SEASON_HRS_TOM*B1555*(1+DIM_TOM)^B1555+SEASON_HRS_CAR*C1555*(1+DIM_CAR)^C1555</f>
        <v>2671.5612159758716</v>
      </c>
      <c r="E1555" s="18">
        <f>(FARMER_FIELD_HRS+A1555*TEMP_HRS)-D1555</f>
        <v>2368.4387840241284</v>
      </c>
      <c r="F1555" s="21">
        <f>IF(E1555&lt;0,0,MIN(COUNTIF(Labor!$C$59:$C$88,"&lt;="&amp;E1555),MAXBED_MES,TOTAL_BEDS-B1555-C1555))</f>
        <v>30</v>
      </c>
      <c r="G1555" s="21">
        <f>B1555+C1555+F1555</f>
        <v>49</v>
      </c>
      <c r="H1555" s="22">
        <f>IF(E1555&lt;0,-999999999,B1555*(PRICE_TOM-FERT_TOM)+C1555*(PRICE_CAR-FERT_CAR)+F1555*(PRICE_MES-FERT_MES)-(FARMER_SALARY+A1555*TEMP_COST)-FIXED_COSTS)</f>
        <v>3686</v>
      </c>
    </row>
    <row r="1556">
      <c r="A1556" s="5" t="n">
        <v>3</v>
      </c>
      <c r="B1556" s="5" t="n">
        <v>10</v>
      </c>
      <c r="C1556" s="5" t="n">
        <v>10</v>
      </c>
      <c r="D1556" s="18">
        <f>SEASON_HRS_TOM*B1556*(1+DIM_TOM)^B1556+SEASON_HRS_CAR*C1556*(1+DIM_CAR)^C1556</f>
        <v>2718.393577348909</v>
      </c>
      <c r="E1556" s="18">
        <f>(FARMER_FIELD_HRS+A1556*TEMP_HRS)-D1556</f>
        <v>2321.606422651091</v>
      </c>
      <c r="F1556" s="21">
        <f>IF(E1556&lt;0,0,MIN(COUNTIF(Labor!$C$59:$C$88,"&lt;="&amp;E1556),MAXBED_MES,TOTAL_BEDS-B1556-C1556))</f>
        <v>30</v>
      </c>
      <c r="G1556" s="21">
        <f>B1556+C1556+F1556</f>
        <v>50</v>
      </c>
      <c r="H1556" s="22">
        <f>IF(E1556&lt;0,-999999999,B1556*(PRICE_TOM-FERT_TOM)+C1556*(PRICE_CAR-FERT_CAR)+F1556*(PRICE_MES-FERT_MES)-(FARMER_SALARY+A1556*TEMP_COST)-FIXED_COSTS)</f>
        <v>5340</v>
      </c>
    </row>
    <row r="1557">
      <c r="A1557" s="5" t="n">
        <v>3</v>
      </c>
      <c r="B1557" s="5" t="n">
        <v>10</v>
      </c>
      <c r="C1557" s="5" t="n">
        <v>11</v>
      </c>
      <c r="D1557" s="18">
        <f>SEASON_HRS_TOM*B1557*(1+DIM_TOM)^B1557+SEASON_HRS_CAR*C1557*(1+DIM_CAR)^C1557</f>
        <v>2767.3568111644195</v>
      </c>
      <c r="E1557" s="18">
        <f>(FARMER_FIELD_HRS+A1557*TEMP_HRS)-D1557</f>
        <v>2272.6431888355805</v>
      </c>
      <c r="F1557" s="21">
        <f>IF(E1557&lt;0,0,MIN(COUNTIF(Labor!$C$59:$C$88,"&lt;="&amp;E1557),MAXBED_MES,TOTAL_BEDS-B1557-C1557))</f>
        <v>30</v>
      </c>
      <c r="G1557" s="21">
        <f>B1557+C1557+F1557</f>
        <v>51</v>
      </c>
      <c r="H1557" s="22">
        <f>IF(E1557&lt;0,-999999999,B1557*(PRICE_TOM-FERT_TOM)+C1557*(PRICE_CAR-FERT_CAR)+F1557*(PRICE_MES-FERT_MES)-(FARMER_SALARY+A1557*TEMP_COST)-FIXED_COSTS)</f>
        <v>6994</v>
      </c>
    </row>
    <row r="1558">
      <c r="A1558" s="5" t="n">
        <v>3</v>
      </c>
      <c r="B1558" s="5" t="n">
        <v>10</v>
      </c>
      <c r="C1558" s="5" t="n">
        <v>12</v>
      </c>
      <c r="D1558" s="18">
        <f>SEASON_HRS_TOM*B1558*(1+DIM_TOM)^B1558+SEASON_HRS_CAR*C1558*(1+DIM_CAR)^C1558</f>
        <v>2818.528190818669</v>
      </c>
      <c r="E1558" s="18">
        <f>(FARMER_FIELD_HRS+A1558*TEMP_HRS)-D1558</f>
        <v>2221.471809181331</v>
      </c>
      <c r="F1558" s="21">
        <f>IF(E1558&lt;0,0,MIN(COUNTIF(Labor!$C$59:$C$88,"&lt;="&amp;E1558),MAXBED_MES,TOTAL_BEDS-B1558-C1558))</f>
        <v>30</v>
      </c>
      <c r="G1558" s="21">
        <f>B1558+C1558+F1558</f>
        <v>52</v>
      </c>
      <c r="H1558" s="22">
        <f>IF(E1558&lt;0,-999999999,B1558*(PRICE_TOM-FERT_TOM)+C1558*(PRICE_CAR-FERT_CAR)+F1558*(PRICE_MES-FERT_MES)-(FARMER_SALARY+A1558*TEMP_COST)-FIXED_COSTS)</f>
        <v>8648</v>
      </c>
    </row>
    <row r="1559">
      <c r="A1559" s="5" t="n">
        <v>3</v>
      </c>
      <c r="B1559" s="5" t="n">
        <v>10</v>
      </c>
      <c r="C1559" s="5" t="n">
        <v>13</v>
      </c>
      <c r="D1559" s="18">
        <f>SEASON_HRS_TOM*B1559*(1+DIM_TOM)^B1559+SEASON_HRS_CAR*C1559*(1+DIM_CAR)^C1559</f>
        <v>2871.987521582459</v>
      </c>
      <c r="E1559" s="18">
        <f>(FARMER_FIELD_HRS+A1559*TEMP_HRS)-D1559</f>
        <v>2168.012478417541</v>
      </c>
      <c r="F1559" s="21">
        <f>IF(E1559&lt;0,0,MIN(COUNTIF(Labor!$C$59:$C$88,"&lt;="&amp;E1559),MAXBED_MES,TOTAL_BEDS-B1559-C1559))</f>
        <v>30</v>
      </c>
      <c r="G1559" s="21">
        <f>B1559+C1559+F1559</f>
        <v>53</v>
      </c>
      <c r="H1559" s="22">
        <f>IF(E1559&lt;0,-999999999,B1559*(PRICE_TOM-FERT_TOM)+C1559*(PRICE_CAR-FERT_CAR)+F1559*(PRICE_MES-FERT_MES)-(FARMER_SALARY+A1559*TEMP_COST)-FIXED_COSTS)</f>
        <v>10302</v>
      </c>
    </row>
    <row r="1560">
      <c r="A1560" s="5" t="n">
        <v>3</v>
      </c>
      <c r="B1560" s="5" t="n">
        <v>10</v>
      </c>
      <c r="C1560" s="5" t="n">
        <v>14</v>
      </c>
      <c r="D1560" s="18">
        <f>SEASON_HRS_TOM*B1560*(1+DIM_TOM)^B1560+SEASON_HRS_CAR*C1560*(1+DIM_CAR)^C1560</f>
        <v>2927.8172188989834</v>
      </c>
      <c r="E1560" s="18">
        <f>(FARMER_FIELD_HRS+A1560*TEMP_HRS)-D1560</f>
        <v>2112.1827811010166</v>
      </c>
      <c r="F1560" s="21">
        <f>IF(E1560&lt;0,0,MIN(COUNTIF(Labor!$C$59:$C$88,"&lt;="&amp;E1560),MAXBED_MES,TOTAL_BEDS-B1560-C1560))</f>
        <v>30</v>
      </c>
      <c r="G1560" s="21">
        <f>B1560+C1560+F1560</f>
        <v>54</v>
      </c>
      <c r="H1560" s="22">
        <f>IF(E1560&lt;0,-999999999,B1560*(PRICE_TOM-FERT_TOM)+C1560*(PRICE_CAR-FERT_CAR)+F1560*(PRICE_MES-FERT_MES)-(FARMER_SALARY+A1560*TEMP_COST)-FIXED_COSTS)</f>
        <v>11956</v>
      </c>
    </row>
    <row r="1561">
      <c r="A1561" s="5" t="n">
        <v>3</v>
      </c>
      <c r="B1561" s="5" t="n">
        <v>10</v>
      </c>
      <c r="C1561" s="5" t="n">
        <v>15</v>
      </c>
      <c r="D1561" s="18">
        <f>SEASON_HRS_TOM*B1561*(1+DIM_TOM)^B1561+SEASON_HRS_CAR*C1561*(1+DIM_CAR)^C1561</f>
        <v>2986.1023890141514</v>
      </c>
      <c r="E1561" s="18">
        <f>(FARMER_FIELD_HRS+A1561*TEMP_HRS)-D1561</f>
        <v>2053.8976109858486</v>
      </c>
      <c r="F1561" s="21">
        <f>IF(E1561&lt;0,0,MIN(COUNTIF(Labor!$C$59:$C$88,"&lt;="&amp;E1561),MAXBED_MES,TOTAL_BEDS-B1561-C1561))</f>
        <v>30</v>
      </c>
      <c r="G1561" s="21">
        <f>B1561+C1561+F1561</f>
        <v>55</v>
      </c>
      <c r="H1561" s="22">
        <f>IF(E1561&lt;0,-999999999,B1561*(PRICE_TOM-FERT_TOM)+C1561*(PRICE_CAR-FERT_CAR)+F1561*(PRICE_MES-FERT_MES)-(FARMER_SALARY+A1561*TEMP_COST)-FIXED_COSTS)</f>
        <v>13610</v>
      </c>
    </row>
    <row r="1562">
      <c r="A1562" s="5" t="n">
        <v>3</v>
      </c>
      <c r="B1562" s="5" t="n">
        <v>10</v>
      </c>
      <c r="C1562" s="5" t="n">
        <v>16</v>
      </c>
      <c r="D1562" s="18">
        <f>SEASON_HRS_TOM*B1562*(1+DIM_TOM)^B1562+SEASON_HRS_CAR*C1562*(1+DIM_CAR)^C1562</f>
        <v>3046.9309120070716</v>
      </c>
      <c r="E1562" s="18">
        <f>(FARMER_FIELD_HRS+A1562*TEMP_HRS)-D1562</f>
        <v>1993.0690879929284</v>
      </c>
      <c r="F1562" s="21">
        <f>IF(E1562&lt;0,0,MIN(COUNTIF(Labor!$C$59:$C$88,"&lt;="&amp;E1562),MAXBED_MES,TOTAL_BEDS-B1562-C1562))</f>
        <v>30</v>
      </c>
      <c r="G1562" s="21">
        <f>B1562+C1562+F1562</f>
        <v>56</v>
      </c>
      <c r="H1562" s="22">
        <f>IF(E1562&lt;0,-999999999,B1562*(PRICE_TOM-FERT_TOM)+C1562*(PRICE_CAR-FERT_CAR)+F1562*(PRICE_MES-FERT_MES)-(FARMER_SALARY+A1562*TEMP_COST)-FIXED_COSTS)</f>
        <v>15264</v>
      </c>
    </row>
    <row r="1563">
      <c r="A1563" s="5" t="n">
        <v>3</v>
      </c>
      <c r="B1563" s="5" t="n">
        <v>10</v>
      </c>
      <c r="C1563" s="5" t="n">
        <v>17</v>
      </c>
      <c r="D1563" s="18">
        <f>SEASON_HRS_TOM*B1563*(1+DIM_TOM)^B1563+SEASON_HRS_CAR*C1563*(1+DIM_CAR)^C1563</f>
        <v>3110.393527290311</v>
      </c>
      <c r="E1563" s="18">
        <f>(FARMER_FIELD_HRS+A1563*TEMP_HRS)-D1563</f>
        <v>1929.6064727096891</v>
      </c>
      <c r="F1563" s="21">
        <f>IF(E1563&lt;0,0,MIN(COUNTIF(Labor!$C$59:$C$88,"&lt;="&amp;E1563),MAXBED_MES,TOTAL_BEDS-B1563-C1563))</f>
        <v>29</v>
      </c>
      <c r="G1563" s="21">
        <f>B1563+C1563+F1563</f>
        <v>56</v>
      </c>
      <c r="H1563" s="22">
        <f>IF(E1563&lt;0,-999999999,B1563*(PRICE_TOM-FERT_TOM)+C1563*(PRICE_CAR-FERT_CAR)+F1563*(PRICE_MES-FERT_MES)-(FARMER_SALARY+A1563*TEMP_COST)-FIXED_COSTS)</f>
        <v>15098</v>
      </c>
    </row>
    <row r="1564">
      <c r="A1564" s="5" t="n">
        <v>3</v>
      </c>
      <c r="B1564" s="5" t="n">
        <v>10</v>
      </c>
      <c r="C1564" s="5" t="n">
        <v>18</v>
      </c>
      <c r="D1564" s="18">
        <f>SEASON_HRS_TOM*B1564*(1+DIM_TOM)^B1564+SEASON_HRS_CAR*C1564*(1+DIM_CAR)^C1564</f>
        <v>3176.5839216515133</v>
      </c>
      <c r="E1564" s="18">
        <f>(FARMER_FIELD_HRS+A1564*TEMP_HRS)-D1564</f>
        <v>1863.4160783484867</v>
      </c>
      <c r="F1564" s="21">
        <f>IF(E1564&lt;0,0,MIN(COUNTIF(Labor!$C$59:$C$88,"&lt;="&amp;E1564),MAXBED_MES,TOTAL_BEDS-B1564-C1564))</f>
        <v>28</v>
      </c>
      <c r="G1564" s="21">
        <f>B1564+C1564+F1564</f>
        <v>56</v>
      </c>
      <c r="H1564" s="22">
        <f>IF(E1564&lt;0,-999999999,B1564*(PRICE_TOM-FERT_TOM)+C1564*(PRICE_CAR-FERT_CAR)+F1564*(PRICE_MES-FERT_MES)-(FARMER_SALARY+A1564*TEMP_COST)-FIXED_COSTS)</f>
        <v>14932</v>
      </c>
    </row>
    <row r="1565">
      <c r="A1565" s="5" t="n">
        <v>3</v>
      </c>
      <c r="B1565" s="5" t="n">
        <v>10</v>
      </c>
      <c r="C1565" s="5" t="n">
        <v>19</v>
      </c>
      <c r="D1565" s="18">
        <f>SEASON_HRS_TOM*B1565*(1+DIM_TOM)^B1565+SEASON_HRS_CAR*C1565*(1+DIM_CAR)^C1565</f>
        <v>3245.598819910026</v>
      </c>
      <c r="E1565" s="18">
        <f>(FARMER_FIELD_HRS+A1565*TEMP_HRS)-D1565</f>
        <v>1794.4011800899739</v>
      </c>
      <c r="F1565" s="21">
        <f>IF(E1565&lt;0,0,MIN(COUNTIF(Labor!$C$59:$C$88,"&lt;="&amp;E1565),MAXBED_MES,TOTAL_BEDS-B1565-C1565))</f>
        <v>28</v>
      </c>
      <c r="G1565" s="21">
        <f>B1565+C1565+F1565</f>
        <v>57</v>
      </c>
      <c r="H1565" s="22">
        <f>IF(E1565&lt;0,-999999999,B1565*(PRICE_TOM-FERT_TOM)+C1565*(PRICE_CAR-FERT_CAR)+F1565*(PRICE_MES-FERT_MES)-(FARMER_SALARY+A1565*TEMP_COST)-FIXED_COSTS)</f>
        <v>16586</v>
      </c>
    </row>
    <row r="1566">
      <c r="A1566" s="5" t="n">
        <v>3</v>
      </c>
      <c r="B1566" s="5" t="n">
        <v>10</v>
      </c>
      <c r="C1566" s="5" t="n">
        <v>20</v>
      </c>
      <c r="D1566" s="18">
        <f>SEASON_HRS_TOM*B1566*(1+DIM_TOM)^B1566+SEASON_HRS_CAR*C1566*(1+DIM_CAR)^C1566</f>
        <v>3317.5380782642383</v>
      </c>
      <c r="E1566" s="18">
        <f>(FARMER_FIELD_HRS+A1566*TEMP_HRS)-D1566</f>
        <v>1722.4619217357617</v>
      </c>
      <c r="F1566" s="21">
        <f>IF(E1566&lt;0,0,MIN(COUNTIF(Labor!$C$59:$C$88,"&lt;="&amp;E1566),MAXBED_MES,TOTAL_BEDS-B1566-C1566))</f>
        <v>27</v>
      </c>
      <c r="G1566" s="21">
        <f>B1566+C1566+F1566</f>
        <v>57</v>
      </c>
      <c r="H1566" s="22">
        <f>IF(E1566&lt;0,-999999999,B1566*(PRICE_TOM-FERT_TOM)+C1566*(PRICE_CAR-FERT_CAR)+F1566*(PRICE_MES-FERT_MES)-(FARMER_SALARY+A1566*TEMP_COST)-FIXED_COSTS)</f>
        <v>16420</v>
      </c>
    </row>
    <row r="1567">
      <c r="A1567" s="5" t="n">
        <v>3</v>
      </c>
      <c r="B1567" s="5" t="n">
        <v>11</v>
      </c>
      <c r="C1567" s="5" t="n">
        <v>0</v>
      </c>
      <c r="D1567" s="18">
        <f>SEASON_HRS_TOM*B1567*(1+DIM_TOM)^B1567+SEASON_HRS_CAR*C1567*(1+DIM_CAR)^C1567</f>
        <v>2824.5855390489023</v>
      </c>
      <c r="E1567" s="18">
        <f>(FARMER_FIELD_HRS+A1567*TEMP_HRS)-D1567</f>
        <v>2215.4144609510977</v>
      </c>
      <c r="F1567" s="21">
        <f>IF(E1567&lt;0,0,MIN(COUNTIF(Labor!$C$59:$C$88,"&lt;="&amp;E1567),MAXBED_MES,TOTAL_BEDS-B1567-C1567))</f>
        <v>30</v>
      </c>
      <c r="G1567" s="21">
        <f>B1567+C1567+F1567</f>
        <v>41</v>
      </c>
      <c r="H1567" s="22">
        <f>IF(E1567&lt;0,-999999999,B1567*(PRICE_TOM-FERT_TOM)+C1567*(PRICE_CAR-FERT_CAR)+F1567*(PRICE_MES-FERT_MES)-(FARMER_SALARY+A1567*TEMP_COST)-FIXED_COSTS)</f>
        <v>-3280</v>
      </c>
    </row>
    <row r="1568">
      <c r="A1568" s="5" t="n">
        <v>3</v>
      </c>
      <c r="B1568" s="5" t="n">
        <v>11</v>
      </c>
      <c r="C1568" s="5" t="n">
        <v>1</v>
      </c>
      <c r="D1568" s="18">
        <f>SEASON_HRS_TOM*B1568*(1+DIM_TOM)^B1568+SEASON_HRS_CAR*C1568*(1+DIM_CAR)^C1568</f>
        <v>2855.3355390489023</v>
      </c>
      <c r="E1568" s="18">
        <f>(FARMER_FIELD_HRS+A1568*TEMP_HRS)-D1568</f>
        <v>2184.6644609510977</v>
      </c>
      <c r="F1568" s="21">
        <f>IF(E1568&lt;0,0,MIN(COUNTIF(Labor!$C$59:$C$88,"&lt;="&amp;E1568),MAXBED_MES,TOTAL_BEDS-B1568-C1568))</f>
        <v>30</v>
      </c>
      <c r="G1568" s="21">
        <f>B1568+C1568+F1568</f>
        <v>42</v>
      </c>
      <c r="H1568" s="22">
        <f>IF(E1568&lt;0,-999999999,B1568*(PRICE_TOM-FERT_TOM)+C1568*(PRICE_CAR-FERT_CAR)+F1568*(PRICE_MES-FERT_MES)-(FARMER_SALARY+A1568*TEMP_COST)-FIXED_COSTS)</f>
        <v>-1626</v>
      </c>
    </row>
    <row r="1569">
      <c r="A1569" s="5" t="n">
        <v>3</v>
      </c>
      <c r="B1569" s="5" t="n">
        <v>11</v>
      </c>
      <c r="C1569" s="5" t="n">
        <v>2</v>
      </c>
      <c r="D1569" s="18">
        <f>SEASON_HRS_TOM*B1569*(1+DIM_TOM)^B1569+SEASON_HRS_CAR*C1569*(1+DIM_CAR)^C1569</f>
        <v>2887.6230390489022</v>
      </c>
      <c r="E1569" s="18">
        <f>(FARMER_FIELD_HRS+A1569*TEMP_HRS)-D1569</f>
        <v>2152.3769609510978</v>
      </c>
      <c r="F1569" s="21">
        <f>IF(E1569&lt;0,0,MIN(COUNTIF(Labor!$C$59:$C$88,"&lt;="&amp;E1569),MAXBED_MES,TOTAL_BEDS-B1569-C1569))</f>
        <v>30</v>
      </c>
      <c r="G1569" s="21">
        <f>B1569+C1569+F1569</f>
        <v>43</v>
      </c>
      <c r="H1569" s="22">
        <f>IF(E1569&lt;0,-999999999,B1569*(PRICE_TOM-FERT_TOM)+C1569*(PRICE_CAR-FERT_CAR)+F1569*(PRICE_MES-FERT_MES)-(FARMER_SALARY+A1569*TEMP_COST)-FIXED_COSTS)</f>
        <v>28</v>
      </c>
    </row>
    <row r="1570">
      <c r="A1570" s="5" t="n">
        <v>3</v>
      </c>
      <c r="B1570" s="5" t="n">
        <v>11</v>
      </c>
      <c r="C1570" s="5" t="n">
        <v>3</v>
      </c>
      <c r="D1570" s="18">
        <f>SEASON_HRS_TOM*B1570*(1+DIM_TOM)^B1570+SEASON_HRS_CAR*C1570*(1+DIM_CAR)^C1570</f>
        <v>2921.505695298902</v>
      </c>
      <c r="E1570" s="18">
        <f>(FARMER_FIELD_HRS+A1570*TEMP_HRS)-D1570</f>
        <v>2118.494304701098</v>
      </c>
      <c r="F1570" s="21">
        <f>IF(E1570&lt;0,0,MIN(COUNTIF(Labor!$C$59:$C$88,"&lt;="&amp;E1570),MAXBED_MES,TOTAL_BEDS-B1570-C1570))</f>
        <v>30</v>
      </c>
      <c r="G1570" s="21">
        <f>B1570+C1570+F1570</f>
        <v>44</v>
      </c>
      <c r="H1570" s="22">
        <f>IF(E1570&lt;0,-999999999,B1570*(PRICE_TOM-FERT_TOM)+C1570*(PRICE_CAR-FERT_CAR)+F1570*(PRICE_MES-FERT_MES)-(FARMER_SALARY+A1570*TEMP_COST)-FIXED_COSTS)</f>
        <v>1682</v>
      </c>
    </row>
    <row r="1571">
      <c r="A1571" s="5" t="n">
        <v>3</v>
      </c>
      <c r="B1571" s="5" t="n">
        <v>11</v>
      </c>
      <c r="C1571" s="5" t="n">
        <v>4</v>
      </c>
      <c r="D1571" s="18">
        <f>SEASON_HRS_TOM*B1571*(1+DIM_TOM)^B1571+SEASON_HRS_CAR*C1571*(1+DIM_CAR)^C1571</f>
        <v>2957.0430859239023</v>
      </c>
      <c r="E1571" s="18">
        <f>(FARMER_FIELD_HRS+A1571*TEMP_HRS)-D1571</f>
        <v>2082.9569140760977</v>
      </c>
      <c r="F1571" s="21">
        <f>IF(E1571&lt;0,0,MIN(COUNTIF(Labor!$C$59:$C$88,"&lt;="&amp;E1571),MAXBED_MES,TOTAL_BEDS-B1571-C1571))</f>
        <v>30</v>
      </c>
      <c r="G1571" s="21">
        <f>B1571+C1571+F1571</f>
        <v>45</v>
      </c>
      <c r="H1571" s="22">
        <f>IF(E1571&lt;0,-999999999,B1571*(PRICE_TOM-FERT_TOM)+C1571*(PRICE_CAR-FERT_CAR)+F1571*(PRICE_MES-FERT_MES)-(FARMER_SALARY+A1571*TEMP_COST)-FIXED_COSTS)</f>
        <v>3336</v>
      </c>
    </row>
    <row r="1572">
      <c r="A1572" s="5" t="n">
        <v>3</v>
      </c>
      <c r="B1572" s="5" t="n">
        <v>11</v>
      </c>
      <c r="C1572" s="5" t="n">
        <v>5</v>
      </c>
      <c r="D1572" s="18">
        <f>SEASON_HRS_TOM*B1572*(1+DIM_TOM)^B1572+SEASON_HRS_CAR*C1572*(1+DIM_CAR)^C1572</f>
        <v>2994.296770982496</v>
      </c>
      <c r="E1572" s="18">
        <f>(FARMER_FIELD_HRS+A1572*TEMP_HRS)-D1572</f>
        <v>2045.7032290175039</v>
      </c>
      <c r="F1572" s="21">
        <f>IF(E1572&lt;0,0,MIN(COUNTIF(Labor!$C$59:$C$88,"&lt;="&amp;E1572),MAXBED_MES,TOTAL_BEDS-B1572-C1572))</f>
        <v>30</v>
      </c>
      <c r="G1572" s="21">
        <f>B1572+C1572+F1572</f>
        <v>46</v>
      </c>
      <c r="H1572" s="22">
        <f>IF(E1572&lt;0,-999999999,B1572*(PRICE_TOM-FERT_TOM)+C1572*(PRICE_CAR-FERT_CAR)+F1572*(PRICE_MES-FERT_MES)-(FARMER_SALARY+A1572*TEMP_COST)-FIXED_COSTS)</f>
        <v>4990</v>
      </c>
    </row>
    <row r="1573">
      <c r="A1573" s="5" t="n">
        <v>3</v>
      </c>
      <c r="B1573" s="5" t="n">
        <v>11</v>
      </c>
      <c r="C1573" s="5" t="n">
        <v>6</v>
      </c>
      <c r="D1573" s="18">
        <f>SEASON_HRS_TOM*B1573*(1+DIM_TOM)^B1573+SEASON_HRS_CAR*C1573*(1+DIM_CAR)^C1573</f>
        <v>3033.3303543272227</v>
      </c>
      <c r="E1573" s="18">
        <f>(FARMER_FIELD_HRS+A1573*TEMP_HRS)-D1573</f>
        <v>2006.6696456727773</v>
      </c>
      <c r="F1573" s="21">
        <f>IF(E1573&lt;0,0,MIN(COUNTIF(Labor!$C$59:$C$88,"&lt;="&amp;E1573),MAXBED_MES,TOTAL_BEDS-B1573-C1573))</f>
        <v>30</v>
      </c>
      <c r="G1573" s="21">
        <f>B1573+C1573+F1573</f>
        <v>47</v>
      </c>
      <c r="H1573" s="22">
        <f>IF(E1573&lt;0,-999999999,B1573*(PRICE_TOM-FERT_TOM)+C1573*(PRICE_CAR-FERT_CAR)+F1573*(PRICE_MES-FERT_MES)-(FARMER_SALARY+A1573*TEMP_COST)-FIXED_COSTS)</f>
        <v>6644</v>
      </c>
    </row>
    <row r="1574">
      <c r="A1574" s="5" t="n">
        <v>3</v>
      </c>
      <c r="B1574" s="5" t="n">
        <v>11</v>
      </c>
      <c r="C1574" s="5" t="n">
        <v>7</v>
      </c>
      <c r="D1574" s="18">
        <f>SEASON_HRS_TOM*B1574*(1+DIM_TOM)^B1574+SEASON_HRS_CAR*C1574*(1+DIM_CAR)^C1574</f>
        <v>3074.2095473192267</v>
      </c>
      <c r="E1574" s="18">
        <f>(FARMER_FIELD_HRS+A1574*TEMP_HRS)-D1574</f>
        <v>1965.7904526807733</v>
      </c>
      <c r="F1574" s="21">
        <f>IF(E1574&lt;0,0,MIN(COUNTIF(Labor!$C$59:$C$88,"&lt;="&amp;E1574),MAXBED_MES,TOTAL_BEDS-B1574-C1574))</f>
        <v>30</v>
      </c>
      <c r="G1574" s="21">
        <f>B1574+C1574+F1574</f>
        <v>48</v>
      </c>
      <c r="H1574" s="22">
        <f>IF(E1574&lt;0,-999999999,B1574*(PRICE_TOM-FERT_TOM)+C1574*(PRICE_CAR-FERT_CAR)+F1574*(PRICE_MES-FERT_MES)-(FARMER_SALARY+A1574*TEMP_COST)-FIXED_COSTS)</f>
        <v>8298</v>
      </c>
    </row>
    <row r="1575">
      <c r="A1575" s="5" t="n">
        <v>3</v>
      </c>
      <c r="B1575" s="5" t="n">
        <v>11</v>
      </c>
      <c r="C1575" s="5" t="n">
        <v>8</v>
      </c>
      <c r="D1575" s="18">
        <f>SEASON_HRS_TOM*B1575*(1+DIM_TOM)^B1575+SEASON_HRS_CAR*C1575*(1+DIM_CAR)^C1575</f>
        <v>3117.0022344512827</v>
      </c>
      <c r="E1575" s="18">
        <f>(FARMER_FIELD_HRS+A1575*TEMP_HRS)-D1575</f>
        <v>1922.9977655487173</v>
      </c>
      <c r="F1575" s="21">
        <f>IF(E1575&lt;0,0,MIN(COUNTIF(Labor!$C$59:$C$88,"&lt;="&amp;E1575),MAXBED_MES,TOTAL_BEDS-B1575-C1575))</f>
        <v>29</v>
      </c>
      <c r="G1575" s="21">
        <f>B1575+C1575+F1575</f>
        <v>48</v>
      </c>
      <c r="H1575" s="22">
        <f>IF(E1575&lt;0,-999999999,B1575*(PRICE_TOM-FERT_TOM)+C1575*(PRICE_CAR-FERT_CAR)+F1575*(PRICE_MES-FERT_MES)-(FARMER_SALARY+A1575*TEMP_COST)-FIXED_COSTS)</f>
        <v>8132</v>
      </c>
    </row>
    <row r="1576">
      <c r="A1576" s="5" t="n">
        <v>3</v>
      </c>
      <c r="B1576" s="5" t="n">
        <v>11</v>
      </c>
      <c r="C1576" s="5" t="n">
        <v>9</v>
      </c>
      <c r="D1576" s="18">
        <f>SEASON_HRS_TOM*B1576*(1+DIM_TOM)^B1576+SEASON_HRS_CAR*C1576*(1+DIM_CAR)^C1576</f>
        <v>3161.778540934772</v>
      </c>
      <c r="E1576" s="18">
        <f>(FARMER_FIELD_HRS+A1576*TEMP_HRS)-D1576</f>
        <v>1878.221459065228</v>
      </c>
      <c r="F1576" s="21">
        <f>IF(E1576&lt;0,0,MIN(COUNTIF(Labor!$C$59:$C$88,"&lt;="&amp;E1576),MAXBED_MES,TOTAL_BEDS-B1576-C1576))</f>
        <v>29</v>
      </c>
      <c r="G1576" s="21">
        <f>B1576+C1576+F1576</f>
        <v>49</v>
      </c>
      <c r="H1576" s="22">
        <f>IF(E1576&lt;0,-999999999,B1576*(PRICE_TOM-FERT_TOM)+C1576*(PRICE_CAR-FERT_CAR)+F1576*(PRICE_MES-FERT_MES)-(FARMER_SALARY+A1576*TEMP_COST)-FIXED_COSTS)</f>
        <v>9786</v>
      </c>
    </row>
    <row r="1577">
      <c r="A1577" s="5" t="n">
        <v>3</v>
      </c>
      <c r="B1577" s="5" t="n">
        <v>11</v>
      </c>
      <c r="C1577" s="5" t="n">
        <v>10</v>
      </c>
      <c r="D1577" s="18">
        <f>SEASON_HRS_TOM*B1577*(1+DIM_TOM)^B1577+SEASON_HRS_CAR*C1577*(1+DIM_CAR)^C1577</f>
        <v>3208.6109023078093</v>
      </c>
      <c r="E1577" s="18">
        <f>(FARMER_FIELD_HRS+A1577*TEMP_HRS)-D1577</f>
        <v>1831.3890976921907</v>
      </c>
      <c r="F1577" s="21">
        <f>IF(E1577&lt;0,0,MIN(COUNTIF(Labor!$C$59:$C$88,"&lt;="&amp;E1577),MAXBED_MES,TOTAL_BEDS-B1577-C1577))</f>
        <v>28</v>
      </c>
      <c r="G1577" s="21">
        <f>B1577+C1577+F1577</f>
        <v>49</v>
      </c>
      <c r="H1577" s="22">
        <f>IF(E1577&lt;0,-999999999,B1577*(PRICE_TOM-FERT_TOM)+C1577*(PRICE_CAR-FERT_CAR)+F1577*(PRICE_MES-FERT_MES)-(FARMER_SALARY+A1577*TEMP_COST)-FIXED_COSTS)</f>
        <v>9620</v>
      </c>
    </row>
    <row r="1578">
      <c r="A1578" s="5" t="n">
        <v>3</v>
      </c>
      <c r="B1578" s="5" t="n">
        <v>11</v>
      </c>
      <c r="C1578" s="5" t="n">
        <v>11</v>
      </c>
      <c r="D1578" s="18">
        <f>SEASON_HRS_TOM*B1578*(1+DIM_TOM)^B1578+SEASON_HRS_CAR*C1578*(1+DIM_CAR)^C1578</f>
        <v>3257.57413612332</v>
      </c>
      <c r="E1578" s="18">
        <f>(FARMER_FIELD_HRS+A1578*TEMP_HRS)-D1578</f>
        <v>1782.42586387668</v>
      </c>
      <c r="F1578" s="21">
        <f>IF(E1578&lt;0,0,MIN(COUNTIF(Labor!$C$59:$C$88,"&lt;="&amp;E1578),MAXBED_MES,TOTAL_BEDS-B1578-C1578))</f>
        <v>27</v>
      </c>
      <c r="G1578" s="21">
        <f>B1578+C1578+F1578</f>
        <v>49</v>
      </c>
      <c r="H1578" s="22">
        <f>IF(E1578&lt;0,-999999999,B1578*(PRICE_TOM-FERT_TOM)+C1578*(PRICE_CAR-FERT_CAR)+F1578*(PRICE_MES-FERT_MES)-(FARMER_SALARY+A1578*TEMP_COST)-FIXED_COSTS)</f>
        <v>9454</v>
      </c>
    </row>
    <row r="1579">
      <c r="A1579" s="5" t="n">
        <v>3</v>
      </c>
      <c r="B1579" s="5" t="n">
        <v>11</v>
      </c>
      <c r="C1579" s="5" t="n">
        <v>12</v>
      </c>
      <c r="D1579" s="18">
        <f>SEASON_HRS_TOM*B1579*(1+DIM_TOM)^B1579+SEASON_HRS_CAR*C1579*(1+DIM_CAR)^C1579</f>
        <v>3308.7455157775694</v>
      </c>
      <c r="E1579" s="18">
        <f>(FARMER_FIELD_HRS+A1579*TEMP_HRS)-D1579</f>
        <v>1731.2544842224306</v>
      </c>
      <c r="F1579" s="21">
        <f>IF(E1579&lt;0,0,MIN(COUNTIF(Labor!$C$59:$C$88,"&lt;="&amp;E1579),MAXBED_MES,TOTAL_BEDS-B1579-C1579))</f>
        <v>27</v>
      </c>
      <c r="G1579" s="21">
        <f>B1579+C1579+F1579</f>
        <v>50</v>
      </c>
      <c r="H1579" s="22">
        <f>IF(E1579&lt;0,-999999999,B1579*(PRICE_TOM-FERT_TOM)+C1579*(PRICE_CAR-FERT_CAR)+F1579*(PRICE_MES-FERT_MES)-(FARMER_SALARY+A1579*TEMP_COST)-FIXED_COSTS)</f>
        <v>11108</v>
      </c>
    </row>
    <row r="1580">
      <c r="A1580" s="5" t="n">
        <v>3</v>
      </c>
      <c r="B1580" s="5" t="n">
        <v>11</v>
      </c>
      <c r="C1580" s="5" t="n">
        <v>13</v>
      </c>
      <c r="D1580" s="18">
        <f>SEASON_HRS_TOM*B1580*(1+DIM_TOM)^B1580+SEASON_HRS_CAR*C1580*(1+DIM_CAR)^C1580</f>
        <v>3362.2048465413595</v>
      </c>
      <c r="E1580" s="18">
        <f>(FARMER_FIELD_HRS+A1580*TEMP_HRS)-D1580</f>
        <v>1677.7951534586405</v>
      </c>
      <c r="F1580" s="21">
        <f>IF(E1580&lt;0,0,MIN(COUNTIF(Labor!$C$59:$C$88,"&lt;="&amp;E1580),MAXBED_MES,TOTAL_BEDS-B1580-C1580))</f>
        <v>26</v>
      </c>
      <c r="G1580" s="21">
        <f>B1580+C1580+F1580</f>
        <v>50</v>
      </c>
      <c r="H1580" s="22">
        <f>IF(E1580&lt;0,-999999999,B1580*(PRICE_TOM-FERT_TOM)+C1580*(PRICE_CAR-FERT_CAR)+F1580*(PRICE_MES-FERT_MES)-(FARMER_SALARY+A1580*TEMP_COST)-FIXED_COSTS)</f>
        <v>10942</v>
      </c>
    </row>
    <row r="1581">
      <c r="A1581" s="5" t="n">
        <v>3</v>
      </c>
      <c r="B1581" s="5" t="n">
        <v>11</v>
      </c>
      <c r="C1581" s="5" t="n">
        <v>14</v>
      </c>
      <c r="D1581" s="18">
        <f>SEASON_HRS_TOM*B1581*(1+DIM_TOM)^B1581+SEASON_HRS_CAR*C1581*(1+DIM_CAR)^C1581</f>
        <v>3418.034543857884</v>
      </c>
      <c r="E1581" s="18">
        <f>(FARMER_FIELD_HRS+A1581*TEMP_HRS)-D1581</f>
        <v>1621.9654561421162</v>
      </c>
      <c r="F1581" s="21">
        <f>IF(E1581&lt;0,0,MIN(COUNTIF(Labor!$C$59:$C$88,"&lt;="&amp;E1581),MAXBED_MES,TOTAL_BEDS-B1581-C1581))</f>
        <v>26</v>
      </c>
      <c r="G1581" s="21">
        <f>B1581+C1581+F1581</f>
        <v>51</v>
      </c>
      <c r="H1581" s="22">
        <f>IF(E1581&lt;0,-999999999,B1581*(PRICE_TOM-FERT_TOM)+C1581*(PRICE_CAR-FERT_CAR)+F1581*(PRICE_MES-FERT_MES)-(FARMER_SALARY+A1581*TEMP_COST)-FIXED_COSTS)</f>
        <v>12596</v>
      </c>
    </row>
    <row r="1582">
      <c r="A1582" s="5" t="n">
        <v>3</v>
      </c>
      <c r="B1582" s="5" t="n">
        <v>11</v>
      </c>
      <c r="C1582" s="5" t="n">
        <v>15</v>
      </c>
      <c r="D1582" s="18">
        <f>SEASON_HRS_TOM*B1582*(1+DIM_TOM)^B1582+SEASON_HRS_CAR*C1582*(1+DIM_CAR)^C1582</f>
        <v>3476.319713973052</v>
      </c>
      <c r="E1582" s="18">
        <f>(FARMER_FIELD_HRS+A1582*TEMP_HRS)-D1582</f>
        <v>1563.6802860269481</v>
      </c>
      <c r="F1582" s="21">
        <f>IF(E1582&lt;0,0,MIN(COUNTIF(Labor!$C$59:$C$88,"&lt;="&amp;E1582),MAXBED_MES,TOTAL_BEDS-B1582-C1582))</f>
        <v>25</v>
      </c>
      <c r="G1582" s="21">
        <f>B1582+C1582+F1582</f>
        <v>51</v>
      </c>
      <c r="H1582" s="22">
        <f>IF(E1582&lt;0,-999999999,B1582*(PRICE_TOM-FERT_TOM)+C1582*(PRICE_CAR-FERT_CAR)+F1582*(PRICE_MES-FERT_MES)-(FARMER_SALARY+A1582*TEMP_COST)-FIXED_COSTS)</f>
        <v>12430</v>
      </c>
    </row>
    <row r="1583">
      <c r="A1583" s="5" t="n">
        <v>3</v>
      </c>
      <c r="B1583" s="5" t="n">
        <v>11</v>
      </c>
      <c r="C1583" s="5" t="n">
        <v>16</v>
      </c>
      <c r="D1583" s="18">
        <f>SEASON_HRS_TOM*B1583*(1+DIM_TOM)^B1583+SEASON_HRS_CAR*C1583*(1+DIM_CAR)^C1583</f>
        <v>3537.148236965972</v>
      </c>
      <c r="E1583" s="18">
        <f>(FARMER_FIELD_HRS+A1583*TEMP_HRS)-D1583</f>
        <v>1502.851763034028</v>
      </c>
      <c r="F1583" s="21">
        <f>IF(E1583&lt;0,0,MIN(COUNTIF(Labor!$C$59:$C$88,"&lt;="&amp;E1583),MAXBED_MES,TOTAL_BEDS-B1583-C1583))</f>
        <v>24</v>
      </c>
      <c r="G1583" s="21">
        <f>B1583+C1583+F1583</f>
        <v>51</v>
      </c>
      <c r="H1583" s="22">
        <f>IF(E1583&lt;0,-999999999,B1583*(PRICE_TOM-FERT_TOM)+C1583*(PRICE_CAR-FERT_CAR)+F1583*(PRICE_MES-FERT_MES)-(FARMER_SALARY+A1583*TEMP_COST)-FIXED_COSTS)</f>
        <v>12264</v>
      </c>
    </row>
    <row r="1584">
      <c r="A1584" s="5" t="n">
        <v>3</v>
      </c>
      <c r="B1584" s="5" t="n">
        <v>11</v>
      </c>
      <c r="C1584" s="5" t="n">
        <v>17</v>
      </c>
      <c r="D1584" s="18">
        <f>SEASON_HRS_TOM*B1584*(1+DIM_TOM)^B1584+SEASON_HRS_CAR*C1584*(1+DIM_CAR)^C1584</f>
        <v>3600.6108522492113</v>
      </c>
      <c r="E1584" s="18">
        <f>(FARMER_FIELD_HRS+A1584*TEMP_HRS)-D1584</f>
        <v>1439.3891477507887</v>
      </c>
      <c r="F1584" s="21">
        <f>IF(E1584&lt;0,0,MIN(COUNTIF(Labor!$C$59:$C$88,"&lt;="&amp;E1584),MAXBED_MES,TOTAL_BEDS-B1584-C1584))</f>
        <v>23</v>
      </c>
      <c r="G1584" s="21">
        <f>B1584+C1584+F1584</f>
        <v>51</v>
      </c>
      <c r="H1584" s="22">
        <f>IF(E1584&lt;0,-999999999,B1584*(PRICE_TOM-FERT_TOM)+C1584*(PRICE_CAR-FERT_CAR)+F1584*(PRICE_MES-FERT_MES)-(FARMER_SALARY+A1584*TEMP_COST)-FIXED_COSTS)</f>
        <v>12098</v>
      </c>
    </row>
    <row r="1585">
      <c r="A1585" s="5" t="n">
        <v>3</v>
      </c>
      <c r="B1585" s="5" t="n">
        <v>11</v>
      </c>
      <c r="C1585" s="5" t="n">
        <v>18</v>
      </c>
      <c r="D1585" s="18">
        <f>SEASON_HRS_TOM*B1585*(1+DIM_TOM)^B1585+SEASON_HRS_CAR*C1585*(1+DIM_CAR)^C1585</f>
        <v>3666.8012466104137</v>
      </c>
      <c r="E1585" s="18">
        <f>(FARMER_FIELD_HRS+A1585*TEMP_HRS)-D1585</f>
        <v>1373.1987533895863</v>
      </c>
      <c r="F1585" s="21">
        <f>IF(E1585&lt;0,0,MIN(COUNTIF(Labor!$C$59:$C$88,"&lt;="&amp;E1585),MAXBED_MES,TOTAL_BEDS-B1585-C1585))</f>
        <v>22</v>
      </c>
      <c r="G1585" s="21">
        <f>B1585+C1585+F1585</f>
        <v>51</v>
      </c>
      <c r="H1585" s="22">
        <f>IF(E1585&lt;0,-999999999,B1585*(PRICE_TOM-FERT_TOM)+C1585*(PRICE_CAR-FERT_CAR)+F1585*(PRICE_MES-FERT_MES)-(FARMER_SALARY+A1585*TEMP_COST)-FIXED_COSTS)</f>
        <v>11932</v>
      </c>
    </row>
    <row r="1586">
      <c r="A1586" s="5" t="n">
        <v>3</v>
      </c>
      <c r="B1586" s="5" t="n">
        <v>11</v>
      </c>
      <c r="C1586" s="5" t="n">
        <v>19</v>
      </c>
      <c r="D1586" s="18">
        <f>SEASON_HRS_TOM*B1586*(1+DIM_TOM)^B1586+SEASON_HRS_CAR*C1586*(1+DIM_CAR)^C1586</f>
        <v>3735.8161448689266</v>
      </c>
      <c r="E1586" s="18">
        <f>(FARMER_FIELD_HRS+A1586*TEMP_HRS)-D1586</f>
        <v>1304.1838551310734</v>
      </c>
      <c r="F1586" s="21">
        <f>IF(E1586&lt;0,0,MIN(COUNTIF(Labor!$C$59:$C$88,"&lt;="&amp;E1586),MAXBED_MES,TOTAL_BEDS-B1586-C1586))</f>
        <v>22</v>
      </c>
      <c r="G1586" s="21">
        <f>B1586+C1586+F1586</f>
        <v>52</v>
      </c>
      <c r="H1586" s="22">
        <f>IF(E1586&lt;0,-999999999,B1586*(PRICE_TOM-FERT_TOM)+C1586*(PRICE_CAR-FERT_CAR)+F1586*(PRICE_MES-FERT_MES)-(FARMER_SALARY+A1586*TEMP_COST)-FIXED_COSTS)</f>
        <v>13586</v>
      </c>
    </row>
    <row r="1587">
      <c r="A1587" s="5" t="n">
        <v>3</v>
      </c>
      <c r="B1587" s="5" t="n">
        <v>11</v>
      </c>
      <c r="C1587" s="5" t="n">
        <v>20</v>
      </c>
      <c r="D1587" s="18">
        <f>SEASON_HRS_TOM*B1587*(1+DIM_TOM)^B1587+SEASON_HRS_CAR*C1587*(1+DIM_CAR)^C1587</f>
        <v>3807.7554032231387</v>
      </c>
      <c r="E1587" s="18">
        <f>(FARMER_FIELD_HRS+A1587*TEMP_HRS)-D1587</f>
        <v>1232.2445967768613</v>
      </c>
      <c r="F1587" s="21">
        <f>IF(E1587&lt;0,0,MIN(COUNTIF(Labor!$C$59:$C$88,"&lt;="&amp;E1587),MAXBED_MES,TOTAL_BEDS-B1587-C1587))</f>
        <v>21</v>
      </c>
      <c r="G1587" s="21">
        <f>B1587+C1587+F1587</f>
        <v>52</v>
      </c>
      <c r="H1587" s="22">
        <f>IF(E1587&lt;0,-999999999,B1587*(PRICE_TOM-FERT_TOM)+C1587*(PRICE_CAR-FERT_CAR)+F1587*(PRICE_MES-FERT_MES)-(FARMER_SALARY+A1587*TEMP_COST)-FIXED_COSTS)</f>
        <v>13420</v>
      </c>
    </row>
    <row r="1588">
      <c r="A1588" s="5" t="n">
        <v>3</v>
      </c>
      <c r="B1588" s="5" t="n">
        <v>12</v>
      </c>
      <c r="C1588" s="5" t="n">
        <v>0</v>
      </c>
      <c r="D1588" s="18">
        <f>SEASON_HRS_TOM*B1588*(1+DIM_TOM)^B1588+SEASON_HRS_CAR*C1588*(1+DIM_CAR)^C1588</f>
        <v>3389.5026468586834</v>
      </c>
      <c r="E1588" s="18">
        <f>(FARMER_FIELD_HRS+A1588*TEMP_HRS)-D1588</f>
        <v>1650.4973531413166</v>
      </c>
      <c r="F1588" s="21">
        <f>IF(E1588&lt;0,0,MIN(COUNTIF(Labor!$C$59:$C$88,"&lt;="&amp;E1588),MAXBED_MES,TOTAL_BEDS-B1588-C1588))</f>
        <v>26</v>
      </c>
      <c r="G1588" s="21">
        <f>B1588+C1588+F1588</f>
        <v>38</v>
      </c>
      <c r="H1588" s="22">
        <f>IF(E1588&lt;0,-999999999,B1588*(PRICE_TOM-FERT_TOM)+C1588*(PRICE_CAR-FERT_CAR)+F1588*(PRICE_MES-FERT_MES)-(FARMER_SALARY+A1588*TEMP_COST)-FIXED_COSTS)</f>
        <v>-2640</v>
      </c>
    </row>
    <row r="1589">
      <c r="A1589" s="5" t="n">
        <v>3</v>
      </c>
      <c r="B1589" s="5" t="n">
        <v>12</v>
      </c>
      <c r="C1589" s="5" t="n">
        <v>1</v>
      </c>
      <c r="D1589" s="18">
        <f>SEASON_HRS_TOM*B1589*(1+DIM_TOM)^B1589+SEASON_HRS_CAR*C1589*(1+DIM_CAR)^C1589</f>
        <v>3420.2526468586834</v>
      </c>
      <c r="E1589" s="18">
        <f>(FARMER_FIELD_HRS+A1589*TEMP_HRS)-D1589</f>
        <v>1619.7473531413166</v>
      </c>
      <c r="F1589" s="21">
        <f>IF(E1589&lt;0,0,MIN(COUNTIF(Labor!$C$59:$C$88,"&lt;="&amp;E1589),MAXBED_MES,TOTAL_BEDS-B1589-C1589))</f>
        <v>26</v>
      </c>
      <c r="G1589" s="21">
        <f>B1589+C1589+F1589</f>
        <v>39</v>
      </c>
      <c r="H1589" s="22">
        <f>IF(E1589&lt;0,-999999999,B1589*(PRICE_TOM-FERT_TOM)+C1589*(PRICE_CAR-FERT_CAR)+F1589*(PRICE_MES-FERT_MES)-(FARMER_SALARY+A1589*TEMP_COST)-FIXED_COSTS)</f>
        <v>-986</v>
      </c>
    </row>
    <row r="1590">
      <c r="A1590" s="5" t="n">
        <v>3</v>
      </c>
      <c r="B1590" s="5" t="n">
        <v>12</v>
      </c>
      <c r="C1590" s="5" t="n">
        <v>2</v>
      </c>
      <c r="D1590" s="18">
        <f>SEASON_HRS_TOM*B1590*(1+DIM_TOM)^B1590+SEASON_HRS_CAR*C1590*(1+DIM_CAR)^C1590</f>
        <v>3452.5401468586833</v>
      </c>
      <c r="E1590" s="18">
        <f>(FARMER_FIELD_HRS+A1590*TEMP_HRS)-D1590</f>
        <v>1587.4598531413167</v>
      </c>
      <c r="F1590" s="21">
        <f>IF(E1590&lt;0,0,MIN(COUNTIF(Labor!$C$59:$C$88,"&lt;="&amp;E1590),MAXBED_MES,TOTAL_BEDS-B1590-C1590))</f>
        <v>25</v>
      </c>
      <c r="G1590" s="21">
        <f>B1590+C1590+F1590</f>
        <v>39</v>
      </c>
      <c r="H1590" s="22">
        <f>IF(E1590&lt;0,-999999999,B1590*(PRICE_TOM-FERT_TOM)+C1590*(PRICE_CAR-FERT_CAR)+F1590*(PRICE_MES-FERT_MES)-(FARMER_SALARY+A1590*TEMP_COST)-FIXED_COSTS)</f>
        <v>-1152</v>
      </c>
    </row>
    <row r="1591">
      <c r="A1591" s="5" t="n">
        <v>3</v>
      </c>
      <c r="B1591" s="5" t="n">
        <v>12</v>
      </c>
      <c r="C1591" s="5" t="n">
        <v>3</v>
      </c>
      <c r="D1591" s="18">
        <f>SEASON_HRS_TOM*B1591*(1+DIM_TOM)^B1591+SEASON_HRS_CAR*C1591*(1+DIM_CAR)^C1591</f>
        <v>3486.422803108683</v>
      </c>
      <c r="E1591" s="18">
        <f>(FARMER_FIELD_HRS+A1591*TEMP_HRS)-D1591</f>
        <v>1553.5771968913168</v>
      </c>
      <c r="F1591" s="21">
        <f>IF(E1591&lt;0,0,MIN(COUNTIF(Labor!$C$59:$C$88,"&lt;="&amp;E1591),MAXBED_MES,TOTAL_BEDS-B1591-C1591))</f>
        <v>25</v>
      </c>
      <c r="G1591" s="21">
        <f>B1591+C1591+F1591</f>
        <v>40</v>
      </c>
      <c r="H1591" s="22">
        <f>IF(E1591&lt;0,-999999999,B1591*(PRICE_TOM-FERT_TOM)+C1591*(PRICE_CAR-FERT_CAR)+F1591*(PRICE_MES-FERT_MES)-(FARMER_SALARY+A1591*TEMP_COST)-FIXED_COSTS)</f>
        <v>502</v>
      </c>
    </row>
    <row r="1592">
      <c r="A1592" s="5" t="n">
        <v>3</v>
      </c>
      <c r="B1592" s="5" t="n">
        <v>12</v>
      </c>
      <c r="C1592" s="5" t="n">
        <v>4</v>
      </c>
      <c r="D1592" s="18">
        <f>SEASON_HRS_TOM*B1592*(1+DIM_TOM)^B1592+SEASON_HRS_CAR*C1592*(1+DIM_CAR)^C1592</f>
        <v>3521.9601937336834</v>
      </c>
      <c r="E1592" s="18">
        <f>(FARMER_FIELD_HRS+A1592*TEMP_HRS)-D1592</f>
        <v>1518.0398062663166</v>
      </c>
      <c r="F1592" s="21">
        <f>IF(E1592&lt;0,0,MIN(COUNTIF(Labor!$C$59:$C$88,"&lt;="&amp;E1592),MAXBED_MES,TOTAL_BEDS-B1592-C1592))</f>
        <v>24</v>
      </c>
      <c r="G1592" s="21">
        <f>B1592+C1592+F1592</f>
        <v>40</v>
      </c>
      <c r="H1592" s="22">
        <f>IF(E1592&lt;0,-999999999,B1592*(PRICE_TOM-FERT_TOM)+C1592*(PRICE_CAR-FERT_CAR)+F1592*(PRICE_MES-FERT_MES)-(FARMER_SALARY+A1592*TEMP_COST)-FIXED_COSTS)</f>
        <v>336</v>
      </c>
    </row>
    <row r="1593">
      <c r="A1593" s="5" t="n">
        <v>3</v>
      </c>
      <c r="B1593" s="5" t="n">
        <v>12</v>
      </c>
      <c r="C1593" s="5" t="n">
        <v>5</v>
      </c>
      <c r="D1593" s="18">
        <f>SEASON_HRS_TOM*B1593*(1+DIM_TOM)^B1593+SEASON_HRS_CAR*C1593*(1+DIM_CAR)^C1593</f>
        <v>3559.2138787922772</v>
      </c>
      <c r="E1593" s="18">
        <f>(FARMER_FIELD_HRS+A1593*TEMP_HRS)-D1593</f>
        <v>1480.7861212077228</v>
      </c>
      <c r="F1593" s="21">
        <f>IF(E1593&lt;0,0,MIN(COUNTIF(Labor!$C$59:$C$88,"&lt;="&amp;E1593),MAXBED_MES,TOTAL_BEDS-B1593-C1593))</f>
        <v>24</v>
      </c>
      <c r="G1593" s="21">
        <f>B1593+C1593+F1593</f>
        <v>41</v>
      </c>
      <c r="H1593" s="22">
        <f>IF(E1593&lt;0,-999999999,B1593*(PRICE_TOM-FERT_TOM)+C1593*(PRICE_CAR-FERT_CAR)+F1593*(PRICE_MES-FERT_MES)-(FARMER_SALARY+A1593*TEMP_COST)-FIXED_COSTS)</f>
        <v>1990</v>
      </c>
    </row>
    <row r="1594">
      <c r="A1594" s="5" t="n">
        <v>3</v>
      </c>
      <c r="B1594" s="5" t="n">
        <v>12</v>
      </c>
      <c r="C1594" s="5" t="n">
        <v>6</v>
      </c>
      <c r="D1594" s="18">
        <f>SEASON_HRS_TOM*B1594*(1+DIM_TOM)^B1594+SEASON_HRS_CAR*C1594*(1+DIM_CAR)^C1594</f>
        <v>3598.247462137004</v>
      </c>
      <c r="E1594" s="18">
        <f>(FARMER_FIELD_HRS+A1594*TEMP_HRS)-D1594</f>
        <v>1441.7525378629962</v>
      </c>
      <c r="F1594" s="21">
        <f>IF(E1594&lt;0,0,MIN(COUNTIF(Labor!$C$59:$C$88,"&lt;="&amp;E1594),MAXBED_MES,TOTAL_BEDS-B1594-C1594))</f>
        <v>23</v>
      </c>
      <c r="G1594" s="21">
        <f>B1594+C1594+F1594</f>
        <v>41</v>
      </c>
      <c r="H1594" s="22">
        <f>IF(E1594&lt;0,-999999999,B1594*(PRICE_TOM-FERT_TOM)+C1594*(PRICE_CAR-FERT_CAR)+F1594*(PRICE_MES-FERT_MES)-(FARMER_SALARY+A1594*TEMP_COST)-FIXED_COSTS)</f>
        <v>1824</v>
      </c>
    </row>
    <row r="1595">
      <c r="A1595" s="5" t="n">
        <v>3</v>
      </c>
      <c r="B1595" s="5" t="n">
        <v>12</v>
      </c>
      <c r="C1595" s="5" t="n">
        <v>7</v>
      </c>
      <c r="D1595" s="18">
        <f>SEASON_HRS_TOM*B1595*(1+DIM_TOM)^B1595+SEASON_HRS_CAR*C1595*(1+DIM_CAR)^C1595</f>
        <v>3639.126655129008</v>
      </c>
      <c r="E1595" s="18">
        <f>(FARMER_FIELD_HRS+A1595*TEMP_HRS)-D1595</f>
        <v>1400.8733448709918</v>
      </c>
      <c r="F1595" s="21">
        <f>IF(E1595&lt;0,0,MIN(COUNTIF(Labor!$C$59:$C$88,"&lt;="&amp;E1595),MAXBED_MES,TOTAL_BEDS-B1595-C1595))</f>
        <v>23</v>
      </c>
      <c r="G1595" s="21">
        <f>B1595+C1595+F1595</f>
        <v>42</v>
      </c>
      <c r="H1595" s="22">
        <f>IF(E1595&lt;0,-999999999,B1595*(PRICE_TOM-FERT_TOM)+C1595*(PRICE_CAR-FERT_CAR)+F1595*(PRICE_MES-FERT_MES)-(FARMER_SALARY+A1595*TEMP_COST)-FIXED_COSTS)</f>
        <v>3478</v>
      </c>
    </row>
    <row r="1596">
      <c r="A1596" s="5" t="n">
        <v>3</v>
      </c>
      <c r="B1596" s="5" t="n">
        <v>12</v>
      </c>
      <c r="C1596" s="5" t="n">
        <v>8</v>
      </c>
      <c r="D1596" s="18">
        <f>SEASON_HRS_TOM*B1596*(1+DIM_TOM)^B1596+SEASON_HRS_CAR*C1596*(1+DIM_CAR)^C1596</f>
        <v>3681.9193422610633</v>
      </c>
      <c r="E1596" s="18">
        <f>(FARMER_FIELD_HRS+A1596*TEMP_HRS)-D1596</f>
        <v>1358.0806577389367</v>
      </c>
      <c r="F1596" s="21">
        <f>IF(E1596&lt;0,0,MIN(COUNTIF(Labor!$C$59:$C$88,"&lt;="&amp;E1596),MAXBED_MES,TOTAL_BEDS-B1596-C1596))</f>
        <v>22</v>
      </c>
      <c r="G1596" s="21">
        <f>B1596+C1596+F1596</f>
        <v>42</v>
      </c>
      <c r="H1596" s="22">
        <f>IF(E1596&lt;0,-999999999,B1596*(PRICE_TOM-FERT_TOM)+C1596*(PRICE_CAR-FERT_CAR)+F1596*(PRICE_MES-FERT_MES)-(FARMER_SALARY+A1596*TEMP_COST)-FIXED_COSTS)</f>
        <v>3312</v>
      </c>
    </row>
    <row r="1597">
      <c r="A1597" s="5" t="n">
        <v>3</v>
      </c>
      <c r="B1597" s="5" t="n">
        <v>12</v>
      </c>
      <c r="C1597" s="5" t="n">
        <v>9</v>
      </c>
      <c r="D1597" s="18">
        <f>SEASON_HRS_TOM*B1597*(1+DIM_TOM)^B1597+SEASON_HRS_CAR*C1597*(1+DIM_CAR)^C1597</f>
        <v>3726.695648744553</v>
      </c>
      <c r="E1597" s="18">
        <f>(FARMER_FIELD_HRS+A1597*TEMP_HRS)-D1597</f>
        <v>1313.3043512554468</v>
      </c>
      <c r="F1597" s="21">
        <f>IF(E1597&lt;0,0,MIN(COUNTIF(Labor!$C$59:$C$88,"&lt;="&amp;E1597),MAXBED_MES,TOTAL_BEDS-B1597-C1597))</f>
        <v>22</v>
      </c>
      <c r="G1597" s="21">
        <f>B1597+C1597+F1597</f>
        <v>43</v>
      </c>
      <c r="H1597" s="22">
        <f>IF(E1597&lt;0,-999999999,B1597*(PRICE_TOM-FERT_TOM)+C1597*(PRICE_CAR-FERT_CAR)+F1597*(PRICE_MES-FERT_MES)-(FARMER_SALARY+A1597*TEMP_COST)-FIXED_COSTS)</f>
        <v>4966</v>
      </c>
    </row>
    <row r="1598">
      <c r="A1598" s="5" t="n">
        <v>3</v>
      </c>
      <c r="B1598" s="5" t="n">
        <v>12</v>
      </c>
      <c r="C1598" s="5" t="n">
        <v>10</v>
      </c>
      <c r="D1598" s="18">
        <f>SEASON_HRS_TOM*B1598*(1+DIM_TOM)^B1598+SEASON_HRS_CAR*C1598*(1+DIM_CAR)^C1598</f>
        <v>3773.5280101175904</v>
      </c>
      <c r="E1598" s="18">
        <f>(FARMER_FIELD_HRS+A1598*TEMP_HRS)-D1598</f>
        <v>1266.4719898824096</v>
      </c>
      <c r="F1598" s="21">
        <f>IF(E1598&lt;0,0,MIN(COUNTIF(Labor!$C$59:$C$88,"&lt;="&amp;E1598),MAXBED_MES,TOTAL_BEDS-B1598-C1598))</f>
        <v>21</v>
      </c>
      <c r="G1598" s="21">
        <f>B1598+C1598+F1598</f>
        <v>43</v>
      </c>
      <c r="H1598" s="22">
        <f>IF(E1598&lt;0,-999999999,B1598*(PRICE_TOM-FERT_TOM)+C1598*(PRICE_CAR-FERT_CAR)+F1598*(PRICE_MES-FERT_MES)-(FARMER_SALARY+A1598*TEMP_COST)-FIXED_COSTS)</f>
        <v>4800</v>
      </c>
    </row>
    <row r="1599">
      <c r="A1599" s="5" t="n">
        <v>3</v>
      </c>
      <c r="B1599" s="5" t="n">
        <v>12</v>
      </c>
      <c r="C1599" s="5" t="n">
        <v>11</v>
      </c>
      <c r="D1599" s="18">
        <f>SEASON_HRS_TOM*B1599*(1+DIM_TOM)^B1599+SEASON_HRS_CAR*C1599*(1+DIM_CAR)^C1599</f>
        <v>3822.491243933101</v>
      </c>
      <c r="E1599" s="18">
        <f>(FARMER_FIELD_HRS+A1599*TEMP_HRS)-D1599</f>
        <v>1217.508756066899</v>
      </c>
      <c r="F1599" s="21">
        <f>IF(E1599&lt;0,0,MIN(COUNTIF(Labor!$C$59:$C$88,"&lt;="&amp;E1599),MAXBED_MES,TOTAL_BEDS-B1599-C1599))</f>
        <v>20</v>
      </c>
      <c r="G1599" s="21">
        <f>B1599+C1599+F1599</f>
        <v>43</v>
      </c>
      <c r="H1599" s="22">
        <f>IF(E1599&lt;0,-999999999,B1599*(PRICE_TOM-FERT_TOM)+C1599*(PRICE_CAR-FERT_CAR)+F1599*(PRICE_MES-FERT_MES)-(FARMER_SALARY+A1599*TEMP_COST)-FIXED_COSTS)</f>
        <v>4634</v>
      </c>
    </row>
    <row r="1600">
      <c r="A1600" s="5" t="n">
        <v>3</v>
      </c>
      <c r="B1600" s="5" t="n">
        <v>12</v>
      </c>
      <c r="C1600" s="5" t="n">
        <v>12</v>
      </c>
      <c r="D1600" s="18">
        <f>SEASON_HRS_TOM*B1600*(1+DIM_TOM)^B1600+SEASON_HRS_CAR*C1600*(1+DIM_CAR)^C1600</f>
        <v>3873.6626235873505</v>
      </c>
      <c r="E1600" s="18">
        <f>(FARMER_FIELD_HRS+A1600*TEMP_HRS)-D1600</f>
        <v>1166.3373764126495</v>
      </c>
      <c r="F1600" s="21">
        <f>IF(E1600&lt;0,0,MIN(COUNTIF(Labor!$C$59:$C$88,"&lt;="&amp;E1600),MAXBED_MES,TOTAL_BEDS-B1600-C1600))</f>
        <v>20</v>
      </c>
      <c r="G1600" s="21">
        <f>B1600+C1600+F1600</f>
        <v>44</v>
      </c>
      <c r="H1600" s="22">
        <f>IF(E1600&lt;0,-999999999,B1600*(PRICE_TOM-FERT_TOM)+C1600*(PRICE_CAR-FERT_CAR)+F1600*(PRICE_MES-FERT_MES)-(FARMER_SALARY+A1600*TEMP_COST)-FIXED_COSTS)</f>
        <v>6288</v>
      </c>
    </row>
    <row r="1601">
      <c r="A1601" s="5" t="n">
        <v>3</v>
      </c>
      <c r="B1601" s="5" t="n">
        <v>12</v>
      </c>
      <c r="C1601" s="5" t="n">
        <v>13</v>
      </c>
      <c r="D1601" s="18">
        <f>SEASON_HRS_TOM*B1601*(1+DIM_TOM)^B1601+SEASON_HRS_CAR*C1601*(1+DIM_CAR)^C1601</f>
        <v>3927.1219543511406</v>
      </c>
      <c r="E1601" s="18">
        <f>(FARMER_FIELD_HRS+A1601*TEMP_HRS)-D1601</f>
        <v>1112.8780456488594</v>
      </c>
      <c r="F1601" s="21">
        <f>IF(E1601&lt;0,0,MIN(COUNTIF(Labor!$C$59:$C$88,"&lt;="&amp;E1601),MAXBED_MES,TOTAL_BEDS-B1601-C1601))</f>
        <v>19</v>
      </c>
      <c r="G1601" s="21">
        <f>B1601+C1601+F1601</f>
        <v>44</v>
      </c>
      <c r="H1601" s="22">
        <f>IF(E1601&lt;0,-999999999,B1601*(PRICE_TOM-FERT_TOM)+C1601*(PRICE_CAR-FERT_CAR)+F1601*(PRICE_MES-FERT_MES)-(FARMER_SALARY+A1601*TEMP_COST)-FIXED_COSTS)</f>
        <v>6122</v>
      </c>
    </row>
    <row r="1602">
      <c r="A1602" s="5" t="n">
        <v>3</v>
      </c>
      <c r="B1602" s="5" t="n">
        <v>12</v>
      </c>
      <c r="C1602" s="5" t="n">
        <v>14</v>
      </c>
      <c r="D1602" s="18">
        <f>SEASON_HRS_TOM*B1602*(1+DIM_TOM)^B1602+SEASON_HRS_CAR*C1602*(1+DIM_CAR)^C1602</f>
        <v>3982.951651667665</v>
      </c>
      <c r="E1602" s="18">
        <f>(FARMER_FIELD_HRS+A1602*TEMP_HRS)-D1602</f>
        <v>1057.048348332335</v>
      </c>
      <c r="F1602" s="21">
        <f>IF(E1602&lt;0,0,MIN(COUNTIF(Labor!$C$59:$C$88,"&lt;="&amp;E1602),MAXBED_MES,TOTAL_BEDS-B1602-C1602))</f>
        <v>18</v>
      </c>
      <c r="G1602" s="21">
        <f>B1602+C1602+F1602</f>
        <v>44</v>
      </c>
      <c r="H1602" s="22">
        <f>IF(E1602&lt;0,-999999999,B1602*(PRICE_TOM-FERT_TOM)+C1602*(PRICE_CAR-FERT_CAR)+F1602*(PRICE_MES-FERT_MES)-(FARMER_SALARY+A1602*TEMP_COST)-FIXED_COSTS)</f>
        <v>5956</v>
      </c>
    </row>
    <row r="1603">
      <c r="A1603" s="5" t="n">
        <v>3</v>
      </c>
      <c r="B1603" s="5" t="n">
        <v>12</v>
      </c>
      <c r="C1603" s="5" t="n">
        <v>15</v>
      </c>
      <c r="D1603" s="18">
        <f>SEASON_HRS_TOM*B1603*(1+DIM_TOM)^B1603+SEASON_HRS_CAR*C1603*(1+DIM_CAR)^C1603</f>
        <v>4041.2368217828325</v>
      </c>
      <c r="E1603" s="18">
        <f>(FARMER_FIELD_HRS+A1603*TEMP_HRS)-D1603</f>
        <v>998.7631782171675</v>
      </c>
      <c r="F1603" s="21">
        <f>IF(E1603&lt;0,0,MIN(COUNTIF(Labor!$C$59:$C$88,"&lt;="&amp;E1603),MAXBED_MES,TOTAL_BEDS-B1603-C1603))</f>
        <v>17</v>
      </c>
      <c r="G1603" s="21">
        <f>B1603+C1603+F1603</f>
        <v>44</v>
      </c>
      <c r="H1603" s="22">
        <f>IF(E1603&lt;0,-999999999,B1603*(PRICE_TOM-FERT_TOM)+C1603*(PRICE_CAR-FERT_CAR)+F1603*(PRICE_MES-FERT_MES)-(FARMER_SALARY+A1603*TEMP_COST)-FIXED_COSTS)</f>
        <v>5790</v>
      </c>
    </row>
    <row r="1604">
      <c r="A1604" s="5" t="n">
        <v>3</v>
      </c>
      <c r="B1604" s="5" t="n">
        <v>12</v>
      </c>
      <c r="C1604" s="5" t="n">
        <v>16</v>
      </c>
      <c r="D1604" s="18">
        <f>SEASON_HRS_TOM*B1604*(1+DIM_TOM)^B1604+SEASON_HRS_CAR*C1604*(1+DIM_CAR)^C1604</f>
        <v>4102.065344775753</v>
      </c>
      <c r="E1604" s="18">
        <f>(FARMER_FIELD_HRS+A1604*TEMP_HRS)-D1604</f>
        <v>937.9346552242469</v>
      </c>
      <c r="F1604" s="21">
        <f>IF(E1604&lt;0,0,MIN(COUNTIF(Labor!$C$59:$C$88,"&lt;="&amp;E1604),MAXBED_MES,TOTAL_BEDS-B1604-C1604))</f>
        <v>16</v>
      </c>
      <c r="G1604" s="21">
        <f>B1604+C1604+F1604</f>
        <v>44</v>
      </c>
      <c r="H1604" s="22">
        <f>IF(E1604&lt;0,-999999999,B1604*(PRICE_TOM-FERT_TOM)+C1604*(PRICE_CAR-FERT_CAR)+F1604*(PRICE_MES-FERT_MES)-(FARMER_SALARY+A1604*TEMP_COST)-FIXED_COSTS)</f>
        <v>5624</v>
      </c>
    </row>
    <row r="1605">
      <c r="A1605" s="5" t="n">
        <v>3</v>
      </c>
      <c r="B1605" s="5" t="n">
        <v>12</v>
      </c>
      <c r="C1605" s="5" t="n">
        <v>17</v>
      </c>
      <c r="D1605" s="18">
        <f>SEASON_HRS_TOM*B1605*(1+DIM_TOM)^B1605+SEASON_HRS_CAR*C1605*(1+DIM_CAR)^C1605</f>
        <v>4165.527960058992</v>
      </c>
      <c r="E1605" s="18">
        <f>(FARMER_FIELD_HRS+A1605*TEMP_HRS)-D1605</f>
        <v>874.472039941008</v>
      </c>
      <c r="F1605" s="21">
        <f>IF(E1605&lt;0,0,MIN(COUNTIF(Labor!$C$59:$C$88,"&lt;="&amp;E1605),MAXBED_MES,TOTAL_BEDS-B1605-C1605))</f>
        <v>15</v>
      </c>
      <c r="G1605" s="21">
        <f>B1605+C1605+F1605</f>
        <v>44</v>
      </c>
      <c r="H1605" s="22">
        <f>IF(E1605&lt;0,-999999999,B1605*(PRICE_TOM-FERT_TOM)+C1605*(PRICE_CAR-FERT_CAR)+F1605*(PRICE_MES-FERT_MES)-(FARMER_SALARY+A1605*TEMP_COST)-FIXED_COSTS)</f>
        <v>5458</v>
      </c>
    </row>
    <row r="1606">
      <c r="A1606" s="5" t="n">
        <v>3</v>
      </c>
      <c r="B1606" s="5" t="n">
        <v>12</v>
      </c>
      <c r="C1606" s="5" t="n">
        <v>18</v>
      </c>
      <c r="D1606" s="18">
        <f>SEASON_HRS_TOM*B1606*(1+DIM_TOM)^B1606+SEASON_HRS_CAR*C1606*(1+DIM_CAR)^C1606</f>
        <v>4231.718354420195</v>
      </c>
      <c r="E1606" s="18">
        <f>(FARMER_FIELD_HRS+A1606*TEMP_HRS)-D1606</f>
        <v>808.2816455798047</v>
      </c>
      <c r="F1606" s="21">
        <f>IF(E1606&lt;0,0,MIN(COUNTIF(Labor!$C$59:$C$88,"&lt;="&amp;E1606),MAXBED_MES,TOTAL_BEDS-B1606-C1606))</f>
        <v>14</v>
      </c>
      <c r="G1606" s="21">
        <f>B1606+C1606+F1606</f>
        <v>44</v>
      </c>
      <c r="H1606" s="22">
        <f>IF(E1606&lt;0,-999999999,B1606*(PRICE_TOM-FERT_TOM)+C1606*(PRICE_CAR-FERT_CAR)+F1606*(PRICE_MES-FERT_MES)-(FARMER_SALARY+A1606*TEMP_COST)-FIXED_COSTS)</f>
        <v>5292</v>
      </c>
    </row>
    <row r="1607">
      <c r="A1607" s="5" t="n">
        <v>3</v>
      </c>
      <c r="B1607" s="5" t="n">
        <v>12</v>
      </c>
      <c r="C1607" s="5" t="n">
        <v>19</v>
      </c>
      <c r="D1607" s="18">
        <f>SEASON_HRS_TOM*B1607*(1+DIM_TOM)^B1607+SEASON_HRS_CAR*C1607*(1+DIM_CAR)^C1607</f>
        <v>4300.733252678708</v>
      </c>
      <c r="E1607" s="18">
        <f>(FARMER_FIELD_HRS+A1607*TEMP_HRS)-D1607</f>
        <v>739.2667473212923</v>
      </c>
      <c r="F1607" s="21">
        <f>IF(E1607&lt;0,0,MIN(COUNTIF(Labor!$C$59:$C$88,"&lt;="&amp;E1607),MAXBED_MES,TOTAL_BEDS-B1607-C1607))</f>
        <v>13</v>
      </c>
      <c r="G1607" s="21">
        <f>B1607+C1607+F1607</f>
        <v>44</v>
      </c>
      <c r="H1607" s="22">
        <f>IF(E1607&lt;0,-999999999,B1607*(PRICE_TOM-FERT_TOM)+C1607*(PRICE_CAR-FERT_CAR)+F1607*(PRICE_MES-FERT_MES)-(FARMER_SALARY+A1607*TEMP_COST)-FIXED_COSTS)</f>
        <v>5126</v>
      </c>
    </row>
    <row r="1608">
      <c r="A1608" s="5" t="n">
        <v>3</v>
      </c>
      <c r="B1608" s="5" t="n">
        <v>12</v>
      </c>
      <c r="C1608" s="5" t="n">
        <v>20</v>
      </c>
      <c r="D1608" s="18">
        <f>SEASON_HRS_TOM*B1608*(1+DIM_TOM)^B1608+SEASON_HRS_CAR*C1608*(1+DIM_CAR)^C1608</f>
        <v>4372.67251103292</v>
      </c>
      <c r="E1608" s="18">
        <f>(FARMER_FIELD_HRS+A1608*TEMP_HRS)-D1608</f>
        <v>667.3274889670802</v>
      </c>
      <c r="F1608" s="21">
        <f>IF(E1608&lt;0,0,MIN(COUNTIF(Labor!$C$59:$C$88,"&lt;="&amp;E1608),MAXBED_MES,TOTAL_BEDS-B1608-C1608))</f>
        <v>12</v>
      </c>
      <c r="G1608" s="21">
        <f>B1608+C1608+F1608</f>
        <v>44</v>
      </c>
      <c r="H1608" s="22">
        <f>IF(E1608&lt;0,-999999999,B1608*(PRICE_TOM-FERT_TOM)+C1608*(PRICE_CAR-FERT_CAR)+F1608*(PRICE_MES-FERT_MES)-(FARMER_SALARY+A1608*TEMP_COST)-FIXED_COSTS)</f>
        <v>4960</v>
      </c>
    </row>
    <row r="1609">
      <c r="A1609" s="5" t="n">
        <v>3</v>
      </c>
      <c r="B1609" s="5" t="n">
        <v>13</v>
      </c>
      <c r="C1609" s="5" t="n">
        <v>0</v>
      </c>
      <c r="D1609" s="18">
        <f>SEASON_HRS_TOM*B1609*(1+DIM_TOM)^B1609+SEASON_HRS_CAR*C1609*(1+DIM_CAR)^C1609</f>
        <v>4039.1573208399313</v>
      </c>
      <c r="E1609" s="18">
        <f>(FARMER_FIELD_HRS+A1609*TEMP_HRS)-D1609</f>
        <v>1000.8426791600687</v>
      </c>
      <c r="F1609" s="21">
        <f>IF(E1609&lt;0,0,MIN(COUNTIF(Labor!$C$59:$C$88,"&lt;="&amp;E1609),MAXBED_MES,TOTAL_BEDS-B1609-C1609))</f>
        <v>17</v>
      </c>
      <c r="G1609" s="21">
        <f>B1609+C1609+F1609</f>
        <v>30</v>
      </c>
      <c r="H1609" s="22">
        <f>IF(E1609&lt;0,-999999999,B1609*(PRICE_TOM-FERT_TOM)+C1609*(PRICE_CAR-FERT_CAR)+F1609*(PRICE_MES-FERT_MES)-(FARMER_SALARY+A1609*TEMP_COST)-FIXED_COSTS)</f>
        <v>-11100</v>
      </c>
    </row>
    <row r="1610">
      <c r="A1610" s="5" t="n">
        <v>3</v>
      </c>
      <c r="B1610" s="5" t="n">
        <v>13</v>
      </c>
      <c r="C1610" s="5" t="n">
        <v>1</v>
      </c>
      <c r="D1610" s="18">
        <f>SEASON_HRS_TOM*B1610*(1+DIM_TOM)^B1610+SEASON_HRS_CAR*C1610*(1+DIM_CAR)^C1610</f>
        <v>4069.9073208399313</v>
      </c>
      <c r="E1610" s="18">
        <f>(FARMER_FIELD_HRS+A1610*TEMP_HRS)-D1610</f>
        <v>970.0926791600687</v>
      </c>
      <c r="F1610" s="21">
        <f>IF(E1610&lt;0,0,MIN(COUNTIF(Labor!$C$59:$C$88,"&lt;="&amp;E1610),MAXBED_MES,TOTAL_BEDS-B1610-C1610))</f>
        <v>17</v>
      </c>
      <c r="G1610" s="21">
        <f>B1610+C1610+F1610</f>
        <v>31</v>
      </c>
      <c r="H1610" s="22">
        <f>IF(E1610&lt;0,-999999999,B1610*(PRICE_TOM-FERT_TOM)+C1610*(PRICE_CAR-FERT_CAR)+F1610*(PRICE_MES-FERT_MES)-(FARMER_SALARY+A1610*TEMP_COST)-FIXED_COSTS)</f>
        <v>-9446</v>
      </c>
    </row>
    <row r="1611">
      <c r="A1611" s="5" t="n">
        <v>3</v>
      </c>
      <c r="B1611" s="5" t="n">
        <v>13</v>
      </c>
      <c r="C1611" s="5" t="n">
        <v>2</v>
      </c>
      <c r="D1611" s="18">
        <f>SEASON_HRS_TOM*B1611*(1+DIM_TOM)^B1611+SEASON_HRS_CAR*C1611*(1+DIM_CAR)^C1611</f>
        <v>4102.194820839932</v>
      </c>
      <c r="E1611" s="18">
        <f>(FARMER_FIELD_HRS+A1611*TEMP_HRS)-D1611</f>
        <v>937.8051791600683</v>
      </c>
      <c r="F1611" s="21">
        <f>IF(E1611&lt;0,0,MIN(COUNTIF(Labor!$C$59:$C$88,"&lt;="&amp;E1611),MAXBED_MES,TOTAL_BEDS-B1611-C1611))</f>
        <v>16</v>
      </c>
      <c r="G1611" s="21">
        <f>B1611+C1611+F1611</f>
        <v>31</v>
      </c>
      <c r="H1611" s="22">
        <f>IF(E1611&lt;0,-999999999,B1611*(PRICE_TOM-FERT_TOM)+C1611*(PRICE_CAR-FERT_CAR)+F1611*(PRICE_MES-FERT_MES)-(FARMER_SALARY+A1611*TEMP_COST)-FIXED_COSTS)</f>
        <v>-9612</v>
      </c>
    </row>
    <row r="1612">
      <c r="A1612" s="5" t="n">
        <v>3</v>
      </c>
      <c r="B1612" s="5" t="n">
        <v>13</v>
      </c>
      <c r="C1612" s="5" t="n">
        <v>3</v>
      </c>
      <c r="D1612" s="18">
        <f>SEASON_HRS_TOM*B1612*(1+DIM_TOM)^B1612+SEASON_HRS_CAR*C1612*(1+DIM_CAR)^C1612</f>
        <v>4136.077477089932</v>
      </c>
      <c r="E1612" s="18">
        <f>(FARMER_FIELD_HRS+A1612*TEMP_HRS)-D1612</f>
        <v>903.9225229100684</v>
      </c>
      <c r="F1612" s="21">
        <f>IF(E1612&lt;0,0,MIN(COUNTIF(Labor!$C$59:$C$88,"&lt;="&amp;E1612),MAXBED_MES,TOTAL_BEDS-B1612-C1612))</f>
        <v>16</v>
      </c>
      <c r="G1612" s="21">
        <f>B1612+C1612+F1612</f>
        <v>32</v>
      </c>
      <c r="H1612" s="22">
        <f>IF(E1612&lt;0,-999999999,B1612*(PRICE_TOM-FERT_TOM)+C1612*(PRICE_CAR-FERT_CAR)+F1612*(PRICE_MES-FERT_MES)-(FARMER_SALARY+A1612*TEMP_COST)-FIXED_COSTS)</f>
        <v>-7958</v>
      </c>
    </row>
    <row r="1613">
      <c r="A1613" s="5" t="n">
        <v>3</v>
      </c>
      <c r="B1613" s="5" t="n">
        <v>13</v>
      </c>
      <c r="C1613" s="5" t="n">
        <v>4</v>
      </c>
      <c r="D1613" s="18">
        <f>SEASON_HRS_TOM*B1613*(1+DIM_TOM)^B1613+SEASON_HRS_CAR*C1613*(1+DIM_CAR)^C1613</f>
        <v>4171.614867714931</v>
      </c>
      <c r="E1613" s="18">
        <f>(FARMER_FIELD_HRS+A1613*TEMP_HRS)-D1613</f>
        <v>868.3851322850687</v>
      </c>
      <c r="F1613" s="21">
        <f>IF(E1613&lt;0,0,MIN(COUNTIF(Labor!$C$59:$C$88,"&lt;="&amp;E1613),MAXBED_MES,TOTAL_BEDS-B1613-C1613))</f>
        <v>15</v>
      </c>
      <c r="G1613" s="21">
        <f>B1613+C1613+F1613</f>
        <v>32</v>
      </c>
      <c r="H1613" s="22">
        <f>IF(E1613&lt;0,-999999999,B1613*(PRICE_TOM-FERT_TOM)+C1613*(PRICE_CAR-FERT_CAR)+F1613*(PRICE_MES-FERT_MES)-(FARMER_SALARY+A1613*TEMP_COST)-FIXED_COSTS)</f>
        <v>-8124</v>
      </c>
    </row>
    <row r="1614">
      <c r="A1614" s="5" t="n">
        <v>3</v>
      </c>
      <c r="B1614" s="5" t="n">
        <v>13</v>
      </c>
      <c r="C1614" s="5" t="n">
        <v>5</v>
      </c>
      <c r="D1614" s="18">
        <f>SEASON_HRS_TOM*B1614*(1+DIM_TOM)^B1614+SEASON_HRS_CAR*C1614*(1+DIM_CAR)^C1614</f>
        <v>4208.868552773525</v>
      </c>
      <c r="E1614" s="18">
        <f>(FARMER_FIELD_HRS+A1614*TEMP_HRS)-D1614</f>
        <v>831.1314472264748</v>
      </c>
      <c r="F1614" s="21">
        <f>IF(E1614&lt;0,0,MIN(COUNTIF(Labor!$C$59:$C$88,"&lt;="&amp;E1614),MAXBED_MES,TOTAL_BEDS-B1614-C1614))</f>
        <v>15</v>
      </c>
      <c r="G1614" s="21">
        <f>B1614+C1614+F1614</f>
        <v>33</v>
      </c>
      <c r="H1614" s="22">
        <f>IF(E1614&lt;0,-999999999,B1614*(PRICE_TOM-FERT_TOM)+C1614*(PRICE_CAR-FERT_CAR)+F1614*(PRICE_MES-FERT_MES)-(FARMER_SALARY+A1614*TEMP_COST)-FIXED_COSTS)</f>
        <v>-6470</v>
      </c>
    </row>
    <row r="1615">
      <c r="A1615" s="5" t="n">
        <v>3</v>
      </c>
      <c r="B1615" s="5" t="n">
        <v>13</v>
      </c>
      <c r="C1615" s="5" t="n">
        <v>6</v>
      </c>
      <c r="D1615" s="18">
        <f>SEASON_HRS_TOM*B1615*(1+DIM_TOM)^B1615+SEASON_HRS_CAR*C1615*(1+DIM_CAR)^C1615</f>
        <v>4247.902136118251</v>
      </c>
      <c r="E1615" s="18">
        <f>(FARMER_FIELD_HRS+A1615*TEMP_HRS)-D1615</f>
        <v>792.0978638817487</v>
      </c>
      <c r="F1615" s="21">
        <f>IF(E1615&lt;0,0,MIN(COUNTIF(Labor!$C$59:$C$88,"&lt;="&amp;E1615),MAXBED_MES,TOTAL_BEDS-B1615-C1615))</f>
        <v>14</v>
      </c>
      <c r="G1615" s="21">
        <f>B1615+C1615+F1615</f>
        <v>33</v>
      </c>
      <c r="H1615" s="22">
        <f>IF(E1615&lt;0,-999999999,B1615*(PRICE_TOM-FERT_TOM)+C1615*(PRICE_CAR-FERT_CAR)+F1615*(PRICE_MES-FERT_MES)-(FARMER_SALARY+A1615*TEMP_COST)-FIXED_COSTS)</f>
        <v>-6636</v>
      </c>
    </row>
    <row r="1616">
      <c r="A1616" s="5" t="n">
        <v>3</v>
      </c>
      <c r="B1616" s="5" t="n">
        <v>13</v>
      </c>
      <c r="C1616" s="5" t="n">
        <v>7</v>
      </c>
      <c r="D1616" s="18">
        <f>SEASON_HRS_TOM*B1616*(1+DIM_TOM)^B1616+SEASON_HRS_CAR*C1616*(1+DIM_CAR)^C1616</f>
        <v>4288.781329110256</v>
      </c>
      <c r="E1616" s="18">
        <f>(FARMER_FIELD_HRS+A1616*TEMP_HRS)-D1616</f>
        <v>751.2186708897443</v>
      </c>
      <c r="F1616" s="21">
        <f>IF(E1616&lt;0,0,MIN(COUNTIF(Labor!$C$59:$C$88,"&lt;="&amp;E1616),MAXBED_MES,TOTAL_BEDS-B1616-C1616))</f>
        <v>14</v>
      </c>
      <c r="G1616" s="21">
        <f>B1616+C1616+F1616</f>
        <v>34</v>
      </c>
      <c r="H1616" s="22">
        <f>IF(E1616&lt;0,-999999999,B1616*(PRICE_TOM-FERT_TOM)+C1616*(PRICE_CAR-FERT_CAR)+F1616*(PRICE_MES-FERT_MES)-(FARMER_SALARY+A1616*TEMP_COST)-FIXED_COSTS)</f>
        <v>-4982</v>
      </c>
    </row>
    <row r="1617">
      <c r="A1617" s="5" t="n">
        <v>3</v>
      </c>
      <c r="B1617" s="5" t="n">
        <v>13</v>
      </c>
      <c r="C1617" s="5" t="n">
        <v>8</v>
      </c>
      <c r="D1617" s="18">
        <f>SEASON_HRS_TOM*B1617*(1+DIM_TOM)^B1617+SEASON_HRS_CAR*C1617*(1+DIM_CAR)^C1617</f>
        <v>4331.574016242312</v>
      </c>
      <c r="E1617" s="18">
        <f>(FARMER_FIELD_HRS+A1617*TEMP_HRS)-D1617</f>
        <v>708.4259837576883</v>
      </c>
      <c r="F1617" s="21">
        <f>IF(E1617&lt;0,0,MIN(COUNTIF(Labor!$C$59:$C$88,"&lt;="&amp;E1617),MAXBED_MES,TOTAL_BEDS-B1617-C1617))</f>
        <v>13</v>
      </c>
      <c r="G1617" s="21">
        <f>B1617+C1617+F1617</f>
        <v>34</v>
      </c>
      <c r="H1617" s="22">
        <f>IF(E1617&lt;0,-999999999,B1617*(PRICE_TOM-FERT_TOM)+C1617*(PRICE_CAR-FERT_CAR)+F1617*(PRICE_MES-FERT_MES)-(FARMER_SALARY+A1617*TEMP_COST)-FIXED_COSTS)</f>
        <v>-5148</v>
      </c>
    </row>
    <row r="1618">
      <c r="A1618" s="5" t="n">
        <v>3</v>
      </c>
      <c r="B1618" s="5" t="n">
        <v>13</v>
      </c>
      <c r="C1618" s="5" t="n">
        <v>9</v>
      </c>
      <c r="D1618" s="18">
        <f>SEASON_HRS_TOM*B1618*(1+DIM_TOM)^B1618+SEASON_HRS_CAR*C1618*(1+DIM_CAR)^C1618</f>
        <v>4376.350322725801</v>
      </c>
      <c r="E1618" s="18">
        <f>(FARMER_FIELD_HRS+A1618*TEMP_HRS)-D1618</f>
        <v>663.6496772741993</v>
      </c>
      <c r="F1618" s="21">
        <f>IF(E1618&lt;0,0,MIN(COUNTIF(Labor!$C$59:$C$88,"&lt;="&amp;E1618),MAXBED_MES,TOTAL_BEDS-B1618-C1618))</f>
        <v>12</v>
      </c>
      <c r="G1618" s="21">
        <f>B1618+C1618+F1618</f>
        <v>34</v>
      </c>
      <c r="H1618" s="22">
        <f>IF(E1618&lt;0,-999999999,B1618*(PRICE_TOM-FERT_TOM)+C1618*(PRICE_CAR-FERT_CAR)+F1618*(PRICE_MES-FERT_MES)-(FARMER_SALARY+A1618*TEMP_COST)-FIXED_COSTS)</f>
        <v>-5314</v>
      </c>
    </row>
    <row r="1619">
      <c r="A1619" s="5" t="n">
        <v>3</v>
      </c>
      <c r="B1619" s="5" t="n">
        <v>13</v>
      </c>
      <c r="C1619" s="5" t="n">
        <v>10</v>
      </c>
      <c r="D1619" s="18">
        <f>SEASON_HRS_TOM*B1619*(1+DIM_TOM)^B1619+SEASON_HRS_CAR*C1619*(1+DIM_CAR)^C1619</f>
        <v>4423.182684098839</v>
      </c>
      <c r="E1619" s="18">
        <f>(FARMER_FIELD_HRS+A1619*TEMP_HRS)-D1619</f>
        <v>616.8173159011612</v>
      </c>
      <c r="F1619" s="21">
        <f>IF(E1619&lt;0,0,MIN(COUNTIF(Labor!$C$59:$C$88,"&lt;="&amp;E1619),MAXBED_MES,TOTAL_BEDS-B1619-C1619))</f>
        <v>11</v>
      </c>
      <c r="G1619" s="21">
        <f>B1619+C1619+F1619</f>
        <v>34</v>
      </c>
      <c r="H1619" s="22">
        <f>IF(E1619&lt;0,-999999999,B1619*(PRICE_TOM-FERT_TOM)+C1619*(PRICE_CAR-FERT_CAR)+F1619*(PRICE_MES-FERT_MES)-(FARMER_SALARY+A1619*TEMP_COST)-FIXED_COSTS)</f>
        <v>-5480</v>
      </c>
    </row>
    <row r="1620">
      <c r="A1620" s="5" t="n">
        <v>3</v>
      </c>
      <c r="B1620" s="5" t="n">
        <v>13</v>
      </c>
      <c r="C1620" s="5" t="n">
        <v>11</v>
      </c>
      <c r="D1620" s="18">
        <f>SEASON_HRS_TOM*B1620*(1+DIM_TOM)^B1620+SEASON_HRS_CAR*C1620*(1+DIM_CAR)^C1620</f>
        <v>4472.145917914349</v>
      </c>
      <c r="E1620" s="18">
        <f>(FARMER_FIELD_HRS+A1620*TEMP_HRS)-D1620</f>
        <v>567.8540820856506</v>
      </c>
      <c r="F1620" s="21">
        <f>IF(E1620&lt;0,0,MIN(COUNTIF(Labor!$C$59:$C$88,"&lt;="&amp;E1620),MAXBED_MES,TOTAL_BEDS-B1620-C1620))</f>
        <v>11</v>
      </c>
      <c r="G1620" s="21">
        <f>B1620+C1620+F1620</f>
        <v>35</v>
      </c>
      <c r="H1620" s="22">
        <f>IF(E1620&lt;0,-999999999,B1620*(PRICE_TOM-FERT_TOM)+C1620*(PRICE_CAR-FERT_CAR)+F1620*(PRICE_MES-FERT_MES)-(FARMER_SALARY+A1620*TEMP_COST)-FIXED_COSTS)</f>
        <v>-3826</v>
      </c>
    </row>
    <row r="1621">
      <c r="A1621" s="5" t="n">
        <v>3</v>
      </c>
      <c r="B1621" s="5" t="n">
        <v>13</v>
      </c>
      <c r="C1621" s="5" t="n">
        <v>12</v>
      </c>
      <c r="D1621" s="18">
        <f>SEASON_HRS_TOM*B1621*(1+DIM_TOM)^B1621+SEASON_HRS_CAR*C1621*(1+DIM_CAR)^C1621</f>
        <v>4523.317297568598</v>
      </c>
      <c r="E1621" s="18">
        <f>(FARMER_FIELD_HRS+A1621*TEMP_HRS)-D1621</f>
        <v>516.6827024314016</v>
      </c>
      <c r="F1621" s="21">
        <f>IF(E1621&lt;0,0,MIN(COUNTIF(Labor!$C$59:$C$88,"&lt;="&amp;E1621),MAXBED_MES,TOTAL_BEDS-B1621-C1621))</f>
        <v>10</v>
      </c>
      <c r="G1621" s="21">
        <f>B1621+C1621+F1621</f>
        <v>35</v>
      </c>
      <c r="H1621" s="22">
        <f>IF(E1621&lt;0,-999999999,B1621*(PRICE_TOM-FERT_TOM)+C1621*(PRICE_CAR-FERT_CAR)+F1621*(PRICE_MES-FERT_MES)-(FARMER_SALARY+A1621*TEMP_COST)-FIXED_COSTS)</f>
        <v>-3992</v>
      </c>
    </row>
    <row r="1622">
      <c r="A1622" s="5" t="n">
        <v>3</v>
      </c>
      <c r="B1622" s="5" t="n">
        <v>13</v>
      </c>
      <c r="C1622" s="5" t="n">
        <v>13</v>
      </c>
      <c r="D1622" s="18">
        <f>SEASON_HRS_TOM*B1622*(1+DIM_TOM)^B1622+SEASON_HRS_CAR*C1622*(1+DIM_CAR)^C1622</f>
        <v>4576.776628332388</v>
      </c>
      <c r="E1622" s="18">
        <f>(FARMER_FIELD_HRS+A1622*TEMP_HRS)-D1622</f>
        <v>463.2233716676119</v>
      </c>
      <c r="F1622" s="21">
        <f>IF(E1622&lt;0,0,MIN(COUNTIF(Labor!$C$59:$C$88,"&lt;="&amp;E1622),MAXBED_MES,TOTAL_BEDS-B1622-C1622))</f>
        <v>9</v>
      </c>
      <c r="G1622" s="21">
        <f>B1622+C1622+F1622</f>
        <v>35</v>
      </c>
      <c r="H1622" s="22">
        <f>IF(E1622&lt;0,-999999999,B1622*(PRICE_TOM-FERT_TOM)+C1622*(PRICE_CAR-FERT_CAR)+F1622*(PRICE_MES-FERT_MES)-(FARMER_SALARY+A1622*TEMP_COST)-FIXED_COSTS)</f>
        <v>-4158</v>
      </c>
    </row>
    <row r="1623">
      <c r="A1623" s="5" t="n">
        <v>3</v>
      </c>
      <c r="B1623" s="5" t="n">
        <v>13</v>
      </c>
      <c r="C1623" s="5" t="n">
        <v>14</v>
      </c>
      <c r="D1623" s="18">
        <f>SEASON_HRS_TOM*B1623*(1+DIM_TOM)^B1623+SEASON_HRS_CAR*C1623*(1+DIM_CAR)^C1623</f>
        <v>4632.606325648913</v>
      </c>
      <c r="E1623" s="18">
        <f>(FARMER_FIELD_HRS+A1623*TEMP_HRS)-D1623</f>
        <v>407.3936743510867</v>
      </c>
      <c r="F1623" s="21">
        <f>IF(E1623&lt;0,0,MIN(COUNTIF(Labor!$C$59:$C$88,"&lt;="&amp;E1623),MAXBED_MES,TOTAL_BEDS-B1623-C1623))</f>
        <v>8</v>
      </c>
      <c r="G1623" s="21">
        <f>B1623+C1623+F1623</f>
        <v>35</v>
      </c>
      <c r="H1623" s="22">
        <f>IF(E1623&lt;0,-999999999,B1623*(PRICE_TOM-FERT_TOM)+C1623*(PRICE_CAR-FERT_CAR)+F1623*(PRICE_MES-FERT_MES)-(FARMER_SALARY+A1623*TEMP_COST)-FIXED_COSTS)</f>
        <v>-4324</v>
      </c>
    </row>
    <row r="1624">
      <c r="A1624" s="5" t="n">
        <v>3</v>
      </c>
      <c r="B1624" s="5" t="n">
        <v>13</v>
      </c>
      <c r="C1624" s="5" t="n">
        <v>15</v>
      </c>
      <c r="D1624" s="18">
        <f>SEASON_HRS_TOM*B1624*(1+DIM_TOM)^B1624+SEASON_HRS_CAR*C1624*(1+DIM_CAR)^C1624</f>
        <v>4690.891495764081</v>
      </c>
      <c r="E1624" s="18">
        <f>(FARMER_FIELD_HRS+A1624*TEMP_HRS)-D1624</f>
        <v>349.1085042359191</v>
      </c>
      <c r="F1624" s="21">
        <f>IF(E1624&lt;0,0,MIN(COUNTIF(Labor!$C$59:$C$88,"&lt;="&amp;E1624),MAXBED_MES,TOTAL_BEDS-B1624-C1624))</f>
        <v>7</v>
      </c>
      <c r="G1624" s="21">
        <f>B1624+C1624+F1624</f>
        <v>35</v>
      </c>
      <c r="H1624" s="22">
        <f>IF(E1624&lt;0,-999999999,B1624*(PRICE_TOM-FERT_TOM)+C1624*(PRICE_CAR-FERT_CAR)+F1624*(PRICE_MES-FERT_MES)-(FARMER_SALARY+A1624*TEMP_COST)-FIXED_COSTS)</f>
        <v>-4490</v>
      </c>
    </row>
    <row r="1625">
      <c r="A1625" s="5" t="n">
        <v>3</v>
      </c>
      <c r="B1625" s="5" t="n">
        <v>13</v>
      </c>
      <c r="C1625" s="5" t="n">
        <v>16</v>
      </c>
      <c r="D1625" s="18">
        <f>SEASON_HRS_TOM*B1625*(1+DIM_TOM)^B1625+SEASON_HRS_CAR*C1625*(1+DIM_CAR)^C1625</f>
        <v>4751.7200187570015</v>
      </c>
      <c r="E1625" s="18">
        <f>(FARMER_FIELD_HRS+A1625*TEMP_HRS)-D1625</f>
        <v>288.2799812429985</v>
      </c>
      <c r="F1625" s="21">
        <f>IF(E1625&lt;0,0,MIN(COUNTIF(Labor!$C$59:$C$88,"&lt;="&amp;E1625),MAXBED_MES,TOTAL_BEDS-B1625-C1625))</f>
        <v>5</v>
      </c>
      <c r="G1625" s="21">
        <f>B1625+C1625+F1625</f>
        <v>34</v>
      </c>
      <c r="H1625" s="22">
        <f>IF(E1625&lt;0,-999999999,B1625*(PRICE_TOM-FERT_TOM)+C1625*(PRICE_CAR-FERT_CAR)+F1625*(PRICE_MES-FERT_MES)-(FARMER_SALARY+A1625*TEMP_COST)-FIXED_COSTS)</f>
        <v>-6476</v>
      </c>
    </row>
    <row r="1626">
      <c r="A1626" s="5" t="n">
        <v>3</v>
      </c>
      <c r="B1626" s="5" t="n">
        <v>13</v>
      </c>
      <c r="C1626" s="5" t="n">
        <v>17</v>
      </c>
      <c r="D1626" s="18">
        <f>SEASON_HRS_TOM*B1626*(1+DIM_TOM)^B1626+SEASON_HRS_CAR*C1626*(1+DIM_CAR)^C1626</f>
        <v>4815.18263404024</v>
      </c>
      <c r="E1626" s="18">
        <f>(FARMER_FIELD_HRS+A1626*TEMP_HRS)-D1626</f>
        <v>224.81736595975963</v>
      </c>
      <c r="F1626" s="21">
        <f>IF(E1626&lt;0,0,MIN(COUNTIF(Labor!$C$59:$C$88,"&lt;="&amp;E1626),MAXBED_MES,TOTAL_BEDS-B1626-C1626))</f>
        <v>4</v>
      </c>
      <c r="G1626" s="21">
        <f>B1626+C1626+F1626</f>
        <v>34</v>
      </c>
      <c r="H1626" s="22">
        <f>IF(E1626&lt;0,-999999999,B1626*(PRICE_TOM-FERT_TOM)+C1626*(PRICE_CAR-FERT_CAR)+F1626*(PRICE_MES-FERT_MES)-(FARMER_SALARY+A1626*TEMP_COST)-FIXED_COSTS)</f>
        <v>-6642</v>
      </c>
    </row>
    <row r="1627">
      <c r="A1627" s="5" t="n">
        <v>3</v>
      </c>
      <c r="B1627" s="5" t="n">
        <v>13</v>
      </c>
      <c r="C1627" s="5" t="n">
        <v>18</v>
      </c>
      <c r="D1627" s="18">
        <f>SEASON_HRS_TOM*B1627*(1+DIM_TOM)^B1627+SEASON_HRS_CAR*C1627*(1+DIM_CAR)^C1627</f>
        <v>4881.373028401443</v>
      </c>
      <c r="E1627" s="18">
        <f>(FARMER_FIELD_HRS+A1627*TEMP_HRS)-D1627</f>
        <v>158.62697159855725</v>
      </c>
      <c r="F1627" s="21">
        <f>IF(E1627&lt;0,0,MIN(COUNTIF(Labor!$C$59:$C$88,"&lt;="&amp;E1627),MAXBED_MES,TOTAL_BEDS-B1627-C1627))</f>
        <v>3</v>
      </c>
      <c r="G1627" s="21">
        <f>B1627+C1627+F1627</f>
        <v>34</v>
      </c>
      <c r="H1627" s="22">
        <f>IF(E1627&lt;0,-999999999,B1627*(PRICE_TOM-FERT_TOM)+C1627*(PRICE_CAR-FERT_CAR)+F1627*(PRICE_MES-FERT_MES)-(FARMER_SALARY+A1627*TEMP_COST)-FIXED_COSTS)</f>
        <v>-6808</v>
      </c>
    </row>
    <row r="1628">
      <c r="A1628" s="5" t="n">
        <v>3</v>
      </c>
      <c r="B1628" s="5" t="n">
        <v>13</v>
      </c>
      <c r="C1628" s="5" t="n">
        <v>19</v>
      </c>
      <c r="D1628" s="18">
        <f>SEASON_HRS_TOM*B1628*(1+DIM_TOM)^B1628+SEASON_HRS_CAR*C1628*(1+DIM_CAR)^C1628</f>
        <v>4950.387926659955</v>
      </c>
      <c r="E1628" s="18">
        <f>(FARMER_FIELD_HRS+A1628*TEMP_HRS)-D1628</f>
        <v>89.61207334004484</v>
      </c>
      <c r="F1628" s="21">
        <f>IF(E1628&lt;0,0,MIN(COUNTIF(Labor!$C$59:$C$88,"&lt;="&amp;E1628),MAXBED_MES,TOTAL_BEDS-B1628-C1628))</f>
        <v>1</v>
      </c>
      <c r="G1628" s="21">
        <f>B1628+C1628+F1628</f>
        <v>33</v>
      </c>
      <c r="H1628" s="22">
        <f>IF(E1628&lt;0,-999999999,B1628*(PRICE_TOM-FERT_TOM)+C1628*(PRICE_CAR-FERT_CAR)+F1628*(PRICE_MES-FERT_MES)-(FARMER_SALARY+A1628*TEMP_COST)-FIXED_COSTS)</f>
        <v>-8794</v>
      </c>
    </row>
    <row r="1629">
      <c r="A1629" s="5" t="n">
        <v>3</v>
      </c>
      <c r="B1629" s="5" t="n">
        <v>13</v>
      </c>
      <c r="C1629" s="5" t="n">
        <v>20</v>
      </c>
      <c r="D1629" s="18">
        <f>SEASON_HRS_TOM*B1629*(1+DIM_TOM)^B1629+SEASON_HRS_CAR*C1629*(1+DIM_CAR)^C1629</f>
        <v>5022.327185014168</v>
      </c>
      <c r="E1629" s="18">
        <f>(FARMER_FIELD_HRS+A1629*TEMP_HRS)-D1629</f>
        <v>17.672814985831792</v>
      </c>
      <c r="F1629" s="21">
        <f>IF(E1629&lt;0,0,MIN(COUNTIF(Labor!$C$59:$C$88,"&lt;="&amp;E1629),MAXBED_MES,TOTAL_BEDS-B1629-C1629))</f>
        <v>0</v>
      </c>
      <c r="G1629" s="21">
        <f>B1629+C1629+F1629</f>
        <v>33</v>
      </c>
      <c r="H1629" s="22">
        <f>IF(E1629&lt;0,-999999999,B1629*(PRICE_TOM-FERT_TOM)+C1629*(PRICE_CAR-FERT_CAR)+F1629*(PRICE_MES-FERT_MES)-(FARMER_SALARY+A1629*TEMP_COST)-FIXED_COSTS)</f>
        <v>-8960</v>
      </c>
    </row>
    <row r="1630">
      <c r="A1630" s="5" t="n">
        <v>3</v>
      </c>
      <c r="B1630" s="5" t="n">
        <v>14</v>
      </c>
      <c r="C1630" s="5" t="n">
        <v>0</v>
      </c>
      <c r="D1630" s="18">
        <f>SEASON_HRS_TOM*B1630*(1+DIM_TOM)^B1630+SEASON_HRS_CAR*C1630*(1+DIM_CAR)^C1630</f>
        <v>4784.847903148842</v>
      </c>
      <c r="E1630" s="18">
        <f>(FARMER_FIELD_HRS+A1630*TEMP_HRS)-D1630</f>
        <v>255.1520968511577</v>
      </c>
      <c r="F1630" s="21">
        <f>IF(E1630&lt;0,0,MIN(COUNTIF(Labor!$C$59:$C$88,"&lt;="&amp;E1630),MAXBED_MES,TOTAL_BEDS-B1630-C1630))</f>
        <v>5</v>
      </c>
      <c r="G1630" s="21">
        <f>B1630+C1630+F1630</f>
        <v>19</v>
      </c>
      <c r="H1630" s="22">
        <f>IF(E1630&lt;0,-999999999,B1630*(PRICE_TOM-FERT_TOM)+C1630*(PRICE_CAR-FERT_CAR)+F1630*(PRICE_MES-FERT_MES)-(FARMER_SALARY+A1630*TEMP_COST)-FIXED_COSTS)</f>
        <v>-25020</v>
      </c>
    </row>
    <row r="1631">
      <c r="A1631" s="5" t="n">
        <v>3</v>
      </c>
      <c r="B1631" s="5" t="n">
        <v>14</v>
      </c>
      <c r="C1631" s="5" t="n">
        <v>1</v>
      </c>
      <c r="D1631" s="18">
        <f>SEASON_HRS_TOM*B1631*(1+DIM_TOM)^B1631+SEASON_HRS_CAR*C1631*(1+DIM_CAR)^C1631</f>
        <v>4815.597903148842</v>
      </c>
      <c r="E1631" s="18">
        <f>(FARMER_FIELD_HRS+A1631*TEMP_HRS)-D1631</f>
        <v>224.4020968511577</v>
      </c>
      <c r="F1631" s="21">
        <f>IF(E1631&lt;0,0,MIN(COUNTIF(Labor!$C$59:$C$88,"&lt;="&amp;E1631),MAXBED_MES,TOTAL_BEDS-B1631-C1631))</f>
        <v>4</v>
      </c>
      <c r="G1631" s="21">
        <f>B1631+C1631+F1631</f>
        <v>19</v>
      </c>
      <c r="H1631" s="22">
        <f>IF(E1631&lt;0,-999999999,B1631*(PRICE_TOM-FERT_TOM)+C1631*(PRICE_CAR-FERT_CAR)+F1631*(PRICE_MES-FERT_MES)-(FARMER_SALARY+A1631*TEMP_COST)-FIXED_COSTS)</f>
        <v>-25186</v>
      </c>
    </row>
    <row r="1632">
      <c r="A1632" s="5" t="n">
        <v>3</v>
      </c>
      <c r="B1632" s="5" t="n">
        <v>14</v>
      </c>
      <c r="C1632" s="5" t="n">
        <v>2</v>
      </c>
      <c r="D1632" s="18">
        <f>SEASON_HRS_TOM*B1632*(1+DIM_TOM)^B1632+SEASON_HRS_CAR*C1632*(1+DIM_CAR)^C1632</f>
        <v>4847.885403148843</v>
      </c>
      <c r="E1632" s="18">
        <f>(FARMER_FIELD_HRS+A1632*TEMP_HRS)-D1632</f>
        <v>192.11459685115733</v>
      </c>
      <c r="F1632" s="21">
        <f>IF(E1632&lt;0,0,MIN(COUNTIF(Labor!$C$59:$C$88,"&lt;="&amp;E1632),MAXBED_MES,TOTAL_BEDS-B1632-C1632))</f>
        <v>4</v>
      </c>
      <c r="G1632" s="21">
        <f>B1632+C1632+F1632</f>
        <v>20</v>
      </c>
      <c r="H1632" s="22">
        <f>IF(E1632&lt;0,-999999999,B1632*(PRICE_TOM-FERT_TOM)+C1632*(PRICE_CAR-FERT_CAR)+F1632*(PRICE_MES-FERT_MES)-(FARMER_SALARY+A1632*TEMP_COST)-FIXED_COSTS)</f>
        <v>-23532</v>
      </c>
    </row>
    <row r="1633">
      <c r="A1633" s="5" t="n">
        <v>3</v>
      </c>
      <c r="B1633" s="5" t="n">
        <v>14</v>
      </c>
      <c r="C1633" s="5" t="n">
        <v>3</v>
      </c>
      <c r="D1633" s="18">
        <f>SEASON_HRS_TOM*B1633*(1+DIM_TOM)^B1633+SEASON_HRS_CAR*C1633*(1+DIM_CAR)^C1633</f>
        <v>4881.7680593988425</v>
      </c>
      <c r="E1633" s="18">
        <f>(FARMER_FIELD_HRS+A1633*TEMP_HRS)-D1633</f>
        <v>158.23194060115748</v>
      </c>
      <c r="F1633" s="21">
        <f>IF(E1633&lt;0,0,MIN(COUNTIF(Labor!$C$59:$C$88,"&lt;="&amp;E1633),MAXBED_MES,TOTAL_BEDS-B1633-C1633))</f>
        <v>3</v>
      </c>
      <c r="G1633" s="21">
        <f>B1633+C1633+F1633</f>
        <v>20</v>
      </c>
      <c r="H1633" s="22">
        <f>IF(E1633&lt;0,-999999999,B1633*(PRICE_TOM-FERT_TOM)+C1633*(PRICE_CAR-FERT_CAR)+F1633*(PRICE_MES-FERT_MES)-(FARMER_SALARY+A1633*TEMP_COST)-FIXED_COSTS)</f>
        <v>-23698</v>
      </c>
    </row>
    <row r="1634">
      <c r="A1634" s="5" t="n">
        <v>3</v>
      </c>
      <c r="B1634" s="5" t="n">
        <v>14</v>
      </c>
      <c r="C1634" s="5" t="n">
        <v>4</v>
      </c>
      <c r="D1634" s="18">
        <f>SEASON_HRS_TOM*B1634*(1+DIM_TOM)^B1634+SEASON_HRS_CAR*C1634*(1+DIM_CAR)^C1634</f>
        <v>4917.305450023842</v>
      </c>
      <c r="E1634" s="18">
        <f>(FARMER_FIELD_HRS+A1634*TEMP_HRS)-D1634</f>
        <v>122.69454997615776</v>
      </c>
      <c r="F1634" s="21">
        <f>IF(E1634&lt;0,0,MIN(COUNTIF(Labor!$C$59:$C$88,"&lt;="&amp;E1634),MAXBED_MES,TOTAL_BEDS-B1634-C1634))</f>
        <v>2</v>
      </c>
      <c r="G1634" s="21">
        <f>B1634+C1634+F1634</f>
        <v>20</v>
      </c>
      <c r="H1634" s="22">
        <f>IF(E1634&lt;0,-999999999,B1634*(PRICE_TOM-FERT_TOM)+C1634*(PRICE_CAR-FERT_CAR)+F1634*(PRICE_MES-FERT_MES)-(FARMER_SALARY+A1634*TEMP_COST)-FIXED_COSTS)</f>
        <v>-23864</v>
      </c>
    </row>
    <row r="1635">
      <c r="A1635" s="5" t="n">
        <v>3</v>
      </c>
      <c r="B1635" s="5" t="n">
        <v>14</v>
      </c>
      <c r="C1635" s="5" t="n">
        <v>5</v>
      </c>
      <c r="D1635" s="18">
        <f>SEASON_HRS_TOM*B1635*(1+DIM_TOM)^B1635+SEASON_HRS_CAR*C1635*(1+DIM_CAR)^C1635</f>
        <v>4954.559135082436</v>
      </c>
      <c r="E1635" s="18">
        <f>(FARMER_FIELD_HRS+A1635*TEMP_HRS)-D1635</f>
        <v>85.44086491756389</v>
      </c>
      <c r="F1635" s="21">
        <f>IF(E1635&lt;0,0,MIN(COUNTIF(Labor!$C$59:$C$88,"&lt;="&amp;E1635),MAXBED_MES,TOTAL_BEDS-B1635-C1635))</f>
        <v>1</v>
      </c>
      <c r="G1635" s="21">
        <f>B1635+C1635+F1635</f>
        <v>20</v>
      </c>
      <c r="H1635" s="22">
        <f>IF(E1635&lt;0,-999999999,B1635*(PRICE_TOM-FERT_TOM)+C1635*(PRICE_CAR-FERT_CAR)+F1635*(PRICE_MES-FERT_MES)-(FARMER_SALARY+A1635*TEMP_COST)-FIXED_COSTS)</f>
        <v>-24030</v>
      </c>
    </row>
    <row r="1636">
      <c r="A1636" s="5" t="n">
        <v>3</v>
      </c>
      <c r="B1636" s="5" t="n">
        <v>14</v>
      </c>
      <c r="C1636" s="5" t="n">
        <v>6</v>
      </c>
      <c r="D1636" s="18">
        <f>SEASON_HRS_TOM*B1636*(1+DIM_TOM)^B1636+SEASON_HRS_CAR*C1636*(1+DIM_CAR)^C1636</f>
        <v>4993.592718427162</v>
      </c>
      <c r="E1636" s="18">
        <f>(FARMER_FIELD_HRS+A1636*TEMP_HRS)-D1636</f>
        <v>46.407281572837746</v>
      </c>
      <c r="F1636" s="21">
        <f>IF(E1636&lt;0,0,MIN(COUNTIF(Labor!$C$59:$C$88,"&lt;="&amp;E1636),MAXBED_MES,TOTAL_BEDS-B1636-C1636))</f>
        <v>1</v>
      </c>
      <c r="G1636" s="21">
        <f>B1636+C1636+F1636</f>
        <v>21</v>
      </c>
      <c r="H1636" s="22">
        <f>IF(E1636&lt;0,-999999999,B1636*(PRICE_TOM-FERT_TOM)+C1636*(PRICE_CAR-FERT_CAR)+F1636*(PRICE_MES-FERT_MES)-(FARMER_SALARY+A1636*TEMP_COST)-FIXED_COSTS)</f>
        <v>-22376</v>
      </c>
    </row>
    <row r="1637">
      <c r="A1637" s="5" t="n">
        <v>3</v>
      </c>
      <c r="B1637" s="5" t="n">
        <v>14</v>
      </c>
      <c r="C1637" s="5" t="n">
        <v>7</v>
      </c>
      <c r="D1637" s="18">
        <f>SEASON_HRS_TOM*B1637*(1+DIM_TOM)^B1637+SEASON_HRS_CAR*C1637*(1+DIM_CAR)^C1637</f>
        <v>5034.471911419167</v>
      </c>
      <c r="E1637" s="18">
        <f>(FARMER_FIELD_HRS+A1637*TEMP_HRS)-D1637</f>
        <v>5.528088580833355</v>
      </c>
      <c r="F1637" s="21">
        <f>IF(E1637&lt;0,0,MIN(COUNTIF(Labor!$C$59:$C$88,"&lt;="&amp;E1637),MAXBED_MES,TOTAL_BEDS-B1637-C1637))</f>
        <v>0</v>
      </c>
      <c r="G1637" s="21">
        <f>B1637+C1637+F1637</f>
        <v>21</v>
      </c>
      <c r="H1637" s="22">
        <f>IF(E1637&lt;0,-999999999,B1637*(PRICE_TOM-FERT_TOM)+C1637*(PRICE_CAR-FERT_CAR)+F1637*(PRICE_MES-FERT_MES)-(FARMER_SALARY+A1637*TEMP_COST)-FIXED_COSTS)</f>
        <v>-22542</v>
      </c>
    </row>
    <row r="1638">
      <c r="A1638" s="5" t="n">
        <v>3</v>
      </c>
      <c r="B1638" s="5" t="n">
        <v>14</v>
      </c>
      <c r="C1638" s="5" t="n">
        <v>8</v>
      </c>
      <c r="D1638" s="18">
        <f>SEASON_HRS_TOM*B1638*(1+DIM_TOM)^B1638+SEASON_HRS_CAR*C1638*(1+DIM_CAR)^C1638</f>
        <v>5077.264598551223</v>
      </c>
      <c r="E1638" s="18">
        <f>(FARMER_FIELD_HRS+A1638*TEMP_HRS)-D1638</f>
        <v>-37.26459855122266</v>
      </c>
      <c r="F1638" s="21">
        <f>IF(E1638&lt;0,0,MIN(COUNTIF(Labor!$C$59:$C$88,"&lt;="&amp;E1638),MAXBED_MES,TOTAL_BEDS-B1638-C1638))</f>
        <v>0</v>
      </c>
      <c r="G1638" s="21">
        <f>B1638+C1638+F1638</f>
        <v>22</v>
      </c>
      <c r="H1638" s="22">
        <f>IF(E1638&lt;0,-999999999,B1638*(PRICE_TOM-FERT_TOM)+C1638*(PRICE_CAR-FERT_CAR)+F1638*(PRICE_MES-FERT_MES)-(FARMER_SALARY+A1638*TEMP_COST)-FIXED_COSTS)</f>
        <v>-999999999</v>
      </c>
    </row>
    <row r="1639">
      <c r="A1639" s="5" t="n">
        <v>3</v>
      </c>
      <c r="B1639" s="5" t="n">
        <v>14</v>
      </c>
      <c r="C1639" s="5" t="n">
        <v>9</v>
      </c>
      <c r="D1639" s="18">
        <f>SEASON_HRS_TOM*B1639*(1+DIM_TOM)^B1639+SEASON_HRS_CAR*C1639*(1+DIM_CAR)^C1639</f>
        <v>5122.040905034712</v>
      </c>
      <c r="E1639" s="18">
        <f>(FARMER_FIELD_HRS+A1639*TEMP_HRS)-D1639</f>
        <v>-82.04090503471161</v>
      </c>
      <c r="F1639" s="21">
        <f>IF(E1639&lt;0,0,MIN(COUNTIF(Labor!$C$59:$C$88,"&lt;="&amp;E1639),MAXBED_MES,TOTAL_BEDS-B1639-C1639))</f>
        <v>0</v>
      </c>
      <c r="G1639" s="21">
        <f>B1639+C1639+F1639</f>
        <v>23</v>
      </c>
      <c r="H1639" s="22">
        <f>IF(E1639&lt;0,-999999999,B1639*(PRICE_TOM-FERT_TOM)+C1639*(PRICE_CAR-FERT_CAR)+F1639*(PRICE_MES-FERT_MES)-(FARMER_SALARY+A1639*TEMP_COST)-FIXED_COSTS)</f>
        <v>-999999999</v>
      </c>
    </row>
    <row r="1640">
      <c r="A1640" s="5" t="n">
        <v>3</v>
      </c>
      <c r="B1640" s="5" t="n">
        <v>14</v>
      </c>
      <c r="C1640" s="5" t="n">
        <v>10</v>
      </c>
      <c r="D1640" s="18">
        <f>SEASON_HRS_TOM*B1640*(1+DIM_TOM)^B1640+SEASON_HRS_CAR*C1640*(1+DIM_CAR)^C1640</f>
        <v>5168.87326640775</v>
      </c>
      <c r="E1640" s="18">
        <f>(FARMER_FIELD_HRS+A1640*TEMP_HRS)-D1640</f>
        <v>-128.87326640774972</v>
      </c>
      <c r="F1640" s="21">
        <f>IF(E1640&lt;0,0,MIN(COUNTIF(Labor!$C$59:$C$88,"&lt;="&amp;E1640),MAXBED_MES,TOTAL_BEDS-B1640-C1640))</f>
        <v>0</v>
      </c>
      <c r="G1640" s="21">
        <f>B1640+C1640+F1640</f>
        <v>24</v>
      </c>
      <c r="H1640" s="22">
        <f>IF(E1640&lt;0,-999999999,B1640*(PRICE_TOM-FERT_TOM)+C1640*(PRICE_CAR-FERT_CAR)+F1640*(PRICE_MES-FERT_MES)-(FARMER_SALARY+A1640*TEMP_COST)-FIXED_COSTS)</f>
        <v>-999999999</v>
      </c>
    </row>
    <row r="1641">
      <c r="A1641" s="5" t="n">
        <v>3</v>
      </c>
      <c r="B1641" s="5" t="n">
        <v>14</v>
      </c>
      <c r="C1641" s="5" t="n">
        <v>11</v>
      </c>
      <c r="D1641" s="18">
        <f>SEASON_HRS_TOM*B1641*(1+DIM_TOM)^B1641+SEASON_HRS_CAR*C1641*(1+DIM_CAR)^C1641</f>
        <v>5217.83650022326</v>
      </c>
      <c r="E1641" s="18">
        <f>(FARMER_FIELD_HRS+A1641*TEMP_HRS)-D1641</f>
        <v>-177.83650022326037</v>
      </c>
      <c r="F1641" s="21">
        <f>IF(E1641&lt;0,0,MIN(COUNTIF(Labor!$C$59:$C$88,"&lt;="&amp;E1641),MAXBED_MES,TOTAL_BEDS-B1641-C1641))</f>
        <v>0</v>
      </c>
      <c r="G1641" s="21">
        <f>B1641+C1641+F1641</f>
        <v>25</v>
      </c>
      <c r="H1641" s="22">
        <f>IF(E1641&lt;0,-999999999,B1641*(PRICE_TOM-FERT_TOM)+C1641*(PRICE_CAR-FERT_CAR)+F1641*(PRICE_MES-FERT_MES)-(FARMER_SALARY+A1641*TEMP_COST)-FIXED_COSTS)</f>
        <v>-999999999</v>
      </c>
    </row>
    <row r="1642">
      <c r="A1642" s="5" t="n">
        <v>3</v>
      </c>
      <c r="B1642" s="5" t="n">
        <v>14</v>
      </c>
      <c r="C1642" s="5" t="n">
        <v>12</v>
      </c>
      <c r="D1642" s="18">
        <f>SEASON_HRS_TOM*B1642*(1+DIM_TOM)^B1642+SEASON_HRS_CAR*C1642*(1+DIM_CAR)^C1642</f>
        <v>5269.007879877509</v>
      </c>
      <c r="E1642" s="18">
        <f>(FARMER_FIELD_HRS+A1642*TEMP_HRS)-D1642</f>
        <v>-229.00787987750937</v>
      </c>
      <c r="F1642" s="21">
        <f>IF(E1642&lt;0,0,MIN(COUNTIF(Labor!$C$59:$C$88,"&lt;="&amp;E1642),MAXBED_MES,TOTAL_BEDS-B1642-C1642))</f>
        <v>0</v>
      </c>
      <c r="G1642" s="21">
        <f>B1642+C1642+F1642</f>
        <v>26</v>
      </c>
      <c r="H1642" s="22">
        <f>IF(E1642&lt;0,-999999999,B1642*(PRICE_TOM-FERT_TOM)+C1642*(PRICE_CAR-FERT_CAR)+F1642*(PRICE_MES-FERT_MES)-(FARMER_SALARY+A1642*TEMP_COST)-FIXED_COSTS)</f>
        <v>-999999999</v>
      </c>
    </row>
    <row r="1643">
      <c r="A1643" s="5" t="n">
        <v>3</v>
      </c>
      <c r="B1643" s="5" t="n">
        <v>14</v>
      </c>
      <c r="C1643" s="5" t="n">
        <v>13</v>
      </c>
      <c r="D1643" s="18">
        <f>SEASON_HRS_TOM*B1643*(1+DIM_TOM)^B1643+SEASON_HRS_CAR*C1643*(1+DIM_CAR)^C1643</f>
        <v>5322.467210641299</v>
      </c>
      <c r="E1643" s="18">
        <f>(FARMER_FIELD_HRS+A1643*TEMP_HRS)-D1643</f>
        <v>-282.46721064129906</v>
      </c>
      <c r="F1643" s="21">
        <f>IF(E1643&lt;0,0,MIN(COUNTIF(Labor!$C$59:$C$88,"&lt;="&amp;E1643),MAXBED_MES,TOTAL_BEDS-B1643-C1643))</f>
        <v>0</v>
      </c>
      <c r="G1643" s="21">
        <f>B1643+C1643+F1643</f>
        <v>27</v>
      </c>
      <c r="H1643" s="22">
        <f>IF(E1643&lt;0,-999999999,B1643*(PRICE_TOM-FERT_TOM)+C1643*(PRICE_CAR-FERT_CAR)+F1643*(PRICE_MES-FERT_MES)-(FARMER_SALARY+A1643*TEMP_COST)-FIXED_COSTS)</f>
        <v>-999999999</v>
      </c>
    </row>
    <row r="1644">
      <c r="A1644" s="5" t="n">
        <v>3</v>
      </c>
      <c r="B1644" s="5" t="n">
        <v>14</v>
      </c>
      <c r="C1644" s="5" t="n">
        <v>14</v>
      </c>
      <c r="D1644" s="18">
        <f>SEASON_HRS_TOM*B1644*(1+DIM_TOM)^B1644+SEASON_HRS_CAR*C1644*(1+DIM_CAR)^C1644</f>
        <v>5378.296907957824</v>
      </c>
      <c r="E1644" s="18">
        <f>(FARMER_FIELD_HRS+A1644*TEMP_HRS)-D1644</f>
        <v>-338.29690795782426</v>
      </c>
      <c r="F1644" s="21">
        <f>IF(E1644&lt;0,0,MIN(COUNTIF(Labor!$C$59:$C$88,"&lt;="&amp;E1644),MAXBED_MES,TOTAL_BEDS-B1644-C1644))</f>
        <v>0</v>
      </c>
      <c r="G1644" s="21">
        <f>B1644+C1644+F1644</f>
        <v>28</v>
      </c>
      <c r="H1644" s="22">
        <f>IF(E1644&lt;0,-999999999,B1644*(PRICE_TOM-FERT_TOM)+C1644*(PRICE_CAR-FERT_CAR)+F1644*(PRICE_MES-FERT_MES)-(FARMER_SALARY+A1644*TEMP_COST)-FIXED_COSTS)</f>
        <v>-999999999</v>
      </c>
    </row>
    <row r="1645">
      <c r="A1645" s="5" t="n">
        <v>3</v>
      </c>
      <c r="B1645" s="5" t="n">
        <v>14</v>
      </c>
      <c r="C1645" s="5" t="n">
        <v>15</v>
      </c>
      <c r="D1645" s="18">
        <f>SEASON_HRS_TOM*B1645*(1+DIM_TOM)^B1645+SEASON_HRS_CAR*C1645*(1+DIM_CAR)^C1645</f>
        <v>5436.582078072992</v>
      </c>
      <c r="E1645" s="18">
        <f>(FARMER_FIELD_HRS+A1645*TEMP_HRS)-D1645</f>
        <v>-396.58207807299186</v>
      </c>
      <c r="F1645" s="21">
        <f>IF(E1645&lt;0,0,MIN(COUNTIF(Labor!$C$59:$C$88,"&lt;="&amp;E1645),MAXBED_MES,TOTAL_BEDS-B1645-C1645))</f>
        <v>0</v>
      </c>
      <c r="G1645" s="21">
        <f>B1645+C1645+F1645</f>
        <v>29</v>
      </c>
      <c r="H1645" s="22">
        <f>IF(E1645&lt;0,-999999999,B1645*(PRICE_TOM-FERT_TOM)+C1645*(PRICE_CAR-FERT_CAR)+F1645*(PRICE_MES-FERT_MES)-(FARMER_SALARY+A1645*TEMP_COST)-FIXED_COSTS)</f>
        <v>-999999999</v>
      </c>
    </row>
    <row r="1646">
      <c r="A1646" s="5" t="n">
        <v>3</v>
      </c>
      <c r="B1646" s="5" t="n">
        <v>14</v>
      </c>
      <c r="C1646" s="5" t="n">
        <v>16</v>
      </c>
      <c r="D1646" s="18">
        <f>SEASON_HRS_TOM*B1646*(1+DIM_TOM)^B1646+SEASON_HRS_CAR*C1646*(1+DIM_CAR)^C1646</f>
        <v>5497.4106010659125</v>
      </c>
      <c r="E1646" s="18">
        <f>(FARMER_FIELD_HRS+A1646*TEMP_HRS)-D1646</f>
        <v>-457.4106010659125</v>
      </c>
      <c r="F1646" s="21">
        <f>IF(E1646&lt;0,0,MIN(COUNTIF(Labor!$C$59:$C$88,"&lt;="&amp;E1646),MAXBED_MES,TOTAL_BEDS-B1646-C1646))</f>
        <v>0</v>
      </c>
      <c r="G1646" s="21">
        <f>B1646+C1646+F1646</f>
        <v>30</v>
      </c>
      <c r="H1646" s="22">
        <f>IF(E1646&lt;0,-999999999,B1646*(PRICE_TOM-FERT_TOM)+C1646*(PRICE_CAR-FERT_CAR)+F1646*(PRICE_MES-FERT_MES)-(FARMER_SALARY+A1646*TEMP_COST)-FIXED_COSTS)</f>
        <v>-999999999</v>
      </c>
    </row>
    <row r="1647">
      <c r="A1647" s="5" t="n">
        <v>3</v>
      </c>
      <c r="B1647" s="5" t="n">
        <v>14</v>
      </c>
      <c r="C1647" s="5" t="n">
        <v>17</v>
      </c>
      <c r="D1647" s="18">
        <f>SEASON_HRS_TOM*B1647*(1+DIM_TOM)^B1647+SEASON_HRS_CAR*C1647*(1+DIM_CAR)^C1647</f>
        <v>5560.873216349151</v>
      </c>
      <c r="E1647" s="18">
        <f>(FARMER_FIELD_HRS+A1647*TEMP_HRS)-D1647</f>
        <v>-520.8732163491513</v>
      </c>
      <c r="F1647" s="21">
        <f>IF(E1647&lt;0,0,MIN(COUNTIF(Labor!$C$59:$C$88,"&lt;="&amp;E1647),MAXBED_MES,TOTAL_BEDS-B1647-C1647))</f>
        <v>0</v>
      </c>
      <c r="G1647" s="21">
        <f>B1647+C1647+F1647</f>
        <v>31</v>
      </c>
      <c r="H1647" s="22">
        <f>IF(E1647&lt;0,-999999999,B1647*(PRICE_TOM-FERT_TOM)+C1647*(PRICE_CAR-FERT_CAR)+F1647*(PRICE_MES-FERT_MES)-(FARMER_SALARY+A1647*TEMP_COST)-FIXED_COSTS)</f>
        <v>-999999999</v>
      </c>
    </row>
    <row r="1648">
      <c r="A1648" s="5" t="n">
        <v>3</v>
      </c>
      <c r="B1648" s="5" t="n">
        <v>14</v>
      </c>
      <c r="C1648" s="5" t="n">
        <v>18</v>
      </c>
      <c r="D1648" s="18">
        <f>SEASON_HRS_TOM*B1648*(1+DIM_TOM)^B1648+SEASON_HRS_CAR*C1648*(1+DIM_CAR)^C1648</f>
        <v>5627.063610710354</v>
      </c>
      <c r="E1648" s="18">
        <f>(FARMER_FIELD_HRS+A1648*TEMP_HRS)-D1648</f>
        <v>-587.0636107103537</v>
      </c>
      <c r="F1648" s="21">
        <f>IF(E1648&lt;0,0,MIN(COUNTIF(Labor!$C$59:$C$88,"&lt;="&amp;E1648),MAXBED_MES,TOTAL_BEDS-B1648-C1648))</f>
        <v>0</v>
      </c>
      <c r="G1648" s="21">
        <f>B1648+C1648+F1648</f>
        <v>32</v>
      </c>
      <c r="H1648" s="22">
        <f>IF(E1648&lt;0,-999999999,B1648*(PRICE_TOM-FERT_TOM)+C1648*(PRICE_CAR-FERT_CAR)+F1648*(PRICE_MES-FERT_MES)-(FARMER_SALARY+A1648*TEMP_COST)-FIXED_COSTS)</f>
        <v>-999999999</v>
      </c>
    </row>
    <row r="1649">
      <c r="A1649" s="5" t="n">
        <v>3</v>
      </c>
      <c r="B1649" s="5" t="n">
        <v>14</v>
      </c>
      <c r="C1649" s="5" t="n">
        <v>19</v>
      </c>
      <c r="D1649" s="18">
        <f>SEASON_HRS_TOM*B1649*(1+DIM_TOM)^B1649+SEASON_HRS_CAR*C1649*(1+DIM_CAR)^C1649</f>
        <v>5696.078508968866</v>
      </c>
      <c r="E1649" s="18">
        <f>(FARMER_FIELD_HRS+A1649*TEMP_HRS)-D1649</f>
        <v>-656.0785089688661</v>
      </c>
      <c r="F1649" s="21">
        <f>IF(E1649&lt;0,0,MIN(COUNTIF(Labor!$C$59:$C$88,"&lt;="&amp;E1649),MAXBED_MES,TOTAL_BEDS-B1649-C1649))</f>
        <v>0</v>
      </c>
      <c r="G1649" s="21">
        <f>B1649+C1649+F1649</f>
        <v>33</v>
      </c>
      <c r="H1649" s="22">
        <f>IF(E1649&lt;0,-999999999,B1649*(PRICE_TOM-FERT_TOM)+C1649*(PRICE_CAR-FERT_CAR)+F1649*(PRICE_MES-FERT_MES)-(FARMER_SALARY+A1649*TEMP_COST)-FIXED_COSTS)</f>
        <v>-999999999</v>
      </c>
    </row>
    <row r="1650">
      <c r="A1650" s="5" t="n">
        <v>3</v>
      </c>
      <c r="B1650" s="5" t="n">
        <v>14</v>
      </c>
      <c r="C1650" s="5" t="n">
        <v>20</v>
      </c>
      <c r="D1650" s="18">
        <f>SEASON_HRS_TOM*B1650*(1+DIM_TOM)^B1650+SEASON_HRS_CAR*C1650*(1+DIM_CAR)^C1650</f>
        <v>5768.017767323079</v>
      </c>
      <c r="E1650" s="18">
        <f>(FARMER_FIELD_HRS+A1650*TEMP_HRS)-D1650</f>
        <v>-728.0177673230792</v>
      </c>
      <c r="F1650" s="21">
        <f>IF(E1650&lt;0,0,MIN(COUNTIF(Labor!$C$59:$C$88,"&lt;="&amp;E1650),MAXBED_MES,TOTAL_BEDS-B1650-C1650))</f>
        <v>0</v>
      </c>
      <c r="G1650" s="21">
        <f>B1650+C1650+F1650</f>
        <v>34</v>
      </c>
      <c r="H1650" s="22">
        <f>IF(E1650&lt;0,-999999999,B1650*(PRICE_TOM-FERT_TOM)+C1650*(PRICE_CAR-FERT_CAR)+F1650*(PRICE_MES-FERT_MES)-(FARMER_SALARY+A1650*TEMP_COST)-FIXED_COSTS)</f>
        <v>-999999999</v>
      </c>
    </row>
    <row r="1651">
      <c r="A1651" s="5" t="n">
        <v>3</v>
      </c>
      <c r="B1651" s="5" t="n">
        <v>15</v>
      </c>
      <c r="C1651" s="5" t="n">
        <v>0</v>
      </c>
      <c r="D1651" s="18">
        <f>SEASON_HRS_TOM*B1651*(1+DIM_TOM)^B1651+SEASON_HRS_CAR*C1651*(1+DIM_CAR)^C1651</f>
        <v>5639.285028711136</v>
      </c>
      <c r="E1651" s="18">
        <f>(FARMER_FIELD_HRS+A1651*TEMP_HRS)-D1651</f>
        <v>-599.285028711136</v>
      </c>
      <c r="F1651" s="21">
        <f>IF(E1651&lt;0,0,MIN(COUNTIF(Labor!$C$59:$C$88,"&lt;="&amp;E1651),MAXBED_MES,TOTAL_BEDS-B1651-C1651))</f>
        <v>0</v>
      </c>
      <c r="G1651" s="21">
        <f>B1651+C1651+F1651</f>
        <v>15</v>
      </c>
      <c r="H1651" s="22">
        <f>IF(E1651&lt;0,-999999999,B1651*(PRICE_TOM-FERT_TOM)+C1651*(PRICE_CAR-FERT_CAR)+F1651*(PRICE_MES-FERT_MES)-(FARMER_SALARY+A1651*TEMP_COST)-FIXED_COSTS)</f>
        <v>-999999999</v>
      </c>
    </row>
    <row r="1652">
      <c r="A1652" s="5" t="n">
        <v>3</v>
      </c>
      <c r="B1652" s="5" t="n">
        <v>15</v>
      </c>
      <c r="C1652" s="5" t="n">
        <v>1</v>
      </c>
      <c r="D1652" s="18">
        <f>SEASON_HRS_TOM*B1652*(1+DIM_TOM)^B1652+SEASON_HRS_CAR*C1652*(1+DIM_CAR)^C1652</f>
        <v>5670.035028711136</v>
      </c>
      <c r="E1652" s="18">
        <f>(FARMER_FIELD_HRS+A1652*TEMP_HRS)-D1652</f>
        <v>-630.035028711136</v>
      </c>
      <c r="F1652" s="21">
        <f>IF(E1652&lt;0,0,MIN(COUNTIF(Labor!$C$59:$C$88,"&lt;="&amp;E1652),MAXBED_MES,TOTAL_BEDS-B1652-C1652))</f>
        <v>0</v>
      </c>
      <c r="G1652" s="21">
        <f>B1652+C1652+F1652</f>
        <v>16</v>
      </c>
      <c r="H1652" s="22">
        <f>IF(E1652&lt;0,-999999999,B1652*(PRICE_TOM-FERT_TOM)+C1652*(PRICE_CAR-FERT_CAR)+F1652*(PRICE_MES-FERT_MES)-(FARMER_SALARY+A1652*TEMP_COST)-FIXED_COSTS)</f>
        <v>-999999999</v>
      </c>
    </row>
    <row r="1653">
      <c r="A1653" s="5" t="n">
        <v>3</v>
      </c>
      <c r="B1653" s="5" t="n">
        <v>15</v>
      </c>
      <c r="C1653" s="5" t="n">
        <v>2</v>
      </c>
      <c r="D1653" s="18">
        <f>SEASON_HRS_TOM*B1653*(1+DIM_TOM)^B1653+SEASON_HRS_CAR*C1653*(1+DIM_CAR)^C1653</f>
        <v>5702.322528711136</v>
      </c>
      <c r="E1653" s="18">
        <f>(FARMER_FIELD_HRS+A1653*TEMP_HRS)-D1653</f>
        <v>-662.3225287111363</v>
      </c>
      <c r="F1653" s="21">
        <f>IF(E1653&lt;0,0,MIN(COUNTIF(Labor!$C$59:$C$88,"&lt;="&amp;E1653),MAXBED_MES,TOTAL_BEDS-B1653-C1653))</f>
        <v>0</v>
      </c>
      <c r="G1653" s="21">
        <f>B1653+C1653+F1653</f>
        <v>17</v>
      </c>
      <c r="H1653" s="22">
        <f>IF(E1653&lt;0,-999999999,B1653*(PRICE_TOM-FERT_TOM)+C1653*(PRICE_CAR-FERT_CAR)+F1653*(PRICE_MES-FERT_MES)-(FARMER_SALARY+A1653*TEMP_COST)-FIXED_COSTS)</f>
        <v>-999999999</v>
      </c>
    </row>
    <row r="1654">
      <c r="A1654" s="5" t="n">
        <v>3</v>
      </c>
      <c r="B1654" s="5" t="n">
        <v>15</v>
      </c>
      <c r="C1654" s="5" t="n">
        <v>3</v>
      </c>
      <c r="D1654" s="18">
        <f>SEASON_HRS_TOM*B1654*(1+DIM_TOM)^B1654+SEASON_HRS_CAR*C1654*(1+DIM_CAR)^C1654</f>
        <v>5736.205184961136</v>
      </c>
      <c r="E1654" s="18">
        <f>(FARMER_FIELD_HRS+A1654*TEMP_HRS)-D1654</f>
        <v>-696.2051849611362</v>
      </c>
      <c r="F1654" s="21">
        <f>IF(E1654&lt;0,0,MIN(COUNTIF(Labor!$C$59:$C$88,"&lt;="&amp;E1654),MAXBED_MES,TOTAL_BEDS-B1654-C1654))</f>
        <v>0</v>
      </c>
      <c r="G1654" s="21">
        <f>B1654+C1654+F1654</f>
        <v>18</v>
      </c>
      <c r="H1654" s="22">
        <f>IF(E1654&lt;0,-999999999,B1654*(PRICE_TOM-FERT_TOM)+C1654*(PRICE_CAR-FERT_CAR)+F1654*(PRICE_MES-FERT_MES)-(FARMER_SALARY+A1654*TEMP_COST)-FIXED_COSTS)</f>
        <v>-999999999</v>
      </c>
    </row>
    <row r="1655">
      <c r="A1655" s="5" t="n">
        <v>3</v>
      </c>
      <c r="B1655" s="5" t="n">
        <v>15</v>
      </c>
      <c r="C1655" s="5" t="n">
        <v>4</v>
      </c>
      <c r="D1655" s="18">
        <f>SEASON_HRS_TOM*B1655*(1+DIM_TOM)^B1655+SEASON_HRS_CAR*C1655*(1+DIM_CAR)^C1655</f>
        <v>5771.742575586136</v>
      </c>
      <c r="E1655" s="18">
        <f>(FARMER_FIELD_HRS+A1655*TEMP_HRS)-D1655</f>
        <v>-731.7425755861359</v>
      </c>
      <c r="F1655" s="21">
        <f>IF(E1655&lt;0,0,MIN(COUNTIF(Labor!$C$59:$C$88,"&lt;="&amp;E1655),MAXBED_MES,TOTAL_BEDS-B1655-C1655))</f>
        <v>0</v>
      </c>
      <c r="G1655" s="21">
        <f>B1655+C1655+F1655</f>
        <v>19</v>
      </c>
      <c r="H1655" s="22">
        <f>IF(E1655&lt;0,-999999999,B1655*(PRICE_TOM-FERT_TOM)+C1655*(PRICE_CAR-FERT_CAR)+F1655*(PRICE_MES-FERT_MES)-(FARMER_SALARY+A1655*TEMP_COST)-FIXED_COSTS)</f>
        <v>-999999999</v>
      </c>
    </row>
    <row r="1656">
      <c r="A1656" s="5" t="n">
        <v>3</v>
      </c>
      <c r="B1656" s="5" t="n">
        <v>15</v>
      </c>
      <c r="C1656" s="5" t="n">
        <v>5</v>
      </c>
      <c r="D1656" s="18">
        <f>SEASON_HRS_TOM*B1656*(1+DIM_TOM)^B1656+SEASON_HRS_CAR*C1656*(1+DIM_CAR)^C1656</f>
        <v>5808.99626064473</v>
      </c>
      <c r="E1656" s="18">
        <f>(FARMER_FIELD_HRS+A1656*TEMP_HRS)-D1656</f>
        <v>-768.9962606447298</v>
      </c>
      <c r="F1656" s="21">
        <f>IF(E1656&lt;0,0,MIN(COUNTIF(Labor!$C$59:$C$88,"&lt;="&amp;E1656),MAXBED_MES,TOTAL_BEDS-B1656-C1656))</f>
        <v>0</v>
      </c>
      <c r="G1656" s="21">
        <f>B1656+C1656+F1656</f>
        <v>20</v>
      </c>
      <c r="H1656" s="22">
        <f>IF(E1656&lt;0,-999999999,B1656*(PRICE_TOM-FERT_TOM)+C1656*(PRICE_CAR-FERT_CAR)+F1656*(PRICE_MES-FERT_MES)-(FARMER_SALARY+A1656*TEMP_COST)-FIXED_COSTS)</f>
        <v>-999999999</v>
      </c>
    </row>
    <row r="1657">
      <c r="A1657" s="5" t="n">
        <v>3</v>
      </c>
      <c r="B1657" s="5" t="n">
        <v>15</v>
      </c>
      <c r="C1657" s="5" t="n">
        <v>6</v>
      </c>
      <c r="D1657" s="18">
        <f>SEASON_HRS_TOM*B1657*(1+DIM_TOM)^B1657+SEASON_HRS_CAR*C1657*(1+DIM_CAR)^C1657</f>
        <v>5848.029843989456</v>
      </c>
      <c r="E1657" s="18">
        <f>(FARMER_FIELD_HRS+A1657*TEMP_HRS)-D1657</f>
        <v>-808.0298439894559</v>
      </c>
      <c r="F1657" s="21">
        <f>IF(E1657&lt;0,0,MIN(COUNTIF(Labor!$C$59:$C$88,"&lt;="&amp;E1657),MAXBED_MES,TOTAL_BEDS-B1657-C1657))</f>
        <v>0</v>
      </c>
      <c r="G1657" s="21">
        <f>B1657+C1657+F1657</f>
        <v>21</v>
      </c>
      <c r="H1657" s="22">
        <f>IF(E1657&lt;0,-999999999,B1657*(PRICE_TOM-FERT_TOM)+C1657*(PRICE_CAR-FERT_CAR)+F1657*(PRICE_MES-FERT_MES)-(FARMER_SALARY+A1657*TEMP_COST)-FIXED_COSTS)</f>
        <v>-999999999</v>
      </c>
    </row>
    <row r="1658">
      <c r="A1658" s="5" t="n">
        <v>3</v>
      </c>
      <c r="B1658" s="5" t="n">
        <v>15</v>
      </c>
      <c r="C1658" s="5" t="n">
        <v>7</v>
      </c>
      <c r="D1658" s="18">
        <f>SEASON_HRS_TOM*B1658*(1+DIM_TOM)^B1658+SEASON_HRS_CAR*C1658*(1+DIM_CAR)^C1658</f>
        <v>5888.90903698146</v>
      </c>
      <c r="E1658" s="18">
        <f>(FARMER_FIELD_HRS+A1658*TEMP_HRS)-D1658</f>
        <v>-848.9090369814603</v>
      </c>
      <c r="F1658" s="21">
        <f>IF(E1658&lt;0,0,MIN(COUNTIF(Labor!$C$59:$C$88,"&lt;="&amp;E1658),MAXBED_MES,TOTAL_BEDS-B1658-C1658))</f>
        <v>0</v>
      </c>
      <c r="G1658" s="21">
        <f>B1658+C1658+F1658</f>
        <v>22</v>
      </c>
      <c r="H1658" s="22">
        <f>IF(E1658&lt;0,-999999999,B1658*(PRICE_TOM-FERT_TOM)+C1658*(PRICE_CAR-FERT_CAR)+F1658*(PRICE_MES-FERT_MES)-(FARMER_SALARY+A1658*TEMP_COST)-FIXED_COSTS)</f>
        <v>-999999999</v>
      </c>
    </row>
    <row r="1659">
      <c r="A1659" s="5" t="n">
        <v>3</v>
      </c>
      <c r="B1659" s="5" t="n">
        <v>15</v>
      </c>
      <c r="C1659" s="5" t="n">
        <v>8</v>
      </c>
      <c r="D1659" s="18">
        <f>SEASON_HRS_TOM*B1659*(1+DIM_TOM)^B1659+SEASON_HRS_CAR*C1659*(1+DIM_CAR)^C1659</f>
        <v>5931.701724113516</v>
      </c>
      <c r="E1659" s="18">
        <f>(FARMER_FIELD_HRS+A1659*TEMP_HRS)-D1659</f>
        <v>-891.7017241135163</v>
      </c>
      <c r="F1659" s="21">
        <f>IF(E1659&lt;0,0,MIN(COUNTIF(Labor!$C$59:$C$88,"&lt;="&amp;E1659),MAXBED_MES,TOTAL_BEDS-B1659-C1659))</f>
        <v>0</v>
      </c>
      <c r="G1659" s="21">
        <f>B1659+C1659+F1659</f>
        <v>23</v>
      </c>
      <c r="H1659" s="22">
        <f>IF(E1659&lt;0,-999999999,B1659*(PRICE_TOM-FERT_TOM)+C1659*(PRICE_CAR-FERT_CAR)+F1659*(PRICE_MES-FERT_MES)-(FARMER_SALARY+A1659*TEMP_COST)-FIXED_COSTS)</f>
        <v>-999999999</v>
      </c>
    </row>
    <row r="1660">
      <c r="A1660" s="5" t="n">
        <v>3</v>
      </c>
      <c r="B1660" s="5" t="n">
        <v>15</v>
      </c>
      <c r="C1660" s="5" t="n">
        <v>9</v>
      </c>
      <c r="D1660" s="18">
        <f>SEASON_HRS_TOM*B1660*(1+DIM_TOM)^B1660+SEASON_HRS_CAR*C1660*(1+DIM_CAR)^C1660</f>
        <v>5976.478030597005</v>
      </c>
      <c r="E1660" s="18">
        <f>(FARMER_FIELD_HRS+A1660*TEMP_HRS)-D1660</f>
        <v>-936.4780305970053</v>
      </c>
      <c r="F1660" s="21">
        <f>IF(E1660&lt;0,0,MIN(COUNTIF(Labor!$C$59:$C$88,"&lt;="&amp;E1660),MAXBED_MES,TOTAL_BEDS-B1660-C1660))</f>
        <v>0</v>
      </c>
      <c r="G1660" s="21">
        <f>B1660+C1660+F1660</f>
        <v>24</v>
      </c>
      <c r="H1660" s="22">
        <f>IF(E1660&lt;0,-999999999,B1660*(PRICE_TOM-FERT_TOM)+C1660*(PRICE_CAR-FERT_CAR)+F1660*(PRICE_MES-FERT_MES)-(FARMER_SALARY+A1660*TEMP_COST)-FIXED_COSTS)</f>
        <v>-999999999</v>
      </c>
    </row>
    <row r="1661">
      <c r="A1661" s="5" t="n">
        <v>3</v>
      </c>
      <c r="B1661" s="5" t="n">
        <v>15</v>
      </c>
      <c r="C1661" s="5" t="n">
        <v>10</v>
      </c>
      <c r="D1661" s="18">
        <f>SEASON_HRS_TOM*B1661*(1+DIM_TOM)^B1661+SEASON_HRS_CAR*C1661*(1+DIM_CAR)^C1661</f>
        <v>6023.310391970043</v>
      </c>
      <c r="E1661" s="18">
        <f>(FARMER_FIELD_HRS+A1661*TEMP_HRS)-D1661</f>
        <v>-983.3103919700434</v>
      </c>
      <c r="F1661" s="21">
        <f>IF(E1661&lt;0,0,MIN(COUNTIF(Labor!$C$59:$C$88,"&lt;="&amp;E1661),MAXBED_MES,TOTAL_BEDS-B1661-C1661))</f>
        <v>0</v>
      </c>
      <c r="G1661" s="21">
        <f>B1661+C1661+F1661</f>
        <v>25</v>
      </c>
      <c r="H1661" s="22">
        <f>IF(E1661&lt;0,-999999999,B1661*(PRICE_TOM-FERT_TOM)+C1661*(PRICE_CAR-FERT_CAR)+F1661*(PRICE_MES-FERT_MES)-(FARMER_SALARY+A1661*TEMP_COST)-FIXED_COSTS)</f>
        <v>-999999999</v>
      </c>
    </row>
    <row r="1662">
      <c r="A1662" s="5" t="n">
        <v>3</v>
      </c>
      <c r="B1662" s="5" t="n">
        <v>15</v>
      </c>
      <c r="C1662" s="5" t="n">
        <v>11</v>
      </c>
      <c r="D1662" s="18">
        <f>SEASON_HRS_TOM*B1662*(1+DIM_TOM)^B1662+SEASON_HRS_CAR*C1662*(1+DIM_CAR)^C1662</f>
        <v>6072.273625785554</v>
      </c>
      <c r="E1662" s="18">
        <f>(FARMER_FIELD_HRS+A1662*TEMP_HRS)-D1662</f>
        <v>-1032.273625785554</v>
      </c>
      <c r="F1662" s="21">
        <f>IF(E1662&lt;0,0,MIN(COUNTIF(Labor!$C$59:$C$88,"&lt;="&amp;E1662),MAXBED_MES,TOTAL_BEDS-B1662-C1662))</f>
        <v>0</v>
      </c>
      <c r="G1662" s="21">
        <f>B1662+C1662+F1662</f>
        <v>26</v>
      </c>
      <c r="H1662" s="22">
        <f>IF(E1662&lt;0,-999999999,B1662*(PRICE_TOM-FERT_TOM)+C1662*(PRICE_CAR-FERT_CAR)+F1662*(PRICE_MES-FERT_MES)-(FARMER_SALARY+A1662*TEMP_COST)-FIXED_COSTS)</f>
        <v>-999999999</v>
      </c>
    </row>
    <row r="1663">
      <c r="A1663" s="5" t="n">
        <v>3</v>
      </c>
      <c r="B1663" s="5" t="n">
        <v>15</v>
      </c>
      <c r="C1663" s="5" t="n">
        <v>12</v>
      </c>
      <c r="D1663" s="18">
        <f>SEASON_HRS_TOM*B1663*(1+DIM_TOM)^B1663+SEASON_HRS_CAR*C1663*(1+DIM_CAR)^C1663</f>
        <v>6123.445005439803</v>
      </c>
      <c r="E1663" s="18">
        <f>(FARMER_FIELD_HRS+A1663*TEMP_HRS)-D1663</f>
        <v>-1083.445005439803</v>
      </c>
      <c r="F1663" s="21">
        <f>IF(E1663&lt;0,0,MIN(COUNTIF(Labor!$C$59:$C$88,"&lt;="&amp;E1663),MAXBED_MES,TOTAL_BEDS-B1663-C1663))</f>
        <v>0</v>
      </c>
      <c r="G1663" s="21">
        <f>B1663+C1663+F1663</f>
        <v>27</v>
      </c>
      <c r="H1663" s="22">
        <f>IF(E1663&lt;0,-999999999,B1663*(PRICE_TOM-FERT_TOM)+C1663*(PRICE_CAR-FERT_CAR)+F1663*(PRICE_MES-FERT_MES)-(FARMER_SALARY+A1663*TEMP_COST)-FIXED_COSTS)</f>
        <v>-999999999</v>
      </c>
    </row>
    <row r="1664">
      <c r="A1664" s="5" t="n">
        <v>3</v>
      </c>
      <c r="B1664" s="5" t="n">
        <v>15</v>
      </c>
      <c r="C1664" s="5" t="n">
        <v>13</v>
      </c>
      <c r="D1664" s="18">
        <f>SEASON_HRS_TOM*B1664*(1+DIM_TOM)^B1664+SEASON_HRS_CAR*C1664*(1+DIM_CAR)^C1664</f>
        <v>6176.904336203593</v>
      </c>
      <c r="E1664" s="18">
        <f>(FARMER_FIELD_HRS+A1664*TEMP_HRS)-D1664</f>
        <v>-1136.9043362035927</v>
      </c>
      <c r="F1664" s="21">
        <f>IF(E1664&lt;0,0,MIN(COUNTIF(Labor!$C$59:$C$88,"&lt;="&amp;E1664),MAXBED_MES,TOTAL_BEDS-B1664-C1664))</f>
        <v>0</v>
      </c>
      <c r="G1664" s="21">
        <f>B1664+C1664+F1664</f>
        <v>28</v>
      </c>
      <c r="H1664" s="22">
        <f>IF(E1664&lt;0,-999999999,B1664*(PRICE_TOM-FERT_TOM)+C1664*(PRICE_CAR-FERT_CAR)+F1664*(PRICE_MES-FERT_MES)-(FARMER_SALARY+A1664*TEMP_COST)-FIXED_COSTS)</f>
        <v>-999999999</v>
      </c>
    </row>
    <row r="1665">
      <c r="A1665" s="5" t="n">
        <v>3</v>
      </c>
      <c r="B1665" s="5" t="n">
        <v>15</v>
      </c>
      <c r="C1665" s="5" t="n">
        <v>14</v>
      </c>
      <c r="D1665" s="18">
        <f>SEASON_HRS_TOM*B1665*(1+DIM_TOM)^B1665+SEASON_HRS_CAR*C1665*(1+DIM_CAR)^C1665</f>
        <v>6232.734033520118</v>
      </c>
      <c r="E1665" s="18">
        <f>(FARMER_FIELD_HRS+A1665*TEMP_HRS)-D1665</f>
        <v>-1192.734033520118</v>
      </c>
      <c r="F1665" s="21">
        <f>IF(E1665&lt;0,0,MIN(COUNTIF(Labor!$C$59:$C$88,"&lt;="&amp;E1665),MAXBED_MES,TOTAL_BEDS-B1665-C1665))</f>
        <v>0</v>
      </c>
      <c r="G1665" s="21">
        <f>B1665+C1665+F1665</f>
        <v>29</v>
      </c>
      <c r="H1665" s="22">
        <f>IF(E1665&lt;0,-999999999,B1665*(PRICE_TOM-FERT_TOM)+C1665*(PRICE_CAR-FERT_CAR)+F1665*(PRICE_MES-FERT_MES)-(FARMER_SALARY+A1665*TEMP_COST)-FIXED_COSTS)</f>
        <v>-999999999</v>
      </c>
    </row>
    <row r="1666">
      <c r="A1666" s="5" t="n">
        <v>3</v>
      </c>
      <c r="B1666" s="5" t="n">
        <v>15</v>
      </c>
      <c r="C1666" s="5" t="n">
        <v>15</v>
      </c>
      <c r="D1666" s="18">
        <f>SEASON_HRS_TOM*B1666*(1+DIM_TOM)^B1666+SEASON_HRS_CAR*C1666*(1+DIM_CAR)^C1666</f>
        <v>6291.0192036352855</v>
      </c>
      <c r="E1666" s="18">
        <f>(FARMER_FIELD_HRS+A1666*TEMP_HRS)-D1666</f>
        <v>-1251.0192036352855</v>
      </c>
      <c r="F1666" s="21">
        <f>IF(E1666&lt;0,0,MIN(COUNTIF(Labor!$C$59:$C$88,"&lt;="&amp;E1666),MAXBED_MES,TOTAL_BEDS-B1666-C1666))</f>
        <v>0</v>
      </c>
      <c r="G1666" s="21">
        <f>B1666+C1666+F1666</f>
        <v>30</v>
      </c>
      <c r="H1666" s="22">
        <f>IF(E1666&lt;0,-999999999,B1666*(PRICE_TOM-FERT_TOM)+C1666*(PRICE_CAR-FERT_CAR)+F1666*(PRICE_MES-FERT_MES)-(FARMER_SALARY+A1666*TEMP_COST)-FIXED_COSTS)</f>
        <v>-999999999</v>
      </c>
    </row>
    <row r="1667">
      <c r="A1667" s="5" t="n">
        <v>3</v>
      </c>
      <c r="B1667" s="5" t="n">
        <v>15</v>
      </c>
      <c r="C1667" s="5" t="n">
        <v>16</v>
      </c>
      <c r="D1667" s="18">
        <f>SEASON_HRS_TOM*B1667*(1+DIM_TOM)^B1667+SEASON_HRS_CAR*C1667*(1+DIM_CAR)^C1667</f>
        <v>6351.847726628206</v>
      </c>
      <c r="E1667" s="18">
        <f>(FARMER_FIELD_HRS+A1667*TEMP_HRS)-D1667</f>
        <v>-1311.8477266282061</v>
      </c>
      <c r="F1667" s="21">
        <f>IF(E1667&lt;0,0,MIN(COUNTIF(Labor!$C$59:$C$88,"&lt;="&amp;E1667),MAXBED_MES,TOTAL_BEDS-B1667-C1667))</f>
        <v>0</v>
      </c>
      <c r="G1667" s="21">
        <f>B1667+C1667+F1667</f>
        <v>31</v>
      </c>
      <c r="H1667" s="22">
        <f>IF(E1667&lt;0,-999999999,B1667*(PRICE_TOM-FERT_TOM)+C1667*(PRICE_CAR-FERT_CAR)+F1667*(PRICE_MES-FERT_MES)-(FARMER_SALARY+A1667*TEMP_COST)-FIXED_COSTS)</f>
        <v>-999999999</v>
      </c>
    </row>
    <row r="1668">
      <c r="A1668" s="5" t="n">
        <v>3</v>
      </c>
      <c r="B1668" s="5" t="n">
        <v>15</v>
      </c>
      <c r="C1668" s="5" t="n">
        <v>17</v>
      </c>
      <c r="D1668" s="18">
        <f>SEASON_HRS_TOM*B1668*(1+DIM_TOM)^B1668+SEASON_HRS_CAR*C1668*(1+DIM_CAR)^C1668</f>
        <v>6415.310341911445</v>
      </c>
      <c r="E1668" s="18">
        <f>(FARMER_FIELD_HRS+A1668*TEMP_HRS)-D1668</f>
        <v>-1375.310341911445</v>
      </c>
      <c r="F1668" s="21">
        <f>IF(E1668&lt;0,0,MIN(COUNTIF(Labor!$C$59:$C$88,"&lt;="&amp;E1668),MAXBED_MES,TOTAL_BEDS-B1668-C1668))</f>
        <v>0</v>
      </c>
      <c r="G1668" s="21">
        <f>B1668+C1668+F1668</f>
        <v>32</v>
      </c>
      <c r="H1668" s="22">
        <f>IF(E1668&lt;0,-999999999,B1668*(PRICE_TOM-FERT_TOM)+C1668*(PRICE_CAR-FERT_CAR)+F1668*(PRICE_MES-FERT_MES)-(FARMER_SALARY+A1668*TEMP_COST)-FIXED_COSTS)</f>
        <v>-999999999</v>
      </c>
    </row>
    <row r="1669">
      <c r="A1669" s="5" t="n">
        <v>3</v>
      </c>
      <c r="B1669" s="5" t="n">
        <v>15</v>
      </c>
      <c r="C1669" s="5" t="n">
        <v>18</v>
      </c>
      <c r="D1669" s="18">
        <f>SEASON_HRS_TOM*B1669*(1+DIM_TOM)^B1669+SEASON_HRS_CAR*C1669*(1+DIM_CAR)^C1669</f>
        <v>6481.500736272647</v>
      </c>
      <c r="E1669" s="18">
        <f>(FARMER_FIELD_HRS+A1669*TEMP_HRS)-D1669</f>
        <v>-1441.5007362726474</v>
      </c>
      <c r="F1669" s="21">
        <f>IF(E1669&lt;0,0,MIN(COUNTIF(Labor!$C$59:$C$88,"&lt;="&amp;E1669),MAXBED_MES,TOTAL_BEDS-B1669-C1669))</f>
        <v>0</v>
      </c>
      <c r="G1669" s="21">
        <f>B1669+C1669+F1669</f>
        <v>33</v>
      </c>
      <c r="H1669" s="22">
        <f>IF(E1669&lt;0,-999999999,B1669*(PRICE_TOM-FERT_TOM)+C1669*(PRICE_CAR-FERT_CAR)+F1669*(PRICE_MES-FERT_MES)-(FARMER_SALARY+A1669*TEMP_COST)-FIXED_COSTS)</f>
        <v>-999999999</v>
      </c>
    </row>
    <row r="1670">
      <c r="A1670" s="5" t="n">
        <v>3</v>
      </c>
      <c r="B1670" s="5" t="n">
        <v>15</v>
      </c>
      <c r="C1670" s="5" t="n">
        <v>19</v>
      </c>
      <c r="D1670" s="18">
        <f>SEASON_HRS_TOM*B1670*(1+DIM_TOM)^B1670+SEASON_HRS_CAR*C1670*(1+DIM_CAR)^C1670</f>
        <v>6550.51563453116</v>
      </c>
      <c r="E1670" s="18">
        <f>(FARMER_FIELD_HRS+A1670*TEMP_HRS)-D1670</f>
        <v>-1510.5156345311598</v>
      </c>
      <c r="F1670" s="21">
        <f>IF(E1670&lt;0,0,MIN(COUNTIF(Labor!$C$59:$C$88,"&lt;="&amp;E1670),MAXBED_MES,TOTAL_BEDS-B1670-C1670))</f>
        <v>0</v>
      </c>
      <c r="G1670" s="21">
        <f>B1670+C1670+F1670</f>
        <v>34</v>
      </c>
      <c r="H1670" s="22">
        <f>IF(E1670&lt;0,-999999999,B1670*(PRICE_TOM-FERT_TOM)+C1670*(PRICE_CAR-FERT_CAR)+F1670*(PRICE_MES-FERT_MES)-(FARMER_SALARY+A1670*TEMP_COST)-FIXED_COSTS)</f>
        <v>-999999999</v>
      </c>
    </row>
    <row r="1671">
      <c r="A1671" s="5" t="n">
        <v>3</v>
      </c>
      <c r="B1671" s="5" t="n">
        <v>15</v>
      </c>
      <c r="C1671" s="5" t="n">
        <v>20</v>
      </c>
      <c r="D1671" s="18">
        <f>SEASON_HRS_TOM*B1671*(1+DIM_TOM)^B1671+SEASON_HRS_CAR*C1671*(1+DIM_CAR)^C1671</f>
        <v>6622.454892885373</v>
      </c>
      <c r="E1671" s="18">
        <f>(FARMER_FIELD_HRS+A1671*TEMP_HRS)-D1671</f>
        <v>-1582.4548928853728</v>
      </c>
      <c r="F1671" s="21">
        <f>IF(E1671&lt;0,0,MIN(COUNTIF(Labor!$C$59:$C$88,"&lt;="&amp;E1671),MAXBED_MES,TOTAL_BEDS-B1671-C1671))</f>
        <v>0</v>
      </c>
      <c r="G1671" s="21">
        <f>B1671+C1671+F1671</f>
        <v>35</v>
      </c>
      <c r="H1671" s="22">
        <f>IF(E1671&lt;0,-999999999,B1671*(PRICE_TOM-FERT_TOM)+C1671*(PRICE_CAR-FERT_CAR)+F1671*(PRICE_MES-FERT_MES)-(FARMER_SALARY+A1671*TEMP_COST)-FIXED_COSTS)</f>
        <v>-999999999</v>
      </c>
    </row>
    <row r="1672">
      <c r="A1672" s="5" t="n">
        <v>3</v>
      </c>
      <c r="B1672" s="5" t="n">
        <v>16</v>
      </c>
      <c r="C1672" s="5" t="n">
        <v>0</v>
      </c>
      <c r="D1672" s="18">
        <f>SEASON_HRS_TOM*B1672*(1+DIM_TOM)^B1672+SEASON_HRS_CAR*C1672*(1+DIM_CAR)^C1672</f>
        <v>6616.7611003544</v>
      </c>
      <c r="E1672" s="18">
        <f>(FARMER_FIELD_HRS+A1672*TEMP_HRS)-D1672</f>
        <v>-1576.7611003543998</v>
      </c>
      <c r="F1672" s="21">
        <f>IF(E1672&lt;0,0,MIN(COUNTIF(Labor!$C$59:$C$88,"&lt;="&amp;E1672),MAXBED_MES,TOTAL_BEDS-B1672-C1672))</f>
        <v>0</v>
      </c>
      <c r="G1672" s="21">
        <f>B1672+C1672+F1672</f>
        <v>16</v>
      </c>
      <c r="H1672" s="22">
        <f>IF(E1672&lt;0,-999999999,B1672*(PRICE_TOM-FERT_TOM)+C1672*(PRICE_CAR-FERT_CAR)+F1672*(PRICE_MES-FERT_MES)-(FARMER_SALARY+A1672*TEMP_COST)-FIXED_COSTS)</f>
        <v>-999999999</v>
      </c>
    </row>
    <row r="1673">
      <c r="A1673" s="5" t="n">
        <v>3</v>
      </c>
      <c r="B1673" s="5" t="n">
        <v>16</v>
      </c>
      <c r="C1673" s="5" t="n">
        <v>1</v>
      </c>
      <c r="D1673" s="18">
        <f>SEASON_HRS_TOM*B1673*(1+DIM_TOM)^B1673+SEASON_HRS_CAR*C1673*(1+DIM_CAR)^C1673</f>
        <v>6647.5111003544</v>
      </c>
      <c r="E1673" s="18">
        <f>(FARMER_FIELD_HRS+A1673*TEMP_HRS)-D1673</f>
        <v>-1607.5111003543998</v>
      </c>
      <c r="F1673" s="21">
        <f>IF(E1673&lt;0,0,MIN(COUNTIF(Labor!$C$59:$C$88,"&lt;="&amp;E1673),MAXBED_MES,TOTAL_BEDS-B1673-C1673))</f>
        <v>0</v>
      </c>
      <c r="G1673" s="21">
        <f>B1673+C1673+F1673</f>
        <v>17</v>
      </c>
      <c r="H1673" s="22">
        <f>IF(E1673&lt;0,-999999999,B1673*(PRICE_TOM-FERT_TOM)+C1673*(PRICE_CAR-FERT_CAR)+F1673*(PRICE_MES-FERT_MES)-(FARMER_SALARY+A1673*TEMP_COST)-FIXED_COSTS)</f>
        <v>-999999999</v>
      </c>
    </row>
    <row r="1674">
      <c r="A1674" s="5" t="n">
        <v>3</v>
      </c>
      <c r="B1674" s="5" t="n">
        <v>16</v>
      </c>
      <c r="C1674" s="5" t="n">
        <v>2</v>
      </c>
      <c r="D1674" s="18">
        <f>SEASON_HRS_TOM*B1674*(1+DIM_TOM)^B1674+SEASON_HRS_CAR*C1674*(1+DIM_CAR)^C1674</f>
        <v>6679.7986003544</v>
      </c>
      <c r="E1674" s="18">
        <f>(FARMER_FIELD_HRS+A1674*TEMP_HRS)-D1674</f>
        <v>-1639.7986003544002</v>
      </c>
      <c r="F1674" s="21">
        <f>IF(E1674&lt;0,0,MIN(COUNTIF(Labor!$C$59:$C$88,"&lt;="&amp;E1674),MAXBED_MES,TOTAL_BEDS-B1674-C1674))</f>
        <v>0</v>
      </c>
      <c r="G1674" s="21">
        <f>B1674+C1674+F1674</f>
        <v>18</v>
      </c>
      <c r="H1674" s="22">
        <f>IF(E1674&lt;0,-999999999,B1674*(PRICE_TOM-FERT_TOM)+C1674*(PRICE_CAR-FERT_CAR)+F1674*(PRICE_MES-FERT_MES)-(FARMER_SALARY+A1674*TEMP_COST)-FIXED_COSTS)</f>
        <v>-999999999</v>
      </c>
    </row>
    <row r="1675">
      <c r="A1675" s="5" t="n">
        <v>3</v>
      </c>
      <c r="B1675" s="5" t="n">
        <v>16</v>
      </c>
      <c r="C1675" s="5" t="n">
        <v>3</v>
      </c>
      <c r="D1675" s="18">
        <f>SEASON_HRS_TOM*B1675*(1+DIM_TOM)^B1675+SEASON_HRS_CAR*C1675*(1+DIM_CAR)^C1675</f>
        <v>6713.6812566044</v>
      </c>
      <c r="E1675" s="18">
        <f>(FARMER_FIELD_HRS+A1675*TEMP_HRS)-D1675</f>
        <v>-1673.6812566044</v>
      </c>
      <c r="F1675" s="21">
        <f>IF(E1675&lt;0,0,MIN(COUNTIF(Labor!$C$59:$C$88,"&lt;="&amp;E1675),MAXBED_MES,TOTAL_BEDS-B1675-C1675))</f>
        <v>0</v>
      </c>
      <c r="G1675" s="21">
        <f>B1675+C1675+F1675</f>
        <v>19</v>
      </c>
      <c r="H1675" s="22">
        <f>IF(E1675&lt;0,-999999999,B1675*(PRICE_TOM-FERT_TOM)+C1675*(PRICE_CAR-FERT_CAR)+F1675*(PRICE_MES-FERT_MES)-(FARMER_SALARY+A1675*TEMP_COST)-FIXED_COSTS)</f>
        <v>-999999999</v>
      </c>
    </row>
    <row r="1676">
      <c r="A1676" s="5" t="n">
        <v>3</v>
      </c>
      <c r="B1676" s="5" t="n">
        <v>16</v>
      </c>
      <c r="C1676" s="5" t="n">
        <v>4</v>
      </c>
      <c r="D1676" s="18">
        <f>SEASON_HRS_TOM*B1676*(1+DIM_TOM)^B1676+SEASON_HRS_CAR*C1676*(1+DIM_CAR)^C1676</f>
        <v>6749.2186472294</v>
      </c>
      <c r="E1676" s="18">
        <f>(FARMER_FIELD_HRS+A1676*TEMP_HRS)-D1676</f>
        <v>-1709.2186472293997</v>
      </c>
      <c r="F1676" s="21">
        <f>IF(E1676&lt;0,0,MIN(COUNTIF(Labor!$C$59:$C$88,"&lt;="&amp;E1676),MAXBED_MES,TOTAL_BEDS-B1676-C1676))</f>
        <v>0</v>
      </c>
      <c r="G1676" s="21">
        <f>B1676+C1676+F1676</f>
        <v>20</v>
      </c>
      <c r="H1676" s="22">
        <f>IF(E1676&lt;0,-999999999,B1676*(PRICE_TOM-FERT_TOM)+C1676*(PRICE_CAR-FERT_CAR)+F1676*(PRICE_MES-FERT_MES)-(FARMER_SALARY+A1676*TEMP_COST)-FIXED_COSTS)</f>
        <v>-999999999</v>
      </c>
    </row>
    <row r="1677">
      <c r="A1677" s="5" t="n">
        <v>3</v>
      </c>
      <c r="B1677" s="5" t="n">
        <v>16</v>
      </c>
      <c r="C1677" s="5" t="n">
        <v>5</v>
      </c>
      <c r="D1677" s="18">
        <f>SEASON_HRS_TOM*B1677*(1+DIM_TOM)^B1677+SEASON_HRS_CAR*C1677*(1+DIM_CAR)^C1677</f>
        <v>6786.472332287994</v>
      </c>
      <c r="E1677" s="18">
        <f>(FARMER_FIELD_HRS+A1677*TEMP_HRS)-D1677</f>
        <v>-1746.4723322879936</v>
      </c>
      <c r="F1677" s="21">
        <f>IF(E1677&lt;0,0,MIN(COUNTIF(Labor!$C$59:$C$88,"&lt;="&amp;E1677),MAXBED_MES,TOTAL_BEDS-B1677-C1677))</f>
        <v>0</v>
      </c>
      <c r="G1677" s="21">
        <f>B1677+C1677+F1677</f>
        <v>21</v>
      </c>
      <c r="H1677" s="22">
        <f>IF(E1677&lt;0,-999999999,B1677*(PRICE_TOM-FERT_TOM)+C1677*(PRICE_CAR-FERT_CAR)+F1677*(PRICE_MES-FERT_MES)-(FARMER_SALARY+A1677*TEMP_COST)-FIXED_COSTS)</f>
        <v>-999999999</v>
      </c>
    </row>
    <row r="1678">
      <c r="A1678" s="5" t="n">
        <v>3</v>
      </c>
      <c r="B1678" s="5" t="n">
        <v>16</v>
      </c>
      <c r="C1678" s="5" t="n">
        <v>6</v>
      </c>
      <c r="D1678" s="18">
        <f>SEASON_HRS_TOM*B1678*(1+DIM_TOM)^B1678+SEASON_HRS_CAR*C1678*(1+DIM_CAR)^C1678</f>
        <v>6825.50591563272</v>
      </c>
      <c r="E1678" s="18">
        <f>(FARMER_FIELD_HRS+A1678*TEMP_HRS)-D1678</f>
        <v>-1785.5059156327197</v>
      </c>
      <c r="F1678" s="21">
        <f>IF(E1678&lt;0,0,MIN(COUNTIF(Labor!$C$59:$C$88,"&lt;="&amp;E1678),MAXBED_MES,TOTAL_BEDS-B1678-C1678))</f>
        <v>0</v>
      </c>
      <c r="G1678" s="21">
        <f>B1678+C1678+F1678</f>
        <v>22</v>
      </c>
      <c r="H1678" s="22">
        <f>IF(E1678&lt;0,-999999999,B1678*(PRICE_TOM-FERT_TOM)+C1678*(PRICE_CAR-FERT_CAR)+F1678*(PRICE_MES-FERT_MES)-(FARMER_SALARY+A1678*TEMP_COST)-FIXED_COSTS)</f>
        <v>-999999999</v>
      </c>
    </row>
    <row r="1679">
      <c r="A1679" s="5" t="n">
        <v>3</v>
      </c>
      <c r="B1679" s="5" t="n">
        <v>16</v>
      </c>
      <c r="C1679" s="5" t="n">
        <v>7</v>
      </c>
      <c r="D1679" s="18">
        <f>SEASON_HRS_TOM*B1679*(1+DIM_TOM)^B1679+SEASON_HRS_CAR*C1679*(1+DIM_CAR)^C1679</f>
        <v>6866.385108624724</v>
      </c>
      <c r="E1679" s="18">
        <f>(FARMER_FIELD_HRS+A1679*TEMP_HRS)-D1679</f>
        <v>-1826.3851086247241</v>
      </c>
      <c r="F1679" s="21">
        <f>IF(E1679&lt;0,0,MIN(COUNTIF(Labor!$C$59:$C$88,"&lt;="&amp;E1679),MAXBED_MES,TOTAL_BEDS-B1679-C1679))</f>
        <v>0</v>
      </c>
      <c r="G1679" s="21">
        <f>B1679+C1679+F1679</f>
        <v>23</v>
      </c>
      <c r="H1679" s="22">
        <f>IF(E1679&lt;0,-999999999,B1679*(PRICE_TOM-FERT_TOM)+C1679*(PRICE_CAR-FERT_CAR)+F1679*(PRICE_MES-FERT_MES)-(FARMER_SALARY+A1679*TEMP_COST)-FIXED_COSTS)</f>
        <v>-999999999</v>
      </c>
    </row>
    <row r="1680">
      <c r="A1680" s="5" t="n">
        <v>3</v>
      </c>
      <c r="B1680" s="5" t="n">
        <v>16</v>
      </c>
      <c r="C1680" s="5" t="n">
        <v>8</v>
      </c>
      <c r="D1680" s="18">
        <f>SEASON_HRS_TOM*B1680*(1+DIM_TOM)^B1680+SEASON_HRS_CAR*C1680*(1+DIM_CAR)^C1680</f>
        <v>6909.17779575678</v>
      </c>
      <c r="E1680" s="18">
        <f>(FARMER_FIELD_HRS+A1680*TEMP_HRS)-D1680</f>
        <v>-1869.1777957567801</v>
      </c>
      <c r="F1680" s="21">
        <f>IF(E1680&lt;0,0,MIN(COUNTIF(Labor!$C$59:$C$88,"&lt;="&amp;E1680),MAXBED_MES,TOTAL_BEDS-B1680-C1680))</f>
        <v>0</v>
      </c>
      <c r="G1680" s="21">
        <f>B1680+C1680+F1680</f>
        <v>24</v>
      </c>
      <c r="H1680" s="22">
        <f>IF(E1680&lt;0,-999999999,B1680*(PRICE_TOM-FERT_TOM)+C1680*(PRICE_CAR-FERT_CAR)+F1680*(PRICE_MES-FERT_MES)-(FARMER_SALARY+A1680*TEMP_COST)-FIXED_COSTS)</f>
        <v>-999999999</v>
      </c>
    </row>
    <row r="1681">
      <c r="A1681" s="5" t="n">
        <v>3</v>
      </c>
      <c r="B1681" s="5" t="n">
        <v>16</v>
      </c>
      <c r="C1681" s="5" t="n">
        <v>9</v>
      </c>
      <c r="D1681" s="18">
        <f>SEASON_HRS_TOM*B1681*(1+DIM_TOM)^B1681+SEASON_HRS_CAR*C1681*(1+DIM_CAR)^C1681</f>
        <v>6953.954102240269</v>
      </c>
      <c r="E1681" s="18">
        <f>(FARMER_FIELD_HRS+A1681*TEMP_HRS)-D1681</f>
        <v>-1913.954102240269</v>
      </c>
      <c r="F1681" s="21">
        <f>IF(E1681&lt;0,0,MIN(COUNTIF(Labor!$C$59:$C$88,"&lt;="&amp;E1681),MAXBED_MES,TOTAL_BEDS-B1681-C1681))</f>
        <v>0</v>
      </c>
      <c r="G1681" s="21">
        <f>B1681+C1681+F1681</f>
        <v>25</v>
      </c>
      <c r="H1681" s="22">
        <f>IF(E1681&lt;0,-999999999,B1681*(PRICE_TOM-FERT_TOM)+C1681*(PRICE_CAR-FERT_CAR)+F1681*(PRICE_MES-FERT_MES)-(FARMER_SALARY+A1681*TEMP_COST)-FIXED_COSTS)</f>
        <v>-999999999</v>
      </c>
    </row>
    <row r="1682">
      <c r="A1682" s="5" t="n">
        <v>3</v>
      </c>
      <c r="B1682" s="5" t="n">
        <v>16</v>
      </c>
      <c r="C1682" s="5" t="n">
        <v>10</v>
      </c>
      <c r="D1682" s="18">
        <f>SEASON_HRS_TOM*B1682*(1+DIM_TOM)^B1682+SEASON_HRS_CAR*C1682*(1+DIM_CAR)^C1682</f>
        <v>7000.786463613307</v>
      </c>
      <c r="E1682" s="18">
        <f>(FARMER_FIELD_HRS+A1682*TEMP_HRS)-D1682</f>
        <v>-1960.7864636133072</v>
      </c>
      <c r="F1682" s="21">
        <f>IF(E1682&lt;0,0,MIN(COUNTIF(Labor!$C$59:$C$88,"&lt;="&amp;E1682),MAXBED_MES,TOTAL_BEDS-B1682-C1682))</f>
        <v>0</v>
      </c>
      <c r="G1682" s="21">
        <f>B1682+C1682+F1682</f>
        <v>26</v>
      </c>
      <c r="H1682" s="22">
        <f>IF(E1682&lt;0,-999999999,B1682*(PRICE_TOM-FERT_TOM)+C1682*(PRICE_CAR-FERT_CAR)+F1682*(PRICE_MES-FERT_MES)-(FARMER_SALARY+A1682*TEMP_COST)-FIXED_COSTS)</f>
        <v>-999999999</v>
      </c>
    </row>
    <row r="1683">
      <c r="A1683" s="5" t="n">
        <v>3</v>
      </c>
      <c r="B1683" s="5" t="n">
        <v>16</v>
      </c>
      <c r="C1683" s="5" t="n">
        <v>11</v>
      </c>
      <c r="D1683" s="18">
        <f>SEASON_HRS_TOM*B1683*(1+DIM_TOM)^B1683+SEASON_HRS_CAR*C1683*(1+DIM_CAR)^C1683</f>
        <v>7049.749697428817</v>
      </c>
      <c r="E1683" s="18">
        <f>(FARMER_FIELD_HRS+A1683*TEMP_HRS)-D1683</f>
        <v>-2009.749697428817</v>
      </c>
      <c r="F1683" s="21">
        <f>IF(E1683&lt;0,0,MIN(COUNTIF(Labor!$C$59:$C$88,"&lt;="&amp;E1683),MAXBED_MES,TOTAL_BEDS-B1683-C1683))</f>
        <v>0</v>
      </c>
      <c r="G1683" s="21">
        <f>B1683+C1683+F1683</f>
        <v>27</v>
      </c>
      <c r="H1683" s="22">
        <f>IF(E1683&lt;0,-999999999,B1683*(PRICE_TOM-FERT_TOM)+C1683*(PRICE_CAR-FERT_CAR)+F1683*(PRICE_MES-FERT_MES)-(FARMER_SALARY+A1683*TEMP_COST)-FIXED_COSTS)</f>
        <v>-999999999</v>
      </c>
    </row>
    <row r="1684">
      <c r="A1684" s="5" t="n">
        <v>3</v>
      </c>
      <c r="B1684" s="5" t="n">
        <v>16</v>
      </c>
      <c r="C1684" s="5" t="n">
        <v>12</v>
      </c>
      <c r="D1684" s="18">
        <f>SEASON_HRS_TOM*B1684*(1+DIM_TOM)^B1684+SEASON_HRS_CAR*C1684*(1+DIM_CAR)^C1684</f>
        <v>7100.921077083067</v>
      </c>
      <c r="E1684" s="18">
        <f>(FARMER_FIELD_HRS+A1684*TEMP_HRS)-D1684</f>
        <v>-2060.921077083067</v>
      </c>
      <c r="F1684" s="21">
        <f>IF(E1684&lt;0,0,MIN(COUNTIF(Labor!$C$59:$C$88,"&lt;="&amp;E1684),MAXBED_MES,TOTAL_BEDS-B1684-C1684))</f>
        <v>0</v>
      </c>
      <c r="G1684" s="21">
        <f>B1684+C1684+F1684</f>
        <v>28</v>
      </c>
      <c r="H1684" s="22">
        <f>IF(E1684&lt;0,-999999999,B1684*(PRICE_TOM-FERT_TOM)+C1684*(PRICE_CAR-FERT_CAR)+F1684*(PRICE_MES-FERT_MES)-(FARMER_SALARY+A1684*TEMP_COST)-FIXED_COSTS)</f>
        <v>-999999999</v>
      </c>
    </row>
    <row r="1685">
      <c r="A1685" s="5" t="n">
        <v>3</v>
      </c>
      <c r="B1685" s="5" t="n">
        <v>16</v>
      </c>
      <c r="C1685" s="5" t="n">
        <v>13</v>
      </c>
      <c r="D1685" s="18">
        <f>SEASON_HRS_TOM*B1685*(1+DIM_TOM)^B1685+SEASON_HRS_CAR*C1685*(1+DIM_CAR)^C1685</f>
        <v>7154.3804078468565</v>
      </c>
      <c r="E1685" s="18">
        <f>(FARMER_FIELD_HRS+A1685*TEMP_HRS)-D1685</f>
        <v>-2114.3804078468565</v>
      </c>
      <c r="F1685" s="21">
        <f>IF(E1685&lt;0,0,MIN(COUNTIF(Labor!$C$59:$C$88,"&lt;="&amp;E1685),MAXBED_MES,TOTAL_BEDS-B1685-C1685))</f>
        <v>0</v>
      </c>
      <c r="G1685" s="21">
        <f>B1685+C1685+F1685</f>
        <v>29</v>
      </c>
      <c r="H1685" s="22">
        <f>IF(E1685&lt;0,-999999999,B1685*(PRICE_TOM-FERT_TOM)+C1685*(PRICE_CAR-FERT_CAR)+F1685*(PRICE_MES-FERT_MES)-(FARMER_SALARY+A1685*TEMP_COST)-FIXED_COSTS)</f>
        <v>-999999999</v>
      </c>
    </row>
    <row r="1686">
      <c r="A1686" s="5" t="n">
        <v>3</v>
      </c>
      <c r="B1686" s="5" t="n">
        <v>16</v>
      </c>
      <c r="C1686" s="5" t="n">
        <v>14</v>
      </c>
      <c r="D1686" s="18">
        <f>SEASON_HRS_TOM*B1686*(1+DIM_TOM)^B1686+SEASON_HRS_CAR*C1686*(1+DIM_CAR)^C1686</f>
        <v>7210.210105163382</v>
      </c>
      <c r="E1686" s="18">
        <f>(FARMER_FIELD_HRS+A1686*TEMP_HRS)-D1686</f>
        <v>-2170.2101051633817</v>
      </c>
      <c r="F1686" s="21">
        <f>IF(E1686&lt;0,0,MIN(COUNTIF(Labor!$C$59:$C$88,"&lt;="&amp;E1686),MAXBED_MES,TOTAL_BEDS-B1686-C1686))</f>
        <v>0</v>
      </c>
      <c r="G1686" s="21">
        <f>B1686+C1686+F1686</f>
        <v>30</v>
      </c>
      <c r="H1686" s="22">
        <f>IF(E1686&lt;0,-999999999,B1686*(PRICE_TOM-FERT_TOM)+C1686*(PRICE_CAR-FERT_CAR)+F1686*(PRICE_MES-FERT_MES)-(FARMER_SALARY+A1686*TEMP_COST)-FIXED_COSTS)</f>
        <v>-999999999</v>
      </c>
    </row>
    <row r="1687">
      <c r="A1687" s="5" t="n">
        <v>3</v>
      </c>
      <c r="B1687" s="5" t="n">
        <v>16</v>
      </c>
      <c r="C1687" s="5" t="n">
        <v>15</v>
      </c>
      <c r="D1687" s="18">
        <f>SEASON_HRS_TOM*B1687*(1+DIM_TOM)^B1687+SEASON_HRS_CAR*C1687*(1+DIM_CAR)^C1687</f>
        <v>7268.495275278549</v>
      </c>
      <c r="E1687" s="18">
        <f>(FARMER_FIELD_HRS+A1687*TEMP_HRS)-D1687</f>
        <v>-2228.4952752785493</v>
      </c>
      <c r="F1687" s="21">
        <f>IF(E1687&lt;0,0,MIN(COUNTIF(Labor!$C$59:$C$88,"&lt;="&amp;E1687),MAXBED_MES,TOTAL_BEDS-B1687-C1687))</f>
        <v>0</v>
      </c>
      <c r="G1687" s="21">
        <f>B1687+C1687+F1687</f>
        <v>31</v>
      </c>
      <c r="H1687" s="22">
        <f>IF(E1687&lt;0,-999999999,B1687*(PRICE_TOM-FERT_TOM)+C1687*(PRICE_CAR-FERT_CAR)+F1687*(PRICE_MES-FERT_MES)-(FARMER_SALARY+A1687*TEMP_COST)-FIXED_COSTS)</f>
        <v>-999999999</v>
      </c>
    </row>
    <row r="1688">
      <c r="A1688" s="5" t="n">
        <v>3</v>
      </c>
      <c r="B1688" s="5" t="n">
        <v>16</v>
      </c>
      <c r="C1688" s="5" t="n">
        <v>16</v>
      </c>
      <c r="D1688" s="18">
        <f>SEASON_HRS_TOM*B1688*(1+DIM_TOM)^B1688+SEASON_HRS_CAR*C1688*(1+DIM_CAR)^C1688</f>
        <v>7329.32379827147</v>
      </c>
      <c r="E1688" s="18">
        <f>(FARMER_FIELD_HRS+A1688*TEMP_HRS)-D1688</f>
        <v>-2289.32379827147</v>
      </c>
      <c r="F1688" s="21">
        <f>IF(E1688&lt;0,0,MIN(COUNTIF(Labor!$C$59:$C$88,"&lt;="&amp;E1688),MAXBED_MES,TOTAL_BEDS-B1688-C1688))</f>
        <v>0</v>
      </c>
      <c r="G1688" s="21">
        <f>B1688+C1688+F1688</f>
        <v>32</v>
      </c>
      <c r="H1688" s="22">
        <f>IF(E1688&lt;0,-999999999,B1688*(PRICE_TOM-FERT_TOM)+C1688*(PRICE_CAR-FERT_CAR)+F1688*(PRICE_MES-FERT_MES)-(FARMER_SALARY+A1688*TEMP_COST)-FIXED_COSTS)</f>
        <v>-999999999</v>
      </c>
    </row>
    <row r="1689">
      <c r="A1689" s="5" t="n">
        <v>3</v>
      </c>
      <c r="B1689" s="5" t="n">
        <v>16</v>
      </c>
      <c r="C1689" s="5" t="n">
        <v>17</v>
      </c>
      <c r="D1689" s="18">
        <f>SEASON_HRS_TOM*B1689*(1+DIM_TOM)^B1689+SEASON_HRS_CAR*C1689*(1+DIM_CAR)^C1689</f>
        <v>7392.786413554709</v>
      </c>
      <c r="E1689" s="18">
        <f>(FARMER_FIELD_HRS+A1689*TEMP_HRS)-D1689</f>
        <v>-2352.786413554709</v>
      </c>
      <c r="F1689" s="21">
        <f>IF(E1689&lt;0,0,MIN(COUNTIF(Labor!$C$59:$C$88,"&lt;="&amp;E1689),MAXBED_MES,TOTAL_BEDS-B1689-C1689))</f>
        <v>0</v>
      </c>
      <c r="G1689" s="21">
        <f>B1689+C1689+F1689</f>
        <v>33</v>
      </c>
      <c r="H1689" s="22">
        <f>IF(E1689&lt;0,-999999999,B1689*(PRICE_TOM-FERT_TOM)+C1689*(PRICE_CAR-FERT_CAR)+F1689*(PRICE_MES-FERT_MES)-(FARMER_SALARY+A1689*TEMP_COST)-FIXED_COSTS)</f>
        <v>-999999999</v>
      </c>
    </row>
    <row r="1690">
      <c r="A1690" s="5" t="n">
        <v>3</v>
      </c>
      <c r="B1690" s="5" t="n">
        <v>16</v>
      </c>
      <c r="C1690" s="5" t="n">
        <v>18</v>
      </c>
      <c r="D1690" s="18">
        <f>SEASON_HRS_TOM*B1690*(1+DIM_TOM)^B1690+SEASON_HRS_CAR*C1690*(1+DIM_CAR)^C1690</f>
        <v>7458.976807915911</v>
      </c>
      <c r="E1690" s="18">
        <f>(FARMER_FIELD_HRS+A1690*TEMP_HRS)-D1690</f>
        <v>-2418.976807915911</v>
      </c>
      <c r="F1690" s="21">
        <f>IF(E1690&lt;0,0,MIN(COUNTIF(Labor!$C$59:$C$88,"&lt;="&amp;E1690),MAXBED_MES,TOTAL_BEDS-B1690-C1690))</f>
        <v>0</v>
      </c>
      <c r="G1690" s="21">
        <f>B1690+C1690+F1690</f>
        <v>34</v>
      </c>
      <c r="H1690" s="22">
        <f>IF(E1690&lt;0,-999999999,B1690*(PRICE_TOM-FERT_TOM)+C1690*(PRICE_CAR-FERT_CAR)+F1690*(PRICE_MES-FERT_MES)-(FARMER_SALARY+A1690*TEMP_COST)-FIXED_COSTS)</f>
        <v>-999999999</v>
      </c>
    </row>
    <row r="1691">
      <c r="A1691" s="5" t="n">
        <v>3</v>
      </c>
      <c r="B1691" s="5" t="n">
        <v>16</v>
      </c>
      <c r="C1691" s="5" t="n">
        <v>19</v>
      </c>
      <c r="D1691" s="18">
        <f>SEASON_HRS_TOM*B1691*(1+DIM_TOM)^B1691+SEASON_HRS_CAR*C1691*(1+DIM_CAR)^C1691</f>
        <v>7527.991706174424</v>
      </c>
      <c r="E1691" s="18">
        <f>(FARMER_FIELD_HRS+A1691*TEMP_HRS)-D1691</f>
        <v>-2487.9917061744236</v>
      </c>
      <c r="F1691" s="21">
        <f>IF(E1691&lt;0,0,MIN(COUNTIF(Labor!$C$59:$C$88,"&lt;="&amp;E1691),MAXBED_MES,TOTAL_BEDS-B1691-C1691))</f>
        <v>0</v>
      </c>
      <c r="G1691" s="21">
        <f>B1691+C1691+F1691</f>
        <v>35</v>
      </c>
      <c r="H1691" s="22">
        <f>IF(E1691&lt;0,-999999999,B1691*(PRICE_TOM-FERT_TOM)+C1691*(PRICE_CAR-FERT_CAR)+F1691*(PRICE_MES-FERT_MES)-(FARMER_SALARY+A1691*TEMP_COST)-FIXED_COSTS)</f>
        <v>-999999999</v>
      </c>
    </row>
    <row r="1692">
      <c r="A1692" s="5" t="n">
        <v>3</v>
      </c>
      <c r="B1692" s="5" t="n">
        <v>16</v>
      </c>
      <c r="C1692" s="5" t="n">
        <v>20</v>
      </c>
      <c r="D1692" s="18">
        <f>SEASON_HRS_TOM*B1692*(1+DIM_TOM)^B1692+SEASON_HRS_CAR*C1692*(1+DIM_CAR)^C1692</f>
        <v>7599.930964528637</v>
      </c>
      <c r="E1692" s="18">
        <f>(FARMER_FIELD_HRS+A1692*TEMP_HRS)-D1692</f>
        <v>-2559.9309645286367</v>
      </c>
      <c r="F1692" s="21">
        <f>IF(E1692&lt;0,0,MIN(COUNTIF(Labor!$C$59:$C$88,"&lt;="&amp;E1692),MAXBED_MES,TOTAL_BEDS-B1692-C1692))</f>
        <v>0</v>
      </c>
      <c r="G1692" s="21">
        <f>B1692+C1692+F1692</f>
        <v>36</v>
      </c>
      <c r="H1692" s="22">
        <f>IF(E1692&lt;0,-999999999,B1692*(PRICE_TOM-FERT_TOM)+C1692*(PRICE_CAR-FERT_CAR)+F1692*(PRICE_MES-FERT_MES)-(FARMER_SALARY+A1692*TEMP_COST)-FIXED_COSTS)</f>
        <v>-999999999</v>
      </c>
    </row>
    <row r="1693">
      <c r="A1693" s="5" t="n">
        <v>3</v>
      </c>
      <c r="B1693" s="5" t="n">
        <v>17</v>
      </c>
      <c r="C1693" s="5" t="n">
        <v>0</v>
      </c>
      <c r="D1693" s="18">
        <f>SEASON_HRS_TOM*B1693*(1+DIM_TOM)^B1693+SEASON_HRS_CAR*C1693*(1+DIM_CAR)^C1693</f>
        <v>7733.339536039206</v>
      </c>
      <c r="E1693" s="18">
        <f>(FARMER_FIELD_HRS+A1693*TEMP_HRS)-D1693</f>
        <v>-2693.339536039206</v>
      </c>
      <c r="F1693" s="21">
        <f>IF(E1693&lt;0,0,MIN(COUNTIF(Labor!$C$59:$C$88,"&lt;="&amp;E1693),MAXBED_MES,TOTAL_BEDS-B1693-C1693))</f>
        <v>0</v>
      </c>
      <c r="G1693" s="21">
        <f>B1693+C1693+F1693</f>
        <v>17</v>
      </c>
      <c r="H1693" s="22">
        <f>IF(E1693&lt;0,-999999999,B1693*(PRICE_TOM-FERT_TOM)+C1693*(PRICE_CAR-FERT_CAR)+F1693*(PRICE_MES-FERT_MES)-(FARMER_SALARY+A1693*TEMP_COST)-FIXED_COSTS)</f>
        <v>-999999999</v>
      </c>
    </row>
    <row r="1694">
      <c r="A1694" s="5" t="n">
        <v>3</v>
      </c>
      <c r="B1694" s="5" t="n">
        <v>17</v>
      </c>
      <c r="C1694" s="5" t="n">
        <v>1</v>
      </c>
      <c r="D1694" s="18">
        <f>SEASON_HRS_TOM*B1694*(1+DIM_TOM)^B1694+SEASON_HRS_CAR*C1694*(1+DIM_CAR)^C1694</f>
        <v>7764.089536039206</v>
      </c>
      <c r="E1694" s="18">
        <f>(FARMER_FIELD_HRS+A1694*TEMP_HRS)-D1694</f>
        <v>-2724.089536039206</v>
      </c>
      <c r="F1694" s="21">
        <f>IF(E1694&lt;0,0,MIN(COUNTIF(Labor!$C$59:$C$88,"&lt;="&amp;E1694),MAXBED_MES,TOTAL_BEDS-B1694-C1694))</f>
        <v>0</v>
      </c>
      <c r="G1694" s="21">
        <f>B1694+C1694+F1694</f>
        <v>18</v>
      </c>
      <c r="H1694" s="22">
        <f>IF(E1694&lt;0,-999999999,B1694*(PRICE_TOM-FERT_TOM)+C1694*(PRICE_CAR-FERT_CAR)+F1694*(PRICE_MES-FERT_MES)-(FARMER_SALARY+A1694*TEMP_COST)-FIXED_COSTS)</f>
        <v>-999999999</v>
      </c>
    </row>
    <row r="1695">
      <c r="A1695" s="5" t="n">
        <v>3</v>
      </c>
      <c r="B1695" s="5" t="n">
        <v>17</v>
      </c>
      <c r="C1695" s="5" t="n">
        <v>2</v>
      </c>
      <c r="D1695" s="18">
        <f>SEASON_HRS_TOM*B1695*(1+DIM_TOM)^B1695+SEASON_HRS_CAR*C1695*(1+DIM_CAR)^C1695</f>
        <v>7796.377036039206</v>
      </c>
      <c r="E1695" s="18">
        <f>(FARMER_FIELD_HRS+A1695*TEMP_HRS)-D1695</f>
        <v>-2756.3770360392064</v>
      </c>
      <c r="F1695" s="21">
        <f>IF(E1695&lt;0,0,MIN(COUNTIF(Labor!$C$59:$C$88,"&lt;="&amp;E1695),MAXBED_MES,TOTAL_BEDS-B1695-C1695))</f>
        <v>0</v>
      </c>
      <c r="G1695" s="21">
        <f>B1695+C1695+F1695</f>
        <v>19</v>
      </c>
      <c r="H1695" s="22">
        <f>IF(E1695&lt;0,-999999999,B1695*(PRICE_TOM-FERT_TOM)+C1695*(PRICE_CAR-FERT_CAR)+F1695*(PRICE_MES-FERT_MES)-(FARMER_SALARY+A1695*TEMP_COST)-FIXED_COSTS)</f>
        <v>-999999999</v>
      </c>
    </row>
    <row r="1696">
      <c r="A1696" s="5" t="n">
        <v>3</v>
      </c>
      <c r="B1696" s="5" t="n">
        <v>17</v>
      </c>
      <c r="C1696" s="5" t="n">
        <v>3</v>
      </c>
      <c r="D1696" s="18">
        <f>SEASON_HRS_TOM*B1696*(1+DIM_TOM)^B1696+SEASON_HRS_CAR*C1696*(1+DIM_CAR)^C1696</f>
        <v>7830.259692289206</v>
      </c>
      <c r="E1696" s="18">
        <f>(FARMER_FIELD_HRS+A1696*TEMP_HRS)-D1696</f>
        <v>-2790.259692289206</v>
      </c>
      <c r="F1696" s="21">
        <f>IF(E1696&lt;0,0,MIN(COUNTIF(Labor!$C$59:$C$88,"&lt;="&amp;E1696),MAXBED_MES,TOTAL_BEDS-B1696-C1696))</f>
        <v>0</v>
      </c>
      <c r="G1696" s="21">
        <f>B1696+C1696+F1696</f>
        <v>20</v>
      </c>
      <c r="H1696" s="22">
        <f>IF(E1696&lt;0,-999999999,B1696*(PRICE_TOM-FERT_TOM)+C1696*(PRICE_CAR-FERT_CAR)+F1696*(PRICE_MES-FERT_MES)-(FARMER_SALARY+A1696*TEMP_COST)-FIXED_COSTS)</f>
        <v>-999999999</v>
      </c>
    </row>
    <row r="1697">
      <c r="A1697" s="5" t="n">
        <v>3</v>
      </c>
      <c r="B1697" s="5" t="n">
        <v>17</v>
      </c>
      <c r="C1697" s="5" t="n">
        <v>4</v>
      </c>
      <c r="D1697" s="18">
        <f>SEASON_HRS_TOM*B1697*(1+DIM_TOM)^B1697+SEASON_HRS_CAR*C1697*(1+DIM_CAR)^C1697</f>
        <v>7865.797082914206</v>
      </c>
      <c r="E1697" s="18">
        <f>(FARMER_FIELD_HRS+A1697*TEMP_HRS)-D1697</f>
        <v>-2825.797082914206</v>
      </c>
      <c r="F1697" s="21">
        <f>IF(E1697&lt;0,0,MIN(COUNTIF(Labor!$C$59:$C$88,"&lt;="&amp;E1697),MAXBED_MES,TOTAL_BEDS-B1697-C1697))</f>
        <v>0</v>
      </c>
      <c r="G1697" s="21">
        <f>B1697+C1697+F1697</f>
        <v>21</v>
      </c>
      <c r="H1697" s="22">
        <f>IF(E1697&lt;0,-999999999,B1697*(PRICE_TOM-FERT_TOM)+C1697*(PRICE_CAR-FERT_CAR)+F1697*(PRICE_MES-FERT_MES)-(FARMER_SALARY+A1697*TEMP_COST)-FIXED_COSTS)</f>
        <v>-999999999</v>
      </c>
    </row>
    <row r="1698">
      <c r="A1698" s="5" t="n">
        <v>3</v>
      </c>
      <c r="B1698" s="5" t="n">
        <v>17</v>
      </c>
      <c r="C1698" s="5" t="n">
        <v>5</v>
      </c>
      <c r="D1698" s="18">
        <f>SEASON_HRS_TOM*B1698*(1+DIM_TOM)^B1698+SEASON_HRS_CAR*C1698*(1+DIM_CAR)^C1698</f>
        <v>7903.0507679728</v>
      </c>
      <c r="E1698" s="18">
        <f>(FARMER_FIELD_HRS+A1698*TEMP_HRS)-D1698</f>
        <v>-2863.0507679728</v>
      </c>
      <c r="F1698" s="21">
        <f>IF(E1698&lt;0,0,MIN(COUNTIF(Labor!$C$59:$C$88,"&lt;="&amp;E1698),MAXBED_MES,TOTAL_BEDS-B1698-C1698))</f>
        <v>0</v>
      </c>
      <c r="G1698" s="21">
        <f>B1698+C1698+F1698</f>
        <v>22</v>
      </c>
      <c r="H1698" s="22">
        <f>IF(E1698&lt;0,-999999999,B1698*(PRICE_TOM-FERT_TOM)+C1698*(PRICE_CAR-FERT_CAR)+F1698*(PRICE_MES-FERT_MES)-(FARMER_SALARY+A1698*TEMP_COST)-FIXED_COSTS)</f>
        <v>-999999999</v>
      </c>
    </row>
    <row r="1699">
      <c r="A1699" s="5" t="n">
        <v>3</v>
      </c>
      <c r="B1699" s="5" t="n">
        <v>17</v>
      </c>
      <c r="C1699" s="5" t="n">
        <v>6</v>
      </c>
      <c r="D1699" s="18">
        <f>SEASON_HRS_TOM*B1699*(1+DIM_TOM)^B1699+SEASON_HRS_CAR*C1699*(1+DIM_CAR)^C1699</f>
        <v>7942.084351317526</v>
      </c>
      <c r="E1699" s="18">
        <f>(FARMER_FIELD_HRS+A1699*TEMP_HRS)-D1699</f>
        <v>-2902.084351317526</v>
      </c>
      <c r="F1699" s="21">
        <f>IF(E1699&lt;0,0,MIN(COUNTIF(Labor!$C$59:$C$88,"&lt;="&amp;E1699),MAXBED_MES,TOTAL_BEDS-B1699-C1699))</f>
        <v>0</v>
      </c>
      <c r="G1699" s="21">
        <f>B1699+C1699+F1699</f>
        <v>23</v>
      </c>
      <c r="H1699" s="22">
        <f>IF(E1699&lt;0,-999999999,B1699*(PRICE_TOM-FERT_TOM)+C1699*(PRICE_CAR-FERT_CAR)+F1699*(PRICE_MES-FERT_MES)-(FARMER_SALARY+A1699*TEMP_COST)-FIXED_COSTS)</f>
        <v>-999999999</v>
      </c>
    </row>
    <row r="1700">
      <c r="A1700" s="5" t="n">
        <v>3</v>
      </c>
      <c r="B1700" s="5" t="n">
        <v>17</v>
      </c>
      <c r="C1700" s="5" t="n">
        <v>7</v>
      </c>
      <c r="D1700" s="18">
        <f>SEASON_HRS_TOM*B1700*(1+DIM_TOM)^B1700+SEASON_HRS_CAR*C1700*(1+DIM_CAR)^C1700</f>
        <v>7982.96354430953</v>
      </c>
      <c r="E1700" s="18">
        <f>(FARMER_FIELD_HRS+A1700*TEMP_HRS)-D1700</f>
        <v>-2942.9635443095303</v>
      </c>
      <c r="F1700" s="21">
        <f>IF(E1700&lt;0,0,MIN(COUNTIF(Labor!$C$59:$C$88,"&lt;="&amp;E1700),MAXBED_MES,TOTAL_BEDS-B1700-C1700))</f>
        <v>0</v>
      </c>
      <c r="G1700" s="21">
        <f>B1700+C1700+F1700</f>
        <v>24</v>
      </c>
      <c r="H1700" s="22">
        <f>IF(E1700&lt;0,-999999999,B1700*(PRICE_TOM-FERT_TOM)+C1700*(PRICE_CAR-FERT_CAR)+F1700*(PRICE_MES-FERT_MES)-(FARMER_SALARY+A1700*TEMP_COST)-FIXED_COSTS)</f>
        <v>-999999999</v>
      </c>
    </row>
    <row r="1701">
      <c r="A1701" s="5" t="n">
        <v>3</v>
      </c>
      <c r="B1701" s="5" t="n">
        <v>17</v>
      </c>
      <c r="C1701" s="5" t="n">
        <v>8</v>
      </c>
      <c r="D1701" s="18">
        <f>SEASON_HRS_TOM*B1701*(1+DIM_TOM)^B1701+SEASON_HRS_CAR*C1701*(1+DIM_CAR)^C1701</f>
        <v>8025.756231441586</v>
      </c>
      <c r="E1701" s="18">
        <f>(FARMER_FIELD_HRS+A1701*TEMP_HRS)-D1701</f>
        <v>-2985.7562314415864</v>
      </c>
      <c r="F1701" s="21">
        <f>IF(E1701&lt;0,0,MIN(COUNTIF(Labor!$C$59:$C$88,"&lt;="&amp;E1701),MAXBED_MES,TOTAL_BEDS-B1701-C1701))</f>
        <v>0</v>
      </c>
      <c r="G1701" s="21">
        <f>B1701+C1701+F1701</f>
        <v>25</v>
      </c>
      <c r="H1701" s="22">
        <f>IF(E1701&lt;0,-999999999,B1701*(PRICE_TOM-FERT_TOM)+C1701*(PRICE_CAR-FERT_CAR)+F1701*(PRICE_MES-FERT_MES)-(FARMER_SALARY+A1701*TEMP_COST)-FIXED_COSTS)</f>
        <v>-999999999</v>
      </c>
    </row>
    <row r="1702">
      <c r="A1702" s="5" t="n">
        <v>3</v>
      </c>
      <c r="B1702" s="5" t="n">
        <v>17</v>
      </c>
      <c r="C1702" s="5" t="n">
        <v>9</v>
      </c>
      <c r="D1702" s="18">
        <f>SEASON_HRS_TOM*B1702*(1+DIM_TOM)^B1702+SEASON_HRS_CAR*C1702*(1+DIM_CAR)^C1702</f>
        <v>8070.532537925075</v>
      </c>
      <c r="E1702" s="18">
        <f>(FARMER_FIELD_HRS+A1702*TEMP_HRS)-D1702</f>
        <v>-3030.5325379250753</v>
      </c>
      <c r="F1702" s="21">
        <f>IF(E1702&lt;0,0,MIN(COUNTIF(Labor!$C$59:$C$88,"&lt;="&amp;E1702),MAXBED_MES,TOTAL_BEDS-B1702-C1702))</f>
        <v>0</v>
      </c>
      <c r="G1702" s="21">
        <f>B1702+C1702+F1702</f>
        <v>26</v>
      </c>
      <c r="H1702" s="22">
        <f>IF(E1702&lt;0,-999999999,B1702*(PRICE_TOM-FERT_TOM)+C1702*(PRICE_CAR-FERT_CAR)+F1702*(PRICE_MES-FERT_MES)-(FARMER_SALARY+A1702*TEMP_COST)-FIXED_COSTS)</f>
        <v>-999999999</v>
      </c>
    </row>
    <row r="1703">
      <c r="A1703" s="5" t="n">
        <v>3</v>
      </c>
      <c r="B1703" s="5" t="n">
        <v>17</v>
      </c>
      <c r="C1703" s="5" t="n">
        <v>10</v>
      </c>
      <c r="D1703" s="18">
        <f>SEASON_HRS_TOM*B1703*(1+DIM_TOM)^B1703+SEASON_HRS_CAR*C1703*(1+DIM_CAR)^C1703</f>
        <v>8117.364899298113</v>
      </c>
      <c r="E1703" s="18">
        <f>(FARMER_FIELD_HRS+A1703*TEMP_HRS)-D1703</f>
        <v>-3077.3648992981134</v>
      </c>
      <c r="F1703" s="21">
        <f>IF(E1703&lt;0,0,MIN(COUNTIF(Labor!$C$59:$C$88,"&lt;="&amp;E1703),MAXBED_MES,TOTAL_BEDS-B1703-C1703))</f>
        <v>0</v>
      </c>
      <c r="G1703" s="21">
        <f>B1703+C1703+F1703</f>
        <v>27</v>
      </c>
      <c r="H1703" s="22">
        <f>IF(E1703&lt;0,-999999999,B1703*(PRICE_TOM-FERT_TOM)+C1703*(PRICE_CAR-FERT_CAR)+F1703*(PRICE_MES-FERT_MES)-(FARMER_SALARY+A1703*TEMP_COST)-FIXED_COSTS)</f>
        <v>-999999999</v>
      </c>
    </row>
    <row r="1704">
      <c r="A1704" s="5" t="n">
        <v>3</v>
      </c>
      <c r="B1704" s="5" t="n">
        <v>17</v>
      </c>
      <c r="C1704" s="5" t="n">
        <v>11</v>
      </c>
      <c r="D1704" s="18">
        <f>SEASON_HRS_TOM*B1704*(1+DIM_TOM)^B1704+SEASON_HRS_CAR*C1704*(1+DIM_CAR)^C1704</f>
        <v>8166.328133113624</v>
      </c>
      <c r="E1704" s="18">
        <f>(FARMER_FIELD_HRS+A1704*TEMP_HRS)-D1704</f>
        <v>-3126.328133113624</v>
      </c>
      <c r="F1704" s="21">
        <f>IF(E1704&lt;0,0,MIN(COUNTIF(Labor!$C$59:$C$88,"&lt;="&amp;E1704),MAXBED_MES,TOTAL_BEDS-B1704-C1704))</f>
        <v>0</v>
      </c>
      <c r="G1704" s="21">
        <f>B1704+C1704+F1704</f>
        <v>28</v>
      </c>
      <c r="H1704" s="22">
        <f>IF(E1704&lt;0,-999999999,B1704*(PRICE_TOM-FERT_TOM)+C1704*(PRICE_CAR-FERT_CAR)+F1704*(PRICE_MES-FERT_MES)-(FARMER_SALARY+A1704*TEMP_COST)-FIXED_COSTS)</f>
        <v>-999999999</v>
      </c>
    </row>
    <row r="1705">
      <c r="A1705" s="5" t="n">
        <v>3</v>
      </c>
      <c r="B1705" s="5" t="n">
        <v>17</v>
      </c>
      <c r="C1705" s="5" t="n">
        <v>12</v>
      </c>
      <c r="D1705" s="18">
        <f>SEASON_HRS_TOM*B1705*(1+DIM_TOM)^B1705+SEASON_HRS_CAR*C1705*(1+DIM_CAR)^C1705</f>
        <v>8217.499512767872</v>
      </c>
      <c r="E1705" s="18">
        <f>(FARMER_FIELD_HRS+A1705*TEMP_HRS)-D1705</f>
        <v>-3177.499512767872</v>
      </c>
      <c r="F1705" s="21">
        <f>IF(E1705&lt;0,0,MIN(COUNTIF(Labor!$C$59:$C$88,"&lt;="&amp;E1705),MAXBED_MES,TOTAL_BEDS-B1705-C1705))</f>
        <v>0</v>
      </c>
      <c r="G1705" s="21">
        <f>B1705+C1705+F1705</f>
        <v>29</v>
      </c>
      <c r="H1705" s="22">
        <f>IF(E1705&lt;0,-999999999,B1705*(PRICE_TOM-FERT_TOM)+C1705*(PRICE_CAR-FERT_CAR)+F1705*(PRICE_MES-FERT_MES)-(FARMER_SALARY+A1705*TEMP_COST)-FIXED_COSTS)</f>
        <v>-999999999</v>
      </c>
    </row>
    <row r="1706">
      <c r="A1706" s="5" t="n">
        <v>3</v>
      </c>
      <c r="B1706" s="5" t="n">
        <v>17</v>
      </c>
      <c r="C1706" s="5" t="n">
        <v>13</v>
      </c>
      <c r="D1706" s="18">
        <f>SEASON_HRS_TOM*B1706*(1+DIM_TOM)^B1706+SEASON_HRS_CAR*C1706*(1+DIM_CAR)^C1706</f>
        <v>8270.958843531664</v>
      </c>
      <c r="E1706" s="18">
        <f>(FARMER_FIELD_HRS+A1706*TEMP_HRS)-D1706</f>
        <v>-3230.9588435316637</v>
      </c>
      <c r="F1706" s="21">
        <f>IF(E1706&lt;0,0,MIN(COUNTIF(Labor!$C$59:$C$88,"&lt;="&amp;E1706),MAXBED_MES,TOTAL_BEDS-B1706-C1706))</f>
        <v>0</v>
      </c>
      <c r="G1706" s="21">
        <f>B1706+C1706+F1706</f>
        <v>30</v>
      </c>
      <c r="H1706" s="22">
        <f>IF(E1706&lt;0,-999999999,B1706*(PRICE_TOM-FERT_TOM)+C1706*(PRICE_CAR-FERT_CAR)+F1706*(PRICE_MES-FERT_MES)-(FARMER_SALARY+A1706*TEMP_COST)-FIXED_COSTS)</f>
        <v>-999999999</v>
      </c>
    </row>
    <row r="1707">
      <c r="A1707" s="5" t="n">
        <v>3</v>
      </c>
      <c r="B1707" s="5" t="n">
        <v>17</v>
      </c>
      <c r="C1707" s="5" t="n">
        <v>14</v>
      </c>
      <c r="D1707" s="18">
        <f>SEASON_HRS_TOM*B1707*(1+DIM_TOM)^B1707+SEASON_HRS_CAR*C1707*(1+DIM_CAR)^C1707</f>
        <v>8326.788540848187</v>
      </c>
      <c r="E1707" s="18">
        <f>(FARMER_FIELD_HRS+A1707*TEMP_HRS)-D1707</f>
        <v>-3286.788540848187</v>
      </c>
      <c r="F1707" s="21">
        <f>IF(E1707&lt;0,0,MIN(COUNTIF(Labor!$C$59:$C$88,"&lt;="&amp;E1707),MAXBED_MES,TOTAL_BEDS-B1707-C1707))</f>
        <v>0</v>
      </c>
      <c r="G1707" s="21">
        <f>B1707+C1707+F1707</f>
        <v>31</v>
      </c>
      <c r="H1707" s="22">
        <f>IF(E1707&lt;0,-999999999,B1707*(PRICE_TOM-FERT_TOM)+C1707*(PRICE_CAR-FERT_CAR)+F1707*(PRICE_MES-FERT_MES)-(FARMER_SALARY+A1707*TEMP_COST)-FIXED_COSTS)</f>
        <v>-999999999</v>
      </c>
    </row>
    <row r="1708">
      <c r="A1708" s="5" t="n">
        <v>3</v>
      </c>
      <c r="B1708" s="5" t="n">
        <v>17</v>
      </c>
      <c r="C1708" s="5" t="n">
        <v>15</v>
      </c>
      <c r="D1708" s="18">
        <f>SEASON_HRS_TOM*B1708*(1+DIM_TOM)^B1708+SEASON_HRS_CAR*C1708*(1+DIM_CAR)^C1708</f>
        <v>8385.073710963356</v>
      </c>
      <c r="E1708" s="18">
        <f>(FARMER_FIELD_HRS+A1708*TEMP_HRS)-D1708</f>
        <v>-3345.0737109633556</v>
      </c>
      <c r="F1708" s="21">
        <f>IF(E1708&lt;0,0,MIN(COUNTIF(Labor!$C$59:$C$88,"&lt;="&amp;E1708),MAXBED_MES,TOTAL_BEDS-B1708-C1708))</f>
        <v>0</v>
      </c>
      <c r="G1708" s="21">
        <f>B1708+C1708+F1708</f>
        <v>32</v>
      </c>
      <c r="H1708" s="22">
        <f>IF(E1708&lt;0,-999999999,B1708*(PRICE_TOM-FERT_TOM)+C1708*(PRICE_CAR-FERT_CAR)+F1708*(PRICE_MES-FERT_MES)-(FARMER_SALARY+A1708*TEMP_COST)-FIXED_COSTS)</f>
        <v>-999999999</v>
      </c>
    </row>
    <row r="1709">
      <c r="A1709" s="5" t="n">
        <v>3</v>
      </c>
      <c r="B1709" s="5" t="n">
        <v>17</v>
      </c>
      <c r="C1709" s="5" t="n">
        <v>16</v>
      </c>
      <c r="D1709" s="18">
        <f>SEASON_HRS_TOM*B1709*(1+DIM_TOM)^B1709+SEASON_HRS_CAR*C1709*(1+DIM_CAR)^C1709</f>
        <v>8445.902233956276</v>
      </c>
      <c r="E1709" s="18">
        <f>(FARMER_FIELD_HRS+A1709*TEMP_HRS)-D1709</f>
        <v>-3405.902233956276</v>
      </c>
      <c r="F1709" s="21">
        <f>IF(E1709&lt;0,0,MIN(COUNTIF(Labor!$C$59:$C$88,"&lt;="&amp;E1709),MAXBED_MES,TOTAL_BEDS-B1709-C1709))</f>
        <v>0</v>
      </c>
      <c r="G1709" s="21">
        <f>B1709+C1709+F1709</f>
        <v>33</v>
      </c>
      <c r="H1709" s="22">
        <f>IF(E1709&lt;0,-999999999,B1709*(PRICE_TOM-FERT_TOM)+C1709*(PRICE_CAR-FERT_CAR)+F1709*(PRICE_MES-FERT_MES)-(FARMER_SALARY+A1709*TEMP_COST)-FIXED_COSTS)</f>
        <v>-999999999</v>
      </c>
    </row>
    <row r="1710">
      <c r="A1710" s="5" t="n">
        <v>3</v>
      </c>
      <c r="B1710" s="5" t="n">
        <v>17</v>
      </c>
      <c r="C1710" s="5" t="n">
        <v>17</v>
      </c>
      <c r="D1710" s="18">
        <f>SEASON_HRS_TOM*B1710*(1+DIM_TOM)^B1710+SEASON_HRS_CAR*C1710*(1+DIM_CAR)^C1710</f>
        <v>8509.364849239515</v>
      </c>
      <c r="E1710" s="18">
        <f>(FARMER_FIELD_HRS+A1710*TEMP_HRS)-D1710</f>
        <v>-3469.364849239515</v>
      </c>
      <c r="F1710" s="21">
        <f>IF(E1710&lt;0,0,MIN(COUNTIF(Labor!$C$59:$C$88,"&lt;="&amp;E1710),MAXBED_MES,TOTAL_BEDS-B1710-C1710))</f>
        <v>0</v>
      </c>
      <c r="G1710" s="21">
        <f>B1710+C1710+F1710</f>
        <v>34</v>
      </c>
      <c r="H1710" s="22">
        <f>IF(E1710&lt;0,-999999999,B1710*(PRICE_TOM-FERT_TOM)+C1710*(PRICE_CAR-FERT_CAR)+F1710*(PRICE_MES-FERT_MES)-(FARMER_SALARY+A1710*TEMP_COST)-FIXED_COSTS)</f>
        <v>-999999999</v>
      </c>
    </row>
    <row r="1711">
      <c r="A1711" s="5" t="n">
        <v>3</v>
      </c>
      <c r="B1711" s="5" t="n">
        <v>17</v>
      </c>
      <c r="C1711" s="5" t="n">
        <v>18</v>
      </c>
      <c r="D1711" s="18">
        <f>SEASON_HRS_TOM*B1711*(1+DIM_TOM)^B1711+SEASON_HRS_CAR*C1711*(1+DIM_CAR)^C1711</f>
        <v>8575.555243600718</v>
      </c>
      <c r="E1711" s="18">
        <f>(FARMER_FIELD_HRS+A1711*TEMP_HRS)-D1711</f>
        <v>-3535.5552436007183</v>
      </c>
      <c r="F1711" s="21">
        <f>IF(E1711&lt;0,0,MIN(COUNTIF(Labor!$C$59:$C$88,"&lt;="&amp;E1711),MAXBED_MES,TOTAL_BEDS-B1711-C1711))</f>
        <v>0</v>
      </c>
      <c r="G1711" s="21">
        <f>B1711+C1711+F1711</f>
        <v>35</v>
      </c>
      <c r="H1711" s="22">
        <f>IF(E1711&lt;0,-999999999,B1711*(PRICE_TOM-FERT_TOM)+C1711*(PRICE_CAR-FERT_CAR)+F1711*(PRICE_MES-FERT_MES)-(FARMER_SALARY+A1711*TEMP_COST)-FIXED_COSTS)</f>
        <v>-999999999</v>
      </c>
    </row>
    <row r="1712">
      <c r="A1712" s="5" t="n">
        <v>3</v>
      </c>
      <c r="B1712" s="5" t="n">
        <v>17</v>
      </c>
      <c r="C1712" s="5" t="n">
        <v>19</v>
      </c>
      <c r="D1712" s="18">
        <f>SEASON_HRS_TOM*B1712*(1+DIM_TOM)^B1712+SEASON_HRS_CAR*C1712*(1+DIM_CAR)^C1712</f>
        <v>8644.57014185923</v>
      </c>
      <c r="E1712" s="18">
        <f>(FARMER_FIELD_HRS+A1712*TEMP_HRS)-D1712</f>
        <v>-3604.5701418592307</v>
      </c>
      <c r="F1712" s="21">
        <f>IF(E1712&lt;0,0,MIN(COUNTIF(Labor!$C$59:$C$88,"&lt;="&amp;E1712),MAXBED_MES,TOTAL_BEDS-B1712-C1712))</f>
        <v>0</v>
      </c>
      <c r="G1712" s="21">
        <f>B1712+C1712+F1712</f>
        <v>36</v>
      </c>
      <c r="H1712" s="22">
        <f>IF(E1712&lt;0,-999999999,B1712*(PRICE_TOM-FERT_TOM)+C1712*(PRICE_CAR-FERT_CAR)+F1712*(PRICE_MES-FERT_MES)-(FARMER_SALARY+A1712*TEMP_COST)-FIXED_COSTS)</f>
        <v>-999999999</v>
      </c>
    </row>
    <row r="1713">
      <c r="A1713" s="5" t="n">
        <v>3</v>
      </c>
      <c r="B1713" s="5" t="n">
        <v>17</v>
      </c>
      <c r="C1713" s="5" t="n">
        <v>20</v>
      </c>
      <c r="D1713" s="18">
        <f>SEASON_HRS_TOM*B1713*(1+DIM_TOM)^B1713+SEASON_HRS_CAR*C1713*(1+DIM_CAR)^C1713</f>
        <v>8716.509400213443</v>
      </c>
      <c r="E1713" s="18">
        <f>(FARMER_FIELD_HRS+A1713*TEMP_HRS)-D1713</f>
        <v>-3676.509400213443</v>
      </c>
      <c r="F1713" s="21">
        <f>IF(E1713&lt;0,0,MIN(COUNTIF(Labor!$C$59:$C$88,"&lt;="&amp;E1713),MAXBED_MES,TOTAL_BEDS-B1713-C1713))</f>
        <v>0</v>
      </c>
      <c r="G1713" s="21">
        <f>B1713+C1713+F1713</f>
        <v>37</v>
      </c>
      <c r="H1713" s="22">
        <f>IF(E1713&lt;0,-999999999,B1713*(PRICE_TOM-FERT_TOM)+C1713*(PRICE_CAR-FERT_CAR)+F1713*(PRICE_MES-FERT_MES)-(FARMER_SALARY+A1713*TEMP_COST)-FIXED_COSTS)</f>
        <v>-999999999</v>
      </c>
    </row>
    <row r="1714">
      <c r="A1714" s="5" t="n">
        <v>3</v>
      </c>
      <c r="B1714" s="5" t="n">
        <v>18</v>
      </c>
      <c r="C1714" s="5" t="n">
        <v>0</v>
      </c>
      <c r="D1714" s="18">
        <f>SEASON_HRS_TOM*B1714*(1+DIM_TOM)^B1714+SEASON_HRS_CAR*C1714*(1+DIM_CAR)^C1714</f>
        <v>9007.066047857428</v>
      </c>
      <c r="E1714" s="18">
        <f>(FARMER_FIELD_HRS+A1714*TEMP_HRS)-D1714</f>
        <v>-3967.066047857428</v>
      </c>
      <c r="F1714" s="21">
        <f>IF(E1714&lt;0,0,MIN(COUNTIF(Labor!$C$59:$C$88,"&lt;="&amp;E1714),MAXBED_MES,TOTAL_BEDS-B1714-C1714))</f>
        <v>0</v>
      </c>
      <c r="G1714" s="21">
        <f>B1714+C1714+F1714</f>
        <v>18</v>
      </c>
      <c r="H1714" s="22">
        <f>IF(E1714&lt;0,-999999999,B1714*(PRICE_TOM-FERT_TOM)+C1714*(PRICE_CAR-FERT_CAR)+F1714*(PRICE_MES-FERT_MES)-(FARMER_SALARY+A1714*TEMP_COST)-FIXED_COSTS)</f>
        <v>-999999999</v>
      </c>
    </row>
    <row r="1715">
      <c r="A1715" s="5" t="n">
        <v>3</v>
      </c>
      <c r="B1715" s="5" t="n">
        <v>18</v>
      </c>
      <c r="C1715" s="5" t="n">
        <v>1</v>
      </c>
      <c r="D1715" s="18">
        <f>SEASON_HRS_TOM*B1715*(1+DIM_TOM)^B1715+SEASON_HRS_CAR*C1715*(1+DIM_CAR)^C1715</f>
        <v>9037.816047857428</v>
      </c>
      <c r="E1715" s="18">
        <f>(FARMER_FIELD_HRS+A1715*TEMP_HRS)-D1715</f>
        <v>-3997.816047857428</v>
      </c>
      <c r="F1715" s="21">
        <f>IF(E1715&lt;0,0,MIN(COUNTIF(Labor!$C$59:$C$88,"&lt;="&amp;E1715),MAXBED_MES,TOTAL_BEDS-B1715-C1715))</f>
        <v>0</v>
      </c>
      <c r="G1715" s="21">
        <f>B1715+C1715+F1715</f>
        <v>19</v>
      </c>
      <c r="H1715" s="22">
        <f>IF(E1715&lt;0,-999999999,B1715*(PRICE_TOM-FERT_TOM)+C1715*(PRICE_CAR-FERT_CAR)+F1715*(PRICE_MES-FERT_MES)-(FARMER_SALARY+A1715*TEMP_COST)-FIXED_COSTS)</f>
        <v>-999999999</v>
      </c>
    </row>
    <row r="1716">
      <c r="A1716" s="5" t="n">
        <v>3</v>
      </c>
      <c r="B1716" s="5" t="n">
        <v>18</v>
      </c>
      <c r="C1716" s="5" t="n">
        <v>2</v>
      </c>
      <c r="D1716" s="18">
        <f>SEASON_HRS_TOM*B1716*(1+DIM_TOM)^B1716+SEASON_HRS_CAR*C1716*(1+DIM_CAR)^C1716</f>
        <v>9070.103547857429</v>
      </c>
      <c r="E1716" s="18">
        <f>(FARMER_FIELD_HRS+A1716*TEMP_HRS)-D1716</f>
        <v>-4030.1035478574286</v>
      </c>
      <c r="F1716" s="21">
        <f>IF(E1716&lt;0,0,MIN(COUNTIF(Labor!$C$59:$C$88,"&lt;="&amp;E1716),MAXBED_MES,TOTAL_BEDS-B1716-C1716))</f>
        <v>0</v>
      </c>
      <c r="G1716" s="21">
        <f>B1716+C1716+F1716</f>
        <v>20</v>
      </c>
      <c r="H1716" s="22">
        <f>IF(E1716&lt;0,-999999999,B1716*(PRICE_TOM-FERT_TOM)+C1716*(PRICE_CAR-FERT_CAR)+F1716*(PRICE_MES-FERT_MES)-(FARMER_SALARY+A1716*TEMP_COST)-FIXED_COSTS)</f>
        <v>-999999999</v>
      </c>
    </row>
    <row r="1717">
      <c r="A1717" s="5" t="n">
        <v>3</v>
      </c>
      <c r="B1717" s="5" t="n">
        <v>18</v>
      </c>
      <c r="C1717" s="5" t="n">
        <v>3</v>
      </c>
      <c r="D1717" s="18">
        <f>SEASON_HRS_TOM*B1717*(1+DIM_TOM)^B1717+SEASON_HRS_CAR*C1717*(1+DIM_CAR)^C1717</f>
        <v>9103.986204107428</v>
      </c>
      <c r="E1717" s="18">
        <f>(FARMER_FIELD_HRS+A1717*TEMP_HRS)-D1717</f>
        <v>-4063.9862041074284</v>
      </c>
      <c r="F1717" s="21">
        <f>IF(E1717&lt;0,0,MIN(COUNTIF(Labor!$C$59:$C$88,"&lt;="&amp;E1717),MAXBED_MES,TOTAL_BEDS-B1717-C1717))</f>
        <v>0</v>
      </c>
      <c r="G1717" s="21">
        <f>B1717+C1717+F1717</f>
        <v>21</v>
      </c>
      <c r="H1717" s="22">
        <f>IF(E1717&lt;0,-999999999,B1717*(PRICE_TOM-FERT_TOM)+C1717*(PRICE_CAR-FERT_CAR)+F1717*(PRICE_MES-FERT_MES)-(FARMER_SALARY+A1717*TEMP_COST)-FIXED_COSTS)</f>
        <v>-999999999</v>
      </c>
    </row>
    <row r="1718">
      <c r="A1718" s="5" t="n">
        <v>3</v>
      </c>
      <c r="B1718" s="5" t="n">
        <v>18</v>
      </c>
      <c r="C1718" s="5" t="n">
        <v>4</v>
      </c>
      <c r="D1718" s="18">
        <f>SEASON_HRS_TOM*B1718*(1+DIM_TOM)^B1718+SEASON_HRS_CAR*C1718*(1+DIM_CAR)^C1718</f>
        <v>9139.523594732429</v>
      </c>
      <c r="E1718" s="18">
        <f>(FARMER_FIELD_HRS+A1718*TEMP_HRS)-D1718</f>
        <v>-4099.523594732429</v>
      </c>
      <c r="F1718" s="21">
        <f>IF(E1718&lt;0,0,MIN(COUNTIF(Labor!$C$59:$C$88,"&lt;="&amp;E1718),MAXBED_MES,TOTAL_BEDS-B1718-C1718))</f>
        <v>0</v>
      </c>
      <c r="G1718" s="21">
        <f>B1718+C1718+F1718</f>
        <v>22</v>
      </c>
      <c r="H1718" s="22">
        <f>IF(E1718&lt;0,-999999999,B1718*(PRICE_TOM-FERT_TOM)+C1718*(PRICE_CAR-FERT_CAR)+F1718*(PRICE_MES-FERT_MES)-(FARMER_SALARY+A1718*TEMP_COST)-FIXED_COSTS)</f>
        <v>-999999999</v>
      </c>
    </row>
    <row r="1719">
      <c r="A1719" s="5" t="n">
        <v>3</v>
      </c>
      <c r="B1719" s="5" t="n">
        <v>18</v>
      </c>
      <c r="C1719" s="5" t="n">
        <v>5</v>
      </c>
      <c r="D1719" s="18">
        <f>SEASON_HRS_TOM*B1719*(1+DIM_TOM)^B1719+SEASON_HRS_CAR*C1719*(1+DIM_CAR)^C1719</f>
        <v>9176.777279791022</v>
      </c>
      <c r="E1719" s="18">
        <f>(FARMER_FIELD_HRS+A1719*TEMP_HRS)-D1719</f>
        <v>-4136.777279791022</v>
      </c>
      <c r="F1719" s="21">
        <f>IF(E1719&lt;0,0,MIN(COUNTIF(Labor!$C$59:$C$88,"&lt;="&amp;E1719),MAXBED_MES,TOTAL_BEDS-B1719-C1719))</f>
        <v>0</v>
      </c>
      <c r="G1719" s="21">
        <f>B1719+C1719+F1719</f>
        <v>23</v>
      </c>
      <c r="H1719" s="22">
        <f>IF(E1719&lt;0,-999999999,B1719*(PRICE_TOM-FERT_TOM)+C1719*(PRICE_CAR-FERT_CAR)+F1719*(PRICE_MES-FERT_MES)-(FARMER_SALARY+A1719*TEMP_COST)-FIXED_COSTS)</f>
        <v>-999999999</v>
      </c>
    </row>
    <row r="1720">
      <c r="A1720" s="5" t="n">
        <v>3</v>
      </c>
      <c r="B1720" s="5" t="n">
        <v>18</v>
      </c>
      <c r="C1720" s="5" t="n">
        <v>6</v>
      </c>
      <c r="D1720" s="18">
        <f>SEASON_HRS_TOM*B1720*(1+DIM_TOM)^B1720+SEASON_HRS_CAR*C1720*(1+DIM_CAR)^C1720</f>
        <v>9215.810863135748</v>
      </c>
      <c r="E1720" s="18">
        <f>(FARMER_FIELD_HRS+A1720*TEMP_HRS)-D1720</f>
        <v>-4175.810863135748</v>
      </c>
      <c r="F1720" s="21">
        <f>IF(E1720&lt;0,0,MIN(COUNTIF(Labor!$C$59:$C$88,"&lt;="&amp;E1720),MAXBED_MES,TOTAL_BEDS-B1720-C1720))</f>
        <v>0</v>
      </c>
      <c r="G1720" s="21">
        <f>B1720+C1720+F1720</f>
        <v>24</v>
      </c>
      <c r="H1720" s="22">
        <f>IF(E1720&lt;0,-999999999,B1720*(PRICE_TOM-FERT_TOM)+C1720*(PRICE_CAR-FERT_CAR)+F1720*(PRICE_MES-FERT_MES)-(FARMER_SALARY+A1720*TEMP_COST)-FIXED_COSTS)</f>
        <v>-999999999</v>
      </c>
    </row>
    <row r="1721">
      <c r="A1721" s="5" t="n">
        <v>3</v>
      </c>
      <c r="B1721" s="5" t="n">
        <v>18</v>
      </c>
      <c r="C1721" s="5" t="n">
        <v>7</v>
      </c>
      <c r="D1721" s="18">
        <f>SEASON_HRS_TOM*B1721*(1+DIM_TOM)^B1721+SEASON_HRS_CAR*C1721*(1+DIM_CAR)^C1721</f>
        <v>9256.690056127753</v>
      </c>
      <c r="E1721" s="18">
        <f>(FARMER_FIELD_HRS+A1721*TEMP_HRS)-D1721</f>
        <v>-4216.6900561277525</v>
      </c>
      <c r="F1721" s="21">
        <f>IF(E1721&lt;0,0,MIN(COUNTIF(Labor!$C$59:$C$88,"&lt;="&amp;E1721),MAXBED_MES,TOTAL_BEDS-B1721-C1721))</f>
        <v>0</v>
      </c>
      <c r="G1721" s="21">
        <f>B1721+C1721+F1721</f>
        <v>25</v>
      </c>
      <c r="H1721" s="22">
        <f>IF(E1721&lt;0,-999999999,B1721*(PRICE_TOM-FERT_TOM)+C1721*(PRICE_CAR-FERT_CAR)+F1721*(PRICE_MES-FERT_MES)-(FARMER_SALARY+A1721*TEMP_COST)-FIXED_COSTS)</f>
        <v>-999999999</v>
      </c>
    </row>
    <row r="1722">
      <c r="A1722" s="5" t="n">
        <v>3</v>
      </c>
      <c r="B1722" s="5" t="n">
        <v>18</v>
      </c>
      <c r="C1722" s="5" t="n">
        <v>8</v>
      </c>
      <c r="D1722" s="18">
        <f>SEASON_HRS_TOM*B1722*(1+DIM_TOM)^B1722+SEASON_HRS_CAR*C1722*(1+DIM_CAR)^C1722</f>
        <v>9299.482743259809</v>
      </c>
      <c r="E1722" s="18">
        <f>(FARMER_FIELD_HRS+A1722*TEMP_HRS)-D1722</f>
        <v>-4259.482743259809</v>
      </c>
      <c r="F1722" s="21">
        <f>IF(E1722&lt;0,0,MIN(COUNTIF(Labor!$C$59:$C$88,"&lt;="&amp;E1722),MAXBED_MES,TOTAL_BEDS-B1722-C1722))</f>
        <v>0</v>
      </c>
      <c r="G1722" s="21">
        <f>B1722+C1722+F1722</f>
        <v>26</v>
      </c>
      <c r="H1722" s="22">
        <f>IF(E1722&lt;0,-999999999,B1722*(PRICE_TOM-FERT_TOM)+C1722*(PRICE_CAR-FERT_CAR)+F1722*(PRICE_MES-FERT_MES)-(FARMER_SALARY+A1722*TEMP_COST)-FIXED_COSTS)</f>
        <v>-999999999</v>
      </c>
    </row>
    <row r="1723">
      <c r="A1723" s="5" t="n">
        <v>3</v>
      </c>
      <c r="B1723" s="5" t="n">
        <v>18</v>
      </c>
      <c r="C1723" s="5" t="n">
        <v>9</v>
      </c>
      <c r="D1723" s="18">
        <f>SEASON_HRS_TOM*B1723*(1+DIM_TOM)^B1723+SEASON_HRS_CAR*C1723*(1+DIM_CAR)^C1723</f>
        <v>9344.259049743298</v>
      </c>
      <c r="E1723" s="18">
        <f>(FARMER_FIELD_HRS+A1723*TEMP_HRS)-D1723</f>
        <v>-4304.2590497432975</v>
      </c>
      <c r="F1723" s="21">
        <f>IF(E1723&lt;0,0,MIN(COUNTIF(Labor!$C$59:$C$88,"&lt;="&amp;E1723),MAXBED_MES,TOTAL_BEDS-B1723-C1723))</f>
        <v>0</v>
      </c>
      <c r="G1723" s="21">
        <f>B1723+C1723+F1723</f>
        <v>27</v>
      </c>
      <c r="H1723" s="22">
        <f>IF(E1723&lt;0,-999999999,B1723*(PRICE_TOM-FERT_TOM)+C1723*(PRICE_CAR-FERT_CAR)+F1723*(PRICE_MES-FERT_MES)-(FARMER_SALARY+A1723*TEMP_COST)-FIXED_COSTS)</f>
        <v>-999999999</v>
      </c>
    </row>
    <row r="1724">
      <c r="A1724" s="5" t="n">
        <v>3</v>
      </c>
      <c r="B1724" s="5" t="n">
        <v>18</v>
      </c>
      <c r="C1724" s="5" t="n">
        <v>10</v>
      </c>
      <c r="D1724" s="18">
        <f>SEASON_HRS_TOM*B1724*(1+DIM_TOM)^B1724+SEASON_HRS_CAR*C1724*(1+DIM_CAR)^C1724</f>
        <v>9391.091411116335</v>
      </c>
      <c r="E1724" s="18">
        <f>(FARMER_FIELD_HRS+A1724*TEMP_HRS)-D1724</f>
        <v>-4351.091411116335</v>
      </c>
      <c r="F1724" s="21">
        <f>IF(E1724&lt;0,0,MIN(COUNTIF(Labor!$C$59:$C$88,"&lt;="&amp;E1724),MAXBED_MES,TOTAL_BEDS-B1724-C1724))</f>
        <v>0</v>
      </c>
      <c r="G1724" s="21">
        <f>B1724+C1724+F1724</f>
        <v>28</v>
      </c>
      <c r="H1724" s="22">
        <f>IF(E1724&lt;0,-999999999,B1724*(PRICE_TOM-FERT_TOM)+C1724*(PRICE_CAR-FERT_CAR)+F1724*(PRICE_MES-FERT_MES)-(FARMER_SALARY+A1724*TEMP_COST)-FIXED_COSTS)</f>
        <v>-999999999</v>
      </c>
    </row>
    <row r="1725">
      <c r="A1725" s="5" t="n">
        <v>3</v>
      </c>
      <c r="B1725" s="5" t="n">
        <v>18</v>
      </c>
      <c r="C1725" s="5" t="n">
        <v>11</v>
      </c>
      <c r="D1725" s="18">
        <f>SEASON_HRS_TOM*B1725*(1+DIM_TOM)^B1725+SEASON_HRS_CAR*C1725*(1+DIM_CAR)^C1725</f>
        <v>9440.054644931846</v>
      </c>
      <c r="E1725" s="18">
        <f>(FARMER_FIELD_HRS+A1725*TEMP_HRS)-D1725</f>
        <v>-4400.054644931846</v>
      </c>
      <c r="F1725" s="21">
        <f>IF(E1725&lt;0,0,MIN(COUNTIF(Labor!$C$59:$C$88,"&lt;="&amp;E1725),MAXBED_MES,TOTAL_BEDS-B1725-C1725))</f>
        <v>0</v>
      </c>
      <c r="G1725" s="21">
        <f>B1725+C1725+F1725</f>
        <v>29</v>
      </c>
      <c r="H1725" s="22">
        <f>IF(E1725&lt;0,-999999999,B1725*(PRICE_TOM-FERT_TOM)+C1725*(PRICE_CAR-FERT_CAR)+F1725*(PRICE_MES-FERT_MES)-(FARMER_SALARY+A1725*TEMP_COST)-FIXED_COSTS)</f>
        <v>-999999999</v>
      </c>
    </row>
    <row r="1726">
      <c r="A1726" s="5" t="n">
        <v>3</v>
      </c>
      <c r="B1726" s="5" t="n">
        <v>18</v>
      </c>
      <c r="C1726" s="5" t="n">
        <v>12</v>
      </c>
      <c r="D1726" s="18">
        <f>SEASON_HRS_TOM*B1726*(1+DIM_TOM)^B1726+SEASON_HRS_CAR*C1726*(1+DIM_CAR)^C1726</f>
        <v>9491.226024586094</v>
      </c>
      <c r="E1726" s="18">
        <f>(FARMER_FIELD_HRS+A1726*TEMP_HRS)-D1726</f>
        <v>-4451.226024586094</v>
      </c>
      <c r="F1726" s="21">
        <f>IF(E1726&lt;0,0,MIN(COUNTIF(Labor!$C$59:$C$88,"&lt;="&amp;E1726),MAXBED_MES,TOTAL_BEDS-B1726-C1726))</f>
        <v>0</v>
      </c>
      <c r="G1726" s="21">
        <f>B1726+C1726+F1726</f>
        <v>30</v>
      </c>
      <c r="H1726" s="22">
        <f>IF(E1726&lt;0,-999999999,B1726*(PRICE_TOM-FERT_TOM)+C1726*(PRICE_CAR-FERT_CAR)+F1726*(PRICE_MES-FERT_MES)-(FARMER_SALARY+A1726*TEMP_COST)-FIXED_COSTS)</f>
        <v>-999999999</v>
      </c>
    </row>
    <row r="1727">
      <c r="A1727" s="5" t="n">
        <v>3</v>
      </c>
      <c r="B1727" s="5" t="n">
        <v>18</v>
      </c>
      <c r="C1727" s="5" t="n">
        <v>13</v>
      </c>
      <c r="D1727" s="18">
        <f>SEASON_HRS_TOM*B1727*(1+DIM_TOM)^B1727+SEASON_HRS_CAR*C1727*(1+DIM_CAR)^C1727</f>
        <v>9544.685355349886</v>
      </c>
      <c r="E1727" s="18">
        <f>(FARMER_FIELD_HRS+A1727*TEMP_HRS)-D1727</f>
        <v>-4504.685355349886</v>
      </c>
      <c r="F1727" s="21">
        <f>IF(E1727&lt;0,0,MIN(COUNTIF(Labor!$C$59:$C$88,"&lt;="&amp;E1727),MAXBED_MES,TOTAL_BEDS-B1727-C1727))</f>
        <v>0</v>
      </c>
      <c r="G1727" s="21">
        <f>B1727+C1727+F1727</f>
        <v>31</v>
      </c>
      <c r="H1727" s="22">
        <f>IF(E1727&lt;0,-999999999,B1727*(PRICE_TOM-FERT_TOM)+C1727*(PRICE_CAR-FERT_CAR)+F1727*(PRICE_MES-FERT_MES)-(FARMER_SALARY+A1727*TEMP_COST)-FIXED_COSTS)</f>
        <v>-999999999</v>
      </c>
    </row>
    <row r="1728">
      <c r="A1728" s="5" t="n">
        <v>3</v>
      </c>
      <c r="B1728" s="5" t="n">
        <v>18</v>
      </c>
      <c r="C1728" s="5" t="n">
        <v>14</v>
      </c>
      <c r="D1728" s="18">
        <f>SEASON_HRS_TOM*B1728*(1+DIM_TOM)^B1728+SEASON_HRS_CAR*C1728*(1+DIM_CAR)^C1728</f>
        <v>9600.51505266641</v>
      </c>
      <c r="E1728" s="18">
        <f>(FARMER_FIELD_HRS+A1728*TEMP_HRS)-D1728</f>
        <v>-4560.515052666409</v>
      </c>
      <c r="F1728" s="21">
        <f>IF(E1728&lt;0,0,MIN(COUNTIF(Labor!$C$59:$C$88,"&lt;="&amp;E1728),MAXBED_MES,TOTAL_BEDS-B1728-C1728))</f>
        <v>0</v>
      </c>
      <c r="G1728" s="21">
        <f>B1728+C1728+F1728</f>
        <v>32</v>
      </c>
      <c r="H1728" s="22">
        <f>IF(E1728&lt;0,-999999999,B1728*(PRICE_TOM-FERT_TOM)+C1728*(PRICE_CAR-FERT_CAR)+F1728*(PRICE_MES-FERT_MES)-(FARMER_SALARY+A1728*TEMP_COST)-FIXED_COSTS)</f>
        <v>-999999999</v>
      </c>
    </row>
    <row r="1729">
      <c r="A1729" s="5" t="n">
        <v>3</v>
      </c>
      <c r="B1729" s="5" t="n">
        <v>18</v>
      </c>
      <c r="C1729" s="5" t="n">
        <v>15</v>
      </c>
      <c r="D1729" s="18">
        <f>SEASON_HRS_TOM*B1729*(1+DIM_TOM)^B1729+SEASON_HRS_CAR*C1729*(1+DIM_CAR)^C1729</f>
        <v>9658.800222781578</v>
      </c>
      <c r="E1729" s="18">
        <f>(FARMER_FIELD_HRS+A1729*TEMP_HRS)-D1729</f>
        <v>-4618.800222781578</v>
      </c>
      <c r="F1729" s="21">
        <f>IF(E1729&lt;0,0,MIN(COUNTIF(Labor!$C$59:$C$88,"&lt;="&amp;E1729),MAXBED_MES,TOTAL_BEDS-B1729-C1729))</f>
        <v>0</v>
      </c>
      <c r="G1729" s="21">
        <f>B1729+C1729+F1729</f>
        <v>33</v>
      </c>
      <c r="H1729" s="22">
        <f>IF(E1729&lt;0,-999999999,B1729*(PRICE_TOM-FERT_TOM)+C1729*(PRICE_CAR-FERT_CAR)+F1729*(PRICE_MES-FERT_MES)-(FARMER_SALARY+A1729*TEMP_COST)-FIXED_COSTS)</f>
        <v>-999999999</v>
      </c>
    </row>
    <row r="1730">
      <c r="A1730" s="5" t="n">
        <v>3</v>
      </c>
      <c r="B1730" s="5" t="n">
        <v>18</v>
      </c>
      <c r="C1730" s="5" t="n">
        <v>16</v>
      </c>
      <c r="D1730" s="18">
        <f>SEASON_HRS_TOM*B1730*(1+DIM_TOM)^B1730+SEASON_HRS_CAR*C1730*(1+DIM_CAR)^C1730</f>
        <v>9719.628745774498</v>
      </c>
      <c r="E1730" s="18">
        <f>(FARMER_FIELD_HRS+A1730*TEMP_HRS)-D1730</f>
        <v>-4679.628745774498</v>
      </c>
      <c r="F1730" s="21">
        <f>IF(E1730&lt;0,0,MIN(COUNTIF(Labor!$C$59:$C$88,"&lt;="&amp;E1730),MAXBED_MES,TOTAL_BEDS-B1730-C1730))</f>
        <v>0</v>
      </c>
      <c r="G1730" s="21">
        <f>B1730+C1730+F1730</f>
        <v>34</v>
      </c>
      <c r="H1730" s="22">
        <f>IF(E1730&lt;0,-999999999,B1730*(PRICE_TOM-FERT_TOM)+C1730*(PRICE_CAR-FERT_CAR)+F1730*(PRICE_MES-FERT_MES)-(FARMER_SALARY+A1730*TEMP_COST)-FIXED_COSTS)</f>
        <v>-999999999</v>
      </c>
    </row>
    <row r="1731">
      <c r="A1731" s="5" t="n">
        <v>3</v>
      </c>
      <c r="B1731" s="5" t="n">
        <v>18</v>
      </c>
      <c r="C1731" s="5" t="n">
        <v>17</v>
      </c>
      <c r="D1731" s="18">
        <f>SEASON_HRS_TOM*B1731*(1+DIM_TOM)^B1731+SEASON_HRS_CAR*C1731*(1+DIM_CAR)^C1731</f>
        <v>9783.091361057737</v>
      </c>
      <c r="E1731" s="18">
        <f>(FARMER_FIELD_HRS+A1731*TEMP_HRS)-D1731</f>
        <v>-4743.091361057737</v>
      </c>
      <c r="F1731" s="21">
        <f>IF(E1731&lt;0,0,MIN(COUNTIF(Labor!$C$59:$C$88,"&lt;="&amp;E1731),MAXBED_MES,TOTAL_BEDS-B1731-C1731))</f>
        <v>0</v>
      </c>
      <c r="G1731" s="21">
        <f>B1731+C1731+F1731</f>
        <v>35</v>
      </c>
      <c r="H1731" s="22">
        <f>IF(E1731&lt;0,-999999999,B1731*(PRICE_TOM-FERT_TOM)+C1731*(PRICE_CAR-FERT_CAR)+F1731*(PRICE_MES-FERT_MES)-(FARMER_SALARY+A1731*TEMP_COST)-FIXED_COSTS)</f>
        <v>-999999999</v>
      </c>
    </row>
    <row r="1732">
      <c r="A1732" s="5" t="n">
        <v>3</v>
      </c>
      <c r="B1732" s="5" t="n">
        <v>18</v>
      </c>
      <c r="C1732" s="5" t="n">
        <v>18</v>
      </c>
      <c r="D1732" s="18">
        <f>SEASON_HRS_TOM*B1732*(1+DIM_TOM)^B1732+SEASON_HRS_CAR*C1732*(1+DIM_CAR)^C1732</f>
        <v>9849.28175541894</v>
      </c>
      <c r="E1732" s="18">
        <f>(FARMER_FIELD_HRS+A1732*TEMP_HRS)-D1732</f>
        <v>-4809.2817554189405</v>
      </c>
      <c r="F1732" s="21">
        <f>IF(E1732&lt;0,0,MIN(COUNTIF(Labor!$C$59:$C$88,"&lt;="&amp;E1732),MAXBED_MES,TOTAL_BEDS-B1732-C1732))</f>
        <v>0</v>
      </c>
      <c r="G1732" s="21">
        <f>B1732+C1732+F1732</f>
        <v>36</v>
      </c>
      <c r="H1732" s="22">
        <f>IF(E1732&lt;0,-999999999,B1732*(PRICE_TOM-FERT_TOM)+C1732*(PRICE_CAR-FERT_CAR)+F1732*(PRICE_MES-FERT_MES)-(FARMER_SALARY+A1732*TEMP_COST)-FIXED_COSTS)</f>
        <v>-999999999</v>
      </c>
    </row>
    <row r="1733">
      <c r="A1733" s="5" t="n">
        <v>3</v>
      </c>
      <c r="B1733" s="5" t="n">
        <v>18</v>
      </c>
      <c r="C1733" s="5" t="n">
        <v>19</v>
      </c>
      <c r="D1733" s="18">
        <f>SEASON_HRS_TOM*B1733*(1+DIM_TOM)^B1733+SEASON_HRS_CAR*C1733*(1+DIM_CAR)^C1733</f>
        <v>9918.296653677453</v>
      </c>
      <c r="E1733" s="18">
        <f>(FARMER_FIELD_HRS+A1733*TEMP_HRS)-D1733</f>
        <v>-4878.296653677453</v>
      </c>
      <c r="F1733" s="21">
        <f>IF(E1733&lt;0,0,MIN(COUNTIF(Labor!$C$59:$C$88,"&lt;="&amp;E1733),MAXBED_MES,TOTAL_BEDS-B1733-C1733))</f>
        <v>0</v>
      </c>
      <c r="G1733" s="21">
        <f>B1733+C1733+F1733</f>
        <v>37</v>
      </c>
      <c r="H1733" s="22">
        <f>IF(E1733&lt;0,-999999999,B1733*(PRICE_TOM-FERT_TOM)+C1733*(PRICE_CAR-FERT_CAR)+F1733*(PRICE_MES-FERT_MES)-(FARMER_SALARY+A1733*TEMP_COST)-FIXED_COSTS)</f>
        <v>-999999999</v>
      </c>
    </row>
    <row r="1734">
      <c r="A1734" s="5" t="n">
        <v>3</v>
      </c>
      <c r="B1734" s="5" t="n">
        <v>18</v>
      </c>
      <c r="C1734" s="5" t="n">
        <v>20</v>
      </c>
      <c r="D1734" s="18">
        <f>SEASON_HRS_TOM*B1734*(1+DIM_TOM)^B1734+SEASON_HRS_CAR*C1734*(1+DIM_CAR)^C1734</f>
        <v>9990.235912031665</v>
      </c>
      <c r="E1734" s="18">
        <f>(FARMER_FIELD_HRS+A1734*TEMP_HRS)-D1734</f>
        <v>-4950.235912031665</v>
      </c>
      <c r="F1734" s="21">
        <f>IF(E1734&lt;0,0,MIN(COUNTIF(Labor!$C$59:$C$88,"&lt;="&amp;E1734),MAXBED_MES,TOTAL_BEDS-B1734-C1734))</f>
        <v>0</v>
      </c>
      <c r="G1734" s="21">
        <f>B1734+C1734+F1734</f>
        <v>38</v>
      </c>
      <c r="H1734" s="22">
        <f>IF(E1734&lt;0,-999999999,B1734*(PRICE_TOM-FERT_TOM)+C1734*(PRICE_CAR-FERT_CAR)+F1734*(PRICE_MES-FERT_MES)-(FARMER_SALARY+A1734*TEMP_COST)-FIXED_COSTS)</f>
        <v>-999999999</v>
      </c>
    </row>
    <row r="1735">
      <c r="A1735" s="5" t="n">
        <v>3</v>
      </c>
      <c r="B1735" s="5" t="n">
        <v>19</v>
      </c>
      <c r="C1735" s="5" t="n">
        <v>0</v>
      </c>
      <c r="D1735" s="18">
        <f>SEASON_HRS_TOM*B1735*(1+DIM_TOM)^B1735+SEASON_HRS_CAR*C1735*(1+DIM_CAR)^C1735</f>
        <v>10458.204466678904</v>
      </c>
      <c r="E1735" s="18">
        <f>(FARMER_FIELD_HRS+A1735*TEMP_HRS)-D1735</f>
        <v>-5418.204466678904</v>
      </c>
      <c r="F1735" s="21">
        <f>IF(E1735&lt;0,0,MIN(COUNTIF(Labor!$C$59:$C$88,"&lt;="&amp;E1735),MAXBED_MES,TOTAL_BEDS-B1735-C1735))</f>
        <v>0</v>
      </c>
      <c r="G1735" s="21">
        <f>B1735+C1735+F1735</f>
        <v>19</v>
      </c>
      <c r="H1735" s="22">
        <f>IF(E1735&lt;0,-999999999,B1735*(PRICE_TOM-FERT_TOM)+C1735*(PRICE_CAR-FERT_CAR)+F1735*(PRICE_MES-FERT_MES)-(FARMER_SALARY+A1735*TEMP_COST)-FIXED_COSTS)</f>
        <v>-999999999</v>
      </c>
    </row>
    <row r="1736">
      <c r="A1736" s="5" t="n">
        <v>3</v>
      </c>
      <c r="B1736" s="5" t="n">
        <v>19</v>
      </c>
      <c r="C1736" s="5" t="n">
        <v>1</v>
      </c>
      <c r="D1736" s="18">
        <f>SEASON_HRS_TOM*B1736*(1+DIM_TOM)^B1736+SEASON_HRS_CAR*C1736*(1+DIM_CAR)^C1736</f>
        <v>10488.954466678904</v>
      </c>
      <c r="E1736" s="18">
        <f>(FARMER_FIELD_HRS+A1736*TEMP_HRS)-D1736</f>
        <v>-5448.954466678904</v>
      </c>
      <c r="F1736" s="21">
        <f>IF(E1736&lt;0,0,MIN(COUNTIF(Labor!$C$59:$C$88,"&lt;="&amp;E1736),MAXBED_MES,TOTAL_BEDS-B1736-C1736))</f>
        <v>0</v>
      </c>
      <c r="G1736" s="21">
        <f>B1736+C1736+F1736</f>
        <v>20</v>
      </c>
      <c r="H1736" s="22">
        <f>IF(E1736&lt;0,-999999999,B1736*(PRICE_TOM-FERT_TOM)+C1736*(PRICE_CAR-FERT_CAR)+F1736*(PRICE_MES-FERT_MES)-(FARMER_SALARY+A1736*TEMP_COST)-FIXED_COSTS)</f>
        <v>-999999999</v>
      </c>
    </row>
    <row r="1737">
      <c r="A1737" s="5" t="n">
        <v>3</v>
      </c>
      <c r="B1737" s="5" t="n">
        <v>19</v>
      </c>
      <c r="C1737" s="5" t="n">
        <v>2</v>
      </c>
      <c r="D1737" s="18">
        <f>SEASON_HRS_TOM*B1737*(1+DIM_TOM)^B1737+SEASON_HRS_CAR*C1737*(1+DIM_CAR)^C1737</f>
        <v>10521.241966678905</v>
      </c>
      <c r="E1737" s="18">
        <f>(FARMER_FIELD_HRS+A1737*TEMP_HRS)-D1737</f>
        <v>-5481.241966678905</v>
      </c>
      <c r="F1737" s="21">
        <f>IF(E1737&lt;0,0,MIN(COUNTIF(Labor!$C$59:$C$88,"&lt;="&amp;E1737),MAXBED_MES,TOTAL_BEDS-B1737-C1737))</f>
        <v>0</v>
      </c>
      <c r="G1737" s="21">
        <f>B1737+C1737+F1737</f>
        <v>21</v>
      </c>
      <c r="H1737" s="22">
        <f>IF(E1737&lt;0,-999999999,B1737*(PRICE_TOM-FERT_TOM)+C1737*(PRICE_CAR-FERT_CAR)+F1737*(PRICE_MES-FERT_MES)-(FARMER_SALARY+A1737*TEMP_COST)-FIXED_COSTS)</f>
        <v>-999999999</v>
      </c>
    </row>
    <row r="1738">
      <c r="A1738" s="5" t="n">
        <v>3</v>
      </c>
      <c r="B1738" s="5" t="n">
        <v>19</v>
      </c>
      <c r="C1738" s="5" t="n">
        <v>3</v>
      </c>
      <c r="D1738" s="18">
        <f>SEASON_HRS_TOM*B1738*(1+DIM_TOM)^B1738+SEASON_HRS_CAR*C1738*(1+DIM_CAR)^C1738</f>
        <v>10555.124622928905</v>
      </c>
      <c r="E1738" s="18">
        <f>(FARMER_FIELD_HRS+A1738*TEMP_HRS)-D1738</f>
        <v>-5515.1246229289045</v>
      </c>
      <c r="F1738" s="21">
        <f>IF(E1738&lt;0,0,MIN(COUNTIF(Labor!$C$59:$C$88,"&lt;="&amp;E1738),MAXBED_MES,TOTAL_BEDS-B1738-C1738))</f>
        <v>0</v>
      </c>
      <c r="G1738" s="21">
        <f>B1738+C1738+F1738</f>
        <v>22</v>
      </c>
      <c r="H1738" s="22">
        <f>IF(E1738&lt;0,-999999999,B1738*(PRICE_TOM-FERT_TOM)+C1738*(PRICE_CAR-FERT_CAR)+F1738*(PRICE_MES-FERT_MES)-(FARMER_SALARY+A1738*TEMP_COST)-FIXED_COSTS)</f>
        <v>-999999999</v>
      </c>
    </row>
    <row r="1739">
      <c r="A1739" s="5" t="n">
        <v>3</v>
      </c>
      <c r="B1739" s="5" t="n">
        <v>19</v>
      </c>
      <c r="C1739" s="5" t="n">
        <v>4</v>
      </c>
      <c r="D1739" s="18">
        <f>SEASON_HRS_TOM*B1739*(1+DIM_TOM)^B1739+SEASON_HRS_CAR*C1739*(1+DIM_CAR)^C1739</f>
        <v>10590.662013553905</v>
      </c>
      <c r="E1739" s="18">
        <f>(FARMER_FIELD_HRS+A1739*TEMP_HRS)-D1739</f>
        <v>-5550.662013553905</v>
      </c>
      <c r="F1739" s="21">
        <f>IF(E1739&lt;0,0,MIN(COUNTIF(Labor!$C$59:$C$88,"&lt;="&amp;E1739),MAXBED_MES,TOTAL_BEDS-B1739-C1739))</f>
        <v>0</v>
      </c>
      <c r="G1739" s="21">
        <f>B1739+C1739+F1739</f>
        <v>23</v>
      </c>
      <c r="H1739" s="22">
        <f>IF(E1739&lt;0,-999999999,B1739*(PRICE_TOM-FERT_TOM)+C1739*(PRICE_CAR-FERT_CAR)+F1739*(PRICE_MES-FERT_MES)-(FARMER_SALARY+A1739*TEMP_COST)-FIXED_COSTS)</f>
        <v>-999999999</v>
      </c>
    </row>
    <row r="1740">
      <c r="A1740" s="5" t="n">
        <v>3</v>
      </c>
      <c r="B1740" s="5" t="n">
        <v>19</v>
      </c>
      <c r="C1740" s="5" t="n">
        <v>5</v>
      </c>
      <c r="D1740" s="18">
        <f>SEASON_HRS_TOM*B1740*(1+DIM_TOM)^B1740+SEASON_HRS_CAR*C1740*(1+DIM_CAR)^C1740</f>
        <v>10627.915698612498</v>
      </c>
      <c r="E1740" s="18">
        <f>(FARMER_FIELD_HRS+A1740*TEMP_HRS)-D1740</f>
        <v>-5587.915698612498</v>
      </c>
      <c r="F1740" s="21">
        <f>IF(E1740&lt;0,0,MIN(COUNTIF(Labor!$C$59:$C$88,"&lt;="&amp;E1740),MAXBED_MES,TOTAL_BEDS-B1740-C1740))</f>
        <v>0</v>
      </c>
      <c r="G1740" s="21">
        <f>B1740+C1740+F1740</f>
        <v>24</v>
      </c>
      <c r="H1740" s="22">
        <f>IF(E1740&lt;0,-999999999,B1740*(PRICE_TOM-FERT_TOM)+C1740*(PRICE_CAR-FERT_CAR)+F1740*(PRICE_MES-FERT_MES)-(FARMER_SALARY+A1740*TEMP_COST)-FIXED_COSTS)</f>
        <v>-999999999</v>
      </c>
    </row>
    <row r="1741">
      <c r="A1741" s="5" t="n">
        <v>3</v>
      </c>
      <c r="B1741" s="5" t="n">
        <v>19</v>
      </c>
      <c r="C1741" s="5" t="n">
        <v>6</v>
      </c>
      <c r="D1741" s="18">
        <f>SEASON_HRS_TOM*B1741*(1+DIM_TOM)^B1741+SEASON_HRS_CAR*C1741*(1+DIM_CAR)^C1741</f>
        <v>10666.949281957224</v>
      </c>
      <c r="E1741" s="18">
        <f>(FARMER_FIELD_HRS+A1741*TEMP_HRS)-D1741</f>
        <v>-5626.949281957224</v>
      </c>
      <c r="F1741" s="21">
        <f>IF(E1741&lt;0,0,MIN(COUNTIF(Labor!$C$59:$C$88,"&lt;="&amp;E1741),MAXBED_MES,TOTAL_BEDS-B1741-C1741))</f>
        <v>0</v>
      </c>
      <c r="G1741" s="21">
        <f>B1741+C1741+F1741</f>
        <v>25</v>
      </c>
      <c r="H1741" s="22">
        <f>IF(E1741&lt;0,-999999999,B1741*(PRICE_TOM-FERT_TOM)+C1741*(PRICE_CAR-FERT_CAR)+F1741*(PRICE_MES-FERT_MES)-(FARMER_SALARY+A1741*TEMP_COST)-FIXED_COSTS)</f>
        <v>-999999999</v>
      </c>
    </row>
    <row r="1742">
      <c r="A1742" s="5" t="n">
        <v>3</v>
      </c>
      <c r="B1742" s="5" t="n">
        <v>19</v>
      </c>
      <c r="C1742" s="5" t="n">
        <v>7</v>
      </c>
      <c r="D1742" s="18">
        <f>SEASON_HRS_TOM*B1742*(1+DIM_TOM)^B1742+SEASON_HRS_CAR*C1742*(1+DIM_CAR)^C1742</f>
        <v>10707.828474949229</v>
      </c>
      <c r="E1742" s="18">
        <f>(FARMER_FIELD_HRS+A1742*TEMP_HRS)-D1742</f>
        <v>-5667.828474949229</v>
      </c>
      <c r="F1742" s="21">
        <f>IF(E1742&lt;0,0,MIN(COUNTIF(Labor!$C$59:$C$88,"&lt;="&amp;E1742),MAXBED_MES,TOTAL_BEDS-B1742-C1742))</f>
        <v>0</v>
      </c>
      <c r="G1742" s="21">
        <f>B1742+C1742+F1742</f>
        <v>26</v>
      </c>
      <c r="H1742" s="22">
        <f>IF(E1742&lt;0,-999999999,B1742*(PRICE_TOM-FERT_TOM)+C1742*(PRICE_CAR-FERT_CAR)+F1742*(PRICE_MES-FERT_MES)-(FARMER_SALARY+A1742*TEMP_COST)-FIXED_COSTS)</f>
        <v>-999999999</v>
      </c>
    </row>
    <row r="1743">
      <c r="A1743" s="5" t="n">
        <v>3</v>
      </c>
      <c r="B1743" s="5" t="n">
        <v>19</v>
      </c>
      <c r="C1743" s="5" t="n">
        <v>8</v>
      </c>
      <c r="D1743" s="18">
        <f>SEASON_HRS_TOM*B1743*(1+DIM_TOM)^B1743+SEASON_HRS_CAR*C1743*(1+DIM_CAR)^C1743</f>
        <v>10750.621162081285</v>
      </c>
      <c r="E1743" s="18">
        <f>(FARMER_FIELD_HRS+A1743*TEMP_HRS)-D1743</f>
        <v>-5710.621162081285</v>
      </c>
      <c r="F1743" s="21">
        <f>IF(E1743&lt;0,0,MIN(COUNTIF(Labor!$C$59:$C$88,"&lt;="&amp;E1743),MAXBED_MES,TOTAL_BEDS-B1743-C1743))</f>
        <v>0</v>
      </c>
      <c r="G1743" s="21">
        <f>B1743+C1743+F1743</f>
        <v>27</v>
      </c>
      <c r="H1743" s="22">
        <f>IF(E1743&lt;0,-999999999,B1743*(PRICE_TOM-FERT_TOM)+C1743*(PRICE_CAR-FERT_CAR)+F1743*(PRICE_MES-FERT_MES)-(FARMER_SALARY+A1743*TEMP_COST)-FIXED_COSTS)</f>
        <v>-999999999</v>
      </c>
    </row>
    <row r="1744">
      <c r="A1744" s="5" t="n">
        <v>3</v>
      </c>
      <c r="B1744" s="5" t="n">
        <v>19</v>
      </c>
      <c r="C1744" s="5" t="n">
        <v>9</v>
      </c>
      <c r="D1744" s="18">
        <f>SEASON_HRS_TOM*B1744*(1+DIM_TOM)^B1744+SEASON_HRS_CAR*C1744*(1+DIM_CAR)^C1744</f>
        <v>10795.397468564774</v>
      </c>
      <c r="E1744" s="18">
        <f>(FARMER_FIELD_HRS+A1744*TEMP_HRS)-D1744</f>
        <v>-5755.397468564774</v>
      </c>
      <c r="F1744" s="21">
        <f>IF(E1744&lt;0,0,MIN(COUNTIF(Labor!$C$59:$C$88,"&lt;="&amp;E1744),MAXBED_MES,TOTAL_BEDS-B1744-C1744))</f>
        <v>0</v>
      </c>
      <c r="G1744" s="21">
        <f>B1744+C1744+F1744</f>
        <v>28</v>
      </c>
      <c r="H1744" s="22">
        <f>IF(E1744&lt;0,-999999999,B1744*(PRICE_TOM-FERT_TOM)+C1744*(PRICE_CAR-FERT_CAR)+F1744*(PRICE_MES-FERT_MES)-(FARMER_SALARY+A1744*TEMP_COST)-FIXED_COSTS)</f>
        <v>-999999999</v>
      </c>
    </row>
    <row r="1745">
      <c r="A1745" s="5" t="n">
        <v>3</v>
      </c>
      <c r="B1745" s="5" t="n">
        <v>19</v>
      </c>
      <c r="C1745" s="5" t="n">
        <v>10</v>
      </c>
      <c r="D1745" s="18">
        <f>SEASON_HRS_TOM*B1745*(1+DIM_TOM)^B1745+SEASON_HRS_CAR*C1745*(1+DIM_CAR)^C1745</f>
        <v>10842.22982993781</v>
      </c>
      <c r="E1745" s="18">
        <f>(FARMER_FIELD_HRS+A1745*TEMP_HRS)-D1745</f>
        <v>-5802.229829937811</v>
      </c>
      <c r="F1745" s="21">
        <f>IF(E1745&lt;0,0,MIN(COUNTIF(Labor!$C$59:$C$88,"&lt;="&amp;E1745),MAXBED_MES,TOTAL_BEDS-B1745-C1745))</f>
        <v>0</v>
      </c>
      <c r="G1745" s="21">
        <f>B1745+C1745+F1745</f>
        <v>29</v>
      </c>
      <c r="H1745" s="22">
        <f>IF(E1745&lt;0,-999999999,B1745*(PRICE_TOM-FERT_TOM)+C1745*(PRICE_CAR-FERT_CAR)+F1745*(PRICE_MES-FERT_MES)-(FARMER_SALARY+A1745*TEMP_COST)-FIXED_COSTS)</f>
        <v>-999999999</v>
      </c>
    </row>
    <row r="1746">
      <c r="A1746" s="5" t="n">
        <v>3</v>
      </c>
      <c r="B1746" s="5" t="n">
        <v>19</v>
      </c>
      <c r="C1746" s="5" t="n">
        <v>11</v>
      </c>
      <c r="D1746" s="18">
        <f>SEASON_HRS_TOM*B1746*(1+DIM_TOM)^B1746+SEASON_HRS_CAR*C1746*(1+DIM_CAR)^C1746</f>
        <v>10891.193063753322</v>
      </c>
      <c r="E1746" s="18">
        <f>(FARMER_FIELD_HRS+A1746*TEMP_HRS)-D1746</f>
        <v>-5851.193063753322</v>
      </c>
      <c r="F1746" s="21">
        <f>IF(E1746&lt;0,0,MIN(COUNTIF(Labor!$C$59:$C$88,"&lt;="&amp;E1746),MAXBED_MES,TOTAL_BEDS-B1746-C1746))</f>
        <v>0</v>
      </c>
      <c r="G1746" s="21">
        <f>B1746+C1746+F1746</f>
        <v>30</v>
      </c>
      <c r="H1746" s="22">
        <f>IF(E1746&lt;0,-999999999,B1746*(PRICE_TOM-FERT_TOM)+C1746*(PRICE_CAR-FERT_CAR)+F1746*(PRICE_MES-FERT_MES)-(FARMER_SALARY+A1746*TEMP_COST)-FIXED_COSTS)</f>
        <v>-999999999</v>
      </c>
    </row>
    <row r="1747">
      <c r="A1747" s="5" t="n">
        <v>3</v>
      </c>
      <c r="B1747" s="5" t="n">
        <v>19</v>
      </c>
      <c r="C1747" s="5" t="n">
        <v>12</v>
      </c>
      <c r="D1747" s="18">
        <f>SEASON_HRS_TOM*B1747*(1+DIM_TOM)^B1747+SEASON_HRS_CAR*C1747*(1+DIM_CAR)^C1747</f>
        <v>10942.36444340757</v>
      </c>
      <c r="E1747" s="18">
        <f>(FARMER_FIELD_HRS+A1747*TEMP_HRS)-D1747</f>
        <v>-5902.36444340757</v>
      </c>
      <c r="F1747" s="21">
        <f>IF(E1747&lt;0,0,MIN(COUNTIF(Labor!$C$59:$C$88,"&lt;="&amp;E1747),MAXBED_MES,TOTAL_BEDS-B1747-C1747))</f>
        <v>0</v>
      </c>
      <c r="G1747" s="21">
        <f>B1747+C1747+F1747</f>
        <v>31</v>
      </c>
      <c r="H1747" s="22">
        <f>IF(E1747&lt;0,-999999999,B1747*(PRICE_TOM-FERT_TOM)+C1747*(PRICE_CAR-FERT_CAR)+F1747*(PRICE_MES-FERT_MES)-(FARMER_SALARY+A1747*TEMP_COST)-FIXED_COSTS)</f>
        <v>-999999999</v>
      </c>
    </row>
    <row r="1748">
      <c r="A1748" s="5" t="n">
        <v>3</v>
      </c>
      <c r="B1748" s="5" t="n">
        <v>19</v>
      </c>
      <c r="C1748" s="5" t="n">
        <v>13</v>
      </c>
      <c r="D1748" s="18">
        <f>SEASON_HRS_TOM*B1748*(1+DIM_TOM)^B1748+SEASON_HRS_CAR*C1748*(1+DIM_CAR)^C1748</f>
        <v>10995.823774171362</v>
      </c>
      <c r="E1748" s="18">
        <f>(FARMER_FIELD_HRS+A1748*TEMP_HRS)-D1748</f>
        <v>-5955.823774171362</v>
      </c>
      <c r="F1748" s="21">
        <f>IF(E1748&lt;0,0,MIN(COUNTIF(Labor!$C$59:$C$88,"&lt;="&amp;E1748),MAXBED_MES,TOTAL_BEDS-B1748-C1748))</f>
        <v>0</v>
      </c>
      <c r="G1748" s="21">
        <f>B1748+C1748+F1748</f>
        <v>32</v>
      </c>
      <c r="H1748" s="22">
        <f>IF(E1748&lt;0,-999999999,B1748*(PRICE_TOM-FERT_TOM)+C1748*(PRICE_CAR-FERT_CAR)+F1748*(PRICE_MES-FERT_MES)-(FARMER_SALARY+A1748*TEMP_COST)-FIXED_COSTS)</f>
        <v>-999999999</v>
      </c>
    </row>
    <row r="1749">
      <c r="A1749" s="5" t="n">
        <v>3</v>
      </c>
      <c r="B1749" s="5" t="n">
        <v>19</v>
      </c>
      <c r="C1749" s="5" t="n">
        <v>14</v>
      </c>
      <c r="D1749" s="18">
        <f>SEASON_HRS_TOM*B1749*(1+DIM_TOM)^B1749+SEASON_HRS_CAR*C1749*(1+DIM_CAR)^C1749</f>
        <v>11051.653471487885</v>
      </c>
      <c r="E1749" s="18">
        <f>(FARMER_FIELD_HRS+A1749*TEMP_HRS)-D1749</f>
        <v>-6011.653471487885</v>
      </c>
      <c r="F1749" s="21">
        <f>IF(E1749&lt;0,0,MIN(COUNTIF(Labor!$C$59:$C$88,"&lt;="&amp;E1749),MAXBED_MES,TOTAL_BEDS-B1749-C1749))</f>
        <v>0</v>
      </c>
      <c r="G1749" s="21">
        <f>B1749+C1749+F1749</f>
        <v>33</v>
      </c>
      <c r="H1749" s="22">
        <f>IF(E1749&lt;0,-999999999,B1749*(PRICE_TOM-FERT_TOM)+C1749*(PRICE_CAR-FERT_CAR)+F1749*(PRICE_MES-FERT_MES)-(FARMER_SALARY+A1749*TEMP_COST)-FIXED_COSTS)</f>
        <v>-999999999</v>
      </c>
    </row>
    <row r="1750">
      <c r="A1750" s="5" t="n">
        <v>3</v>
      </c>
      <c r="B1750" s="5" t="n">
        <v>19</v>
      </c>
      <c r="C1750" s="5" t="n">
        <v>15</v>
      </c>
      <c r="D1750" s="18">
        <f>SEASON_HRS_TOM*B1750*(1+DIM_TOM)^B1750+SEASON_HRS_CAR*C1750*(1+DIM_CAR)^C1750</f>
        <v>11109.938641603054</v>
      </c>
      <c r="E1750" s="18">
        <f>(FARMER_FIELD_HRS+A1750*TEMP_HRS)-D1750</f>
        <v>-6069.938641603054</v>
      </c>
      <c r="F1750" s="21">
        <f>IF(E1750&lt;0,0,MIN(COUNTIF(Labor!$C$59:$C$88,"&lt;="&amp;E1750),MAXBED_MES,TOTAL_BEDS-B1750-C1750))</f>
        <v>0</v>
      </c>
      <c r="G1750" s="21">
        <f>B1750+C1750+F1750</f>
        <v>34</v>
      </c>
      <c r="H1750" s="22">
        <f>IF(E1750&lt;0,-999999999,B1750*(PRICE_TOM-FERT_TOM)+C1750*(PRICE_CAR-FERT_CAR)+F1750*(PRICE_MES-FERT_MES)-(FARMER_SALARY+A1750*TEMP_COST)-FIXED_COSTS)</f>
        <v>-999999999</v>
      </c>
    </row>
    <row r="1751">
      <c r="A1751" s="5" t="n">
        <v>3</v>
      </c>
      <c r="B1751" s="5" t="n">
        <v>19</v>
      </c>
      <c r="C1751" s="5" t="n">
        <v>16</v>
      </c>
      <c r="D1751" s="18">
        <f>SEASON_HRS_TOM*B1751*(1+DIM_TOM)^B1751+SEASON_HRS_CAR*C1751*(1+DIM_CAR)^C1751</f>
        <v>11170.767164595974</v>
      </c>
      <c r="E1751" s="18">
        <f>(FARMER_FIELD_HRS+A1751*TEMP_HRS)-D1751</f>
        <v>-6130.7671645959745</v>
      </c>
      <c r="F1751" s="21">
        <f>IF(E1751&lt;0,0,MIN(COUNTIF(Labor!$C$59:$C$88,"&lt;="&amp;E1751),MAXBED_MES,TOTAL_BEDS-B1751-C1751))</f>
        <v>0</v>
      </c>
      <c r="G1751" s="21">
        <f>B1751+C1751+F1751</f>
        <v>35</v>
      </c>
      <c r="H1751" s="22">
        <f>IF(E1751&lt;0,-999999999,B1751*(PRICE_TOM-FERT_TOM)+C1751*(PRICE_CAR-FERT_CAR)+F1751*(PRICE_MES-FERT_MES)-(FARMER_SALARY+A1751*TEMP_COST)-FIXED_COSTS)</f>
        <v>-999999999</v>
      </c>
    </row>
    <row r="1752">
      <c r="A1752" s="5" t="n">
        <v>3</v>
      </c>
      <c r="B1752" s="5" t="n">
        <v>19</v>
      </c>
      <c r="C1752" s="5" t="n">
        <v>17</v>
      </c>
      <c r="D1752" s="18">
        <f>SEASON_HRS_TOM*B1752*(1+DIM_TOM)^B1752+SEASON_HRS_CAR*C1752*(1+DIM_CAR)^C1752</f>
        <v>11234.229779879213</v>
      </c>
      <c r="E1752" s="18">
        <f>(FARMER_FIELD_HRS+A1752*TEMP_HRS)-D1752</f>
        <v>-6194.229779879213</v>
      </c>
      <c r="F1752" s="21">
        <f>IF(E1752&lt;0,0,MIN(COUNTIF(Labor!$C$59:$C$88,"&lt;="&amp;E1752),MAXBED_MES,TOTAL_BEDS-B1752-C1752))</f>
        <v>0</v>
      </c>
      <c r="G1752" s="21">
        <f>B1752+C1752+F1752</f>
        <v>36</v>
      </c>
      <c r="H1752" s="22">
        <f>IF(E1752&lt;0,-999999999,B1752*(PRICE_TOM-FERT_TOM)+C1752*(PRICE_CAR-FERT_CAR)+F1752*(PRICE_MES-FERT_MES)-(FARMER_SALARY+A1752*TEMP_COST)-FIXED_COSTS)</f>
        <v>-999999999</v>
      </c>
    </row>
    <row r="1753">
      <c r="A1753" s="5" t="n">
        <v>3</v>
      </c>
      <c r="B1753" s="5" t="n">
        <v>19</v>
      </c>
      <c r="C1753" s="5" t="n">
        <v>18</v>
      </c>
      <c r="D1753" s="18">
        <f>SEASON_HRS_TOM*B1753*(1+DIM_TOM)^B1753+SEASON_HRS_CAR*C1753*(1+DIM_CAR)^C1753</f>
        <v>11300.420174240417</v>
      </c>
      <c r="E1753" s="18">
        <f>(FARMER_FIELD_HRS+A1753*TEMP_HRS)-D1753</f>
        <v>-6260.420174240417</v>
      </c>
      <c r="F1753" s="21">
        <f>IF(E1753&lt;0,0,MIN(COUNTIF(Labor!$C$59:$C$88,"&lt;="&amp;E1753),MAXBED_MES,TOTAL_BEDS-B1753-C1753))</f>
        <v>0</v>
      </c>
      <c r="G1753" s="21">
        <f>B1753+C1753+F1753</f>
        <v>37</v>
      </c>
      <c r="H1753" s="22">
        <f>IF(E1753&lt;0,-999999999,B1753*(PRICE_TOM-FERT_TOM)+C1753*(PRICE_CAR-FERT_CAR)+F1753*(PRICE_MES-FERT_MES)-(FARMER_SALARY+A1753*TEMP_COST)-FIXED_COSTS)</f>
        <v>-999999999</v>
      </c>
    </row>
    <row r="1754">
      <c r="A1754" s="5" t="n">
        <v>3</v>
      </c>
      <c r="B1754" s="5" t="n">
        <v>19</v>
      </c>
      <c r="C1754" s="5" t="n">
        <v>19</v>
      </c>
      <c r="D1754" s="18">
        <f>SEASON_HRS_TOM*B1754*(1+DIM_TOM)^B1754+SEASON_HRS_CAR*C1754*(1+DIM_CAR)^C1754</f>
        <v>11369.435072498929</v>
      </c>
      <c r="E1754" s="18">
        <f>(FARMER_FIELD_HRS+A1754*TEMP_HRS)-D1754</f>
        <v>-6329.435072498929</v>
      </c>
      <c r="F1754" s="21">
        <f>IF(E1754&lt;0,0,MIN(COUNTIF(Labor!$C$59:$C$88,"&lt;="&amp;E1754),MAXBED_MES,TOTAL_BEDS-B1754-C1754))</f>
        <v>0</v>
      </c>
      <c r="G1754" s="21">
        <f>B1754+C1754+F1754</f>
        <v>38</v>
      </c>
      <c r="H1754" s="22">
        <f>IF(E1754&lt;0,-999999999,B1754*(PRICE_TOM-FERT_TOM)+C1754*(PRICE_CAR-FERT_CAR)+F1754*(PRICE_MES-FERT_MES)-(FARMER_SALARY+A1754*TEMP_COST)-FIXED_COSTS)</f>
        <v>-999999999</v>
      </c>
    </row>
    <row r="1755">
      <c r="A1755" s="5" t="n">
        <v>3</v>
      </c>
      <c r="B1755" s="5" t="n">
        <v>19</v>
      </c>
      <c r="C1755" s="5" t="n">
        <v>20</v>
      </c>
      <c r="D1755" s="18">
        <f>SEASON_HRS_TOM*B1755*(1+DIM_TOM)^B1755+SEASON_HRS_CAR*C1755*(1+DIM_CAR)^C1755</f>
        <v>11441.374330853141</v>
      </c>
      <c r="E1755" s="18">
        <f>(FARMER_FIELD_HRS+A1755*TEMP_HRS)-D1755</f>
        <v>-6401.374330853141</v>
      </c>
      <c r="F1755" s="21">
        <f>IF(E1755&lt;0,0,MIN(COUNTIF(Labor!$C$59:$C$88,"&lt;="&amp;E1755),MAXBED_MES,TOTAL_BEDS-B1755-C1755))</f>
        <v>0</v>
      </c>
      <c r="G1755" s="21">
        <f>B1755+C1755+F1755</f>
        <v>39</v>
      </c>
      <c r="H1755" s="22">
        <f>IF(E1755&lt;0,-999999999,B1755*(PRICE_TOM-FERT_TOM)+C1755*(PRICE_CAR-FERT_CAR)+F1755*(PRICE_MES-FERT_MES)-(FARMER_SALARY+A1755*TEMP_COST)-FIXED_COSTS)</f>
        <v>-999999999</v>
      </c>
    </row>
    <row r="1756">
      <c r="A1756" s="5" t="n">
        <v>3</v>
      </c>
      <c r="B1756" s="5" t="n">
        <v>20</v>
      </c>
      <c r="C1756" s="5" t="n">
        <v>0</v>
      </c>
      <c r="D1756" s="18">
        <f>SEASON_HRS_TOM*B1756*(1+DIM_TOM)^B1756+SEASON_HRS_CAR*C1756*(1+DIM_CAR)^C1756</f>
        <v>12109.4999087861</v>
      </c>
      <c r="E1756" s="18">
        <f>(FARMER_FIELD_HRS+A1756*TEMP_HRS)-D1756</f>
        <v>-7069.4999087861</v>
      </c>
      <c r="F1756" s="21">
        <f>IF(E1756&lt;0,0,MIN(COUNTIF(Labor!$C$59:$C$88,"&lt;="&amp;E1756),MAXBED_MES,TOTAL_BEDS-B1756-C1756))</f>
        <v>0</v>
      </c>
      <c r="G1756" s="21">
        <f>B1756+C1756+F1756</f>
        <v>20</v>
      </c>
      <c r="H1756" s="22">
        <f>IF(E1756&lt;0,-999999999,B1756*(PRICE_TOM-FERT_TOM)+C1756*(PRICE_CAR-FERT_CAR)+F1756*(PRICE_MES-FERT_MES)-(FARMER_SALARY+A1756*TEMP_COST)-FIXED_COSTS)</f>
        <v>-999999999</v>
      </c>
    </row>
    <row r="1757">
      <c r="A1757" s="5" t="n">
        <v>3</v>
      </c>
      <c r="B1757" s="5" t="n">
        <v>20</v>
      </c>
      <c r="C1757" s="5" t="n">
        <v>1</v>
      </c>
      <c r="D1757" s="18">
        <f>SEASON_HRS_TOM*B1757*(1+DIM_TOM)^B1757+SEASON_HRS_CAR*C1757*(1+DIM_CAR)^C1757</f>
        <v>12140.2499087861</v>
      </c>
      <c r="E1757" s="18">
        <f>(FARMER_FIELD_HRS+A1757*TEMP_HRS)-D1757</f>
        <v>-7100.2499087861</v>
      </c>
      <c r="F1757" s="21">
        <f>IF(E1757&lt;0,0,MIN(COUNTIF(Labor!$C$59:$C$88,"&lt;="&amp;E1757),MAXBED_MES,TOTAL_BEDS-B1757-C1757))</f>
        <v>0</v>
      </c>
      <c r="G1757" s="21">
        <f>B1757+C1757+F1757</f>
        <v>21</v>
      </c>
      <c r="H1757" s="22">
        <f>IF(E1757&lt;0,-999999999,B1757*(PRICE_TOM-FERT_TOM)+C1757*(PRICE_CAR-FERT_CAR)+F1757*(PRICE_MES-FERT_MES)-(FARMER_SALARY+A1757*TEMP_COST)-FIXED_COSTS)</f>
        <v>-999999999</v>
      </c>
    </row>
    <row r="1758">
      <c r="A1758" s="5" t="n">
        <v>3</v>
      </c>
      <c r="B1758" s="5" t="n">
        <v>20</v>
      </c>
      <c r="C1758" s="5" t="n">
        <v>2</v>
      </c>
      <c r="D1758" s="18">
        <f>SEASON_HRS_TOM*B1758*(1+DIM_TOM)^B1758+SEASON_HRS_CAR*C1758*(1+DIM_CAR)^C1758</f>
        <v>12172.5374087861</v>
      </c>
      <c r="E1758" s="18">
        <f>(FARMER_FIELD_HRS+A1758*TEMP_HRS)-D1758</f>
        <v>-7132.5374087861</v>
      </c>
      <c r="F1758" s="21">
        <f>IF(E1758&lt;0,0,MIN(COUNTIF(Labor!$C$59:$C$88,"&lt;="&amp;E1758),MAXBED_MES,TOTAL_BEDS-B1758-C1758))</f>
        <v>0</v>
      </c>
      <c r="G1758" s="21">
        <f>B1758+C1758+F1758</f>
        <v>22</v>
      </c>
      <c r="H1758" s="22">
        <f>IF(E1758&lt;0,-999999999,B1758*(PRICE_TOM-FERT_TOM)+C1758*(PRICE_CAR-FERT_CAR)+F1758*(PRICE_MES-FERT_MES)-(FARMER_SALARY+A1758*TEMP_COST)-FIXED_COSTS)</f>
        <v>-999999999</v>
      </c>
    </row>
    <row r="1759">
      <c r="A1759" s="5" t="n">
        <v>3</v>
      </c>
      <c r="B1759" s="5" t="n">
        <v>20</v>
      </c>
      <c r="C1759" s="5" t="n">
        <v>3</v>
      </c>
      <c r="D1759" s="18">
        <f>SEASON_HRS_TOM*B1759*(1+DIM_TOM)^B1759+SEASON_HRS_CAR*C1759*(1+DIM_CAR)^C1759</f>
        <v>12206.4200650361</v>
      </c>
      <c r="E1759" s="18">
        <f>(FARMER_FIELD_HRS+A1759*TEMP_HRS)-D1759</f>
        <v>-7166.4200650361</v>
      </c>
      <c r="F1759" s="21">
        <f>IF(E1759&lt;0,0,MIN(COUNTIF(Labor!$C$59:$C$88,"&lt;="&amp;E1759),MAXBED_MES,TOTAL_BEDS-B1759-C1759))</f>
        <v>0</v>
      </c>
      <c r="G1759" s="21">
        <f>B1759+C1759+F1759</f>
        <v>23</v>
      </c>
      <c r="H1759" s="22">
        <f>IF(E1759&lt;0,-999999999,B1759*(PRICE_TOM-FERT_TOM)+C1759*(PRICE_CAR-FERT_CAR)+F1759*(PRICE_MES-FERT_MES)-(FARMER_SALARY+A1759*TEMP_COST)-FIXED_COSTS)</f>
        <v>-999999999</v>
      </c>
    </row>
    <row r="1760">
      <c r="A1760" s="5" t="n">
        <v>3</v>
      </c>
      <c r="B1760" s="5" t="n">
        <v>20</v>
      </c>
      <c r="C1760" s="5" t="n">
        <v>4</v>
      </c>
      <c r="D1760" s="18">
        <f>SEASON_HRS_TOM*B1760*(1+DIM_TOM)^B1760+SEASON_HRS_CAR*C1760*(1+DIM_CAR)^C1760</f>
        <v>12241.9574556611</v>
      </c>
      <c r="E1760" s="18">
        <f>(FARMER_FIELD_HRS+A1760*TEMP_HRS)-D1760</f>
        <v>-7201.9574556611005</v>
      </c>
      <c r="F1760" s="21">
        <f>IF(E1760&lt;0,0,MIN(COUNTIF(Labor!$C$59:$C$88,"&lt;="&amp;E1760),MAXBED_MES,TOTAL_BEDS-B1760-C1760))</f>
        <v>0</v>
      </c>
      <c r="G1760" s="21">
        <f>B1760+C1760+F1760</f>
        <v>24</v>
      </c>
      <c r="H1760" s="22">
        <f>IF(E1760&lt;0,-999999999,B1760*(PRICE_TOM-FERT_TOM)+C1760*(PRICE_CAR-FERT_CAR)+F1760*(PRICE_MES-FERT_MES)-(FARMER_SALARY+A1760*TEMP_COST)-FIXED_COSTS)</f>
        <v>-999999999</v>
      </c>
    </row>
    <row r="1761">
      <c r="A1761" s="5" t="n">
        <v>3</v>
      </c>
      <c r="B1761" s="5" t="n">
        <v>20</v>
      </c>
      <c r="C1761" s="5" t="n">
        <v>5</v>
      </c>
      <c r="D1761" s="18">
        <f>SEASON_HRS_TOM*B1761*(1+DIM_TOM)^B1761+SEASON_HRS_CAR*C1761*(1+DIM_CAR)^C1761</f>
        <v>12279.211140719694</v>
      </c>
      <c r="E1761" s="18">
        <f>(FARMER_FIELD_HRS+A1761*TEMP_HRS)-D1761</f>
        <v>-7239.2111407196935</v>
      </c>
      <c r="F1761" s="21">
        <f>IF(E1761&lt;0,0,MIN(COUNTIF(Labor!$C$59:$C$88,"&lt;="&amp;E1761),MAXBED_MES,TOTAL_BEDS-B1761-C1761))</f>
        <v>0</v>
      </c>
      <c r="G1761" s="21">
        <f>B1761+C1761+F1761</f>
        <v>25</v>
      </c>
      <c r="H1761" s="22">
        <f>IF(E1761&lt;0,-999999999,B1761*(PRICE_TOM-FERT_TOM)+C1761*(PRICE_CAR-FERT_CAR)+F1761*(PRICE_MES-FERT_MES)-(FARMER_SALARY+A1761*TEMP_COST)-FIXED_COSTS)</f>
        <v>-999999999</v>
      </c>
    </row>
    <row r="1762">
      <c r="A1762" s="5" t="n">
        <v>3</v>
      </c>
      <c r="B1762" s="5" t="n">
        <v>20</v>
      </c>
      <c r="C1762" s="5" t="n">
        <v>6</v>
      </c>
      <c r="D1762" s="18">
        <f>SEASON_HRS_TOM*B1762*(1+DIM_TOM)^B1762+SEASON_HRS_CAR*C1762*(1+DIM_CAR)^C1762</f>
        <v>12318.24472406442</v>
      </c>
      <c r="E1762" s="18">
        <f>(FARMER_FIELD_HRS+A1762*TEMP_HRS)-D1762</f>
        <v>-7278.24472406442</v>
      </c>
      <c r="F1762" s="21">
        <f>IF(E1762&lt;0,0,MIN(COUNTIF(Labor!$C$59:$C$88,"&lt;="&amp;E1762),MAXBED_MES,TOTAL_BEDS-B1762-C1762))</f>
        <v>0</v>
      </c>
      <c r="G1762" s="21">
        <f>B1762+C1762+F1762</f>
        <v>26</v>
      </c>
      <c r="H1762" s="22">
        <f>IF(E1762&lt;0,-999999999,B1762*(PRICE_TOM-FERT_TOM)+C1762*(PRICE_CAR-FERT_CAR)+F1762*(PRICE_MES-FERT_MES)-(FARMER_SALARY+A1762*TEMP_COST)-FIXED_COSTS)</f>
        <v>-999999999</v>
      </c>
    </row>
    <row r="1763">
      <c r="A1763" s="5" t="n">
        <v>3</v>
      </c>
      <c r="B1763" s="5" t="n">
        <v>20</v>
      </c>
      <c r="C1763" s="5" t="n">
        <v>7</v>
      </c>
      <c r="D1763" s="18">
        <f>SEASON_HRS_TOM*B1763*(1+DIM_TOM)^B1763+SEASON_HRS_CAR*C1763*(1+DIM_CAR)^C1763</f>
        <v>12359.123917056424</v>
      </c>
      <c r="E1763" s="18">
        <f>(FARMER_FIELD_HRS+A1763*TEMP_HRS)-D1763</f>
        <v>-7319.123917056424</v>
      </c>
      <c r="F1763" s="21">
        <f>IF(E1763&lt;0,0,MIN(COUNTIF(Labor!$C$59:$C$88,"&lt;="&amp;E1763),MAXBED_MES,TOTAL_BEDS-B1763-C1763))</f>
        <v>0</v>
      </c>
      <c r="G1763" s="21">
        <f>B1763+C1763+F1763</f>
        <v>27</v>
      </c>
      <c r="H1763" s="22">
        <f>IF(E1763&lt;0,-999999999,B1763*(PRICE_TOM-FERT_TOM)+C1763*(PRICE_CAR-FERT_CAR)+F1763*(PRICE_MES-FERT_MES)-(FARMER_SALARY+A1763*TEMP_COST)-FIXED_COSTS)</f>
        <v>-999999999</v>
      </c>
    </row>
    <row r="1764">
      <c r="A1764" s="5" t="n">
        <v>3</v>
      </c>
      <c r="B1764" s="5" t="n">
        <v>20</v>
      </c>
      <c r="C1764" s="5" t="n">
        <v>8</v>
      </c>
      <c r="D1764" s="18">
        <f>SEASON_HRS_TOM*B1764*(1+DIM_TOM)^B1764+SEASON_HRS_CAR*C1764*(1+DIM_CAR)^C1764</f>
        <v>12401.91660418848</v>
      </c>
      <c r="E1764" s="18">
        <f>(FARMER_FIELD_HRS+A1764*TEMP_HRS)-D1764</f>
        <v>-7361.91660418848</v>
      </c>
      <c r="F1764" s="21">
        <f>IF(E1764&lt;0,0,MIN(COUNTIF(Labor!$C$59:$C$88,"&lt;="&amp;E1764),MAXBED_MES,TOTAL_BEDS-B1764-C1764))</f>
        <v>0</v>
      </c>
      <c r="G1764" s="21">
        <f>B1764+C1764+F1764</f>
        <v>28</v>
      </c>
      <c r="H1764" s="22">
        <f>IF(E1764&lt;0,-999999999,B1764*(PRICE_TOM-FERT_TOM)+C1764*(PRICE_CAR-FERT_CAR)+F1764*(PRICE_MES-FERT_MES)-(FARMER_SALARY+A1764*TEMP_COST)-FIXED_COSTS)</f>
        <v>-999999999</v>
      </c>
    </row>
    <row r="1765">
      <c r="A1765" s="5" t="n">
        <v>3</v>
      </c>
      <c r="B1765" s="5" t="n">
        <v>20</v>
      </c>
      <c r="C1765" s="5" t="n">
        <v>9</v>
      </c>
      <c r="D1765" s="18">
        <f>SEASON_HRS_TOM*B1765*(1+DIM_TOM)^B1765+SEASON_HRS_CAR*C1765*(1+DIM_CAR)^C1765</f>
        <v>12446.692910671969</v>
      </c>
      <c r="E1765" s="18">
        <f>(FARMER_FIELD_HRS+A1765*TEMP_HRS)-D1765</f>
        <v>-7406.692910671969</v>
      </c>
      <c r="F1765" s="21">
        <f>IF(E1765&lt;0,0,MIN(COUNTIF(Labor!$C$59:$C$88,"&lt;="&amp;E1765),MAXBED_MES,TOTAL_BEDS-B1765-C1765))</f>
        <v>0</v>
      </c>
      <c r="G1765" s="21">
        <f>B1765+C1765+F1765</f>
        <v>29</v>
      </c>
      <c r="H1765" s="22">
        <f>IF(E1765&lt;0,-999999999,B1765*(PRICE_TOM-FERT_TOM)+C1765*(PRICE_CAR-FERT_CAR)+F1765*(PRICE_MES-FERT_MES)-(FARMER_SALARY+A1765*TEMP_COST)-FIXED_COSTS)</f>
        <v>-999999999</v>
      </c>
    </row>
    <row r="1766">
      <c r="A1766" s="5" t="n">
        <v>3</v>
      </c>
      <c r="B1766" s="5" t="n">
        <v>20</v>
      </c>
      <c r="C1766" s="5" t="n">
        <v>10</v>
      </c>
      <c r="D1766" s="18">
        <f>SEASON_HRS_TOM*B1766*(1+DIM_TOM)^B1766+SEASON_HRS_CAR*C1766*(1+DIM_CAR)^C1766</f>
        <v>12493.525272045006</v>
      </c>
      <c r="E1766" s="18">
        <f>(FARMER_FIELD_HRS+A1766*TEMP_HRS)-D1766</f>
        <v>-7453.525272045006</v>
      </c>
      <c r="F1766" s="21">
        <f>IF(E1766&lt;0,0,MIN(COUNTIF(Labor!$C$59:$C$88,"&lt;="&amp;E1766),MAXBED_MES,TOTAL_BEDS-B1766-C1766))</f>
        <v>0</v>
      </c>
      <c r="G1766" s="21">
        <f>B1766+C1766+F1766</f>
        <v>30</v>
      </c>
      <c r="H1766" s="22">
        <f>IF(E1766&lt;0,-999999999,B1766*(PRICE_TOM-FERT_TOM)+C1766*(PRICE_CAR-FERT_CAR)+F1766*(PRICE_MES-FERT_MES)-(FARMER_SALARY+A1766*TEMP_COST)-FIXED_COSTS)</f>
        <v>-999999999</v>
      </c>
    </row>
    <row r="1767">
      <c r="A1767" s="5" t="n">
        <v>3</v>
      </c>
      <c r="B1767" s="5" t="n">
        <v>20</v>
      </c>
      <c r="C1767" s="5" t="n">
        <v>11</v>
      </c>
      <c r="D1767" s="18">
        <f>SEASON_HRS_TOM*B1767*(1+DIM_TOM)^B1767+SEASON_HRS_CAR*C1767*(1+DIM_CAR)^C1767</f>
        <v>12542.488505860518</v>
      </c>
      <c r="E1767" s="18">
        <f>(FARMER_FIELD_HRS+A1767*TEMP_HRS)-D1767</f>
        <v>-7502.488505860518</v>
      </c>
      <c r="F1767" s="21">
        <f>IF(E1767&lt;0,0,MIN(COUNTIF(Labor!$C$59:$C$88,"&lt;="&amp;E1767),MAXBED_MES,TOTAL_BEDS-B1767-C1767))</f>
        <v>0</v>
      </c>
      <c r="G1767" s="21">
        <f>B1767+C1767+F1767</f>
        <v>31</v>
      </c>
      <c r="H1767" s="22">
        <f>IF(E1767&lt;0,-999999999,B1767*(PRICE_TOM-FERT_TOM)+C1767*(PRICE_CAR-FERT_CAR)+F1767*(PRICE_MES-FERT_MES)-(FARMER_SALARY+A1767*TEMP_COST)-FIXED_COSTS)</f>
        <v>-999999999</v>
      </c>
    </row>
    <row r="1768">
      <c r="A1768" s="5" t="n">
        <v>3</v>
      </c>
      <c r="B1768" s="5" t="n">
        <v>20</v>
      </c>
      <c r="C1768" s="5" t="n">
        <v>12</v>
      </c>
      <c r="D1768" s="18">
        <f>SEASON_HRS_TOM*B1768*(1+DIM_TOM)^B1768+SEASON_HRS_CAR*C1768*(1+DIM_CAR)^C1768</f>
        <v>12593.659885514766</v>
      </c>
      <c r="E1768" s="18">
        <f>(FARMER_FIELD_HRS+A1768*TEMP_HRS)-D1768</f>
        <v>-7553.659885514766</v>
      </c>
      <c r="F1768" s="21">
        <f>IF(E1768&lt;0,0,MIN(COUNTIF(Labor!$C$59:$C$88,"&lt;="&amp;E1768),MAXBED_MES,TOTAL_BEDS-B1768-C1768))</f>
        <v>0</v>
      </c>
      <c r="G1768" s="21">
        <f>B1768+C1768+F1768</f>
        <v>32</v>
      </c>
      <c r="H1768" s="22">
        <f>IF(E1768&lt;0,-999999999,B1768*(PRICE_TOM-FERT_TOM)+C1768*(PRICE_CAR-FERT_CAR)+F1768*(PRICE_MES-FERT_MES)-(FARMER_SALARY+A1768*TEMP_COST)-FIXED_COSTS)</f>
        <v>-999999999</v>
      </c>
    </row>
    <row r="1769">
      <c r="A1769" s="5" t="n">
        <v>3</v>
      </c>
      <c r="B1769" s="5" t="n">
        <v>20</v>
      </c>
      <c r="C1769" s="5" t="n">
        <v>13</v>
      </c>
      <c r="D1769" s="18">
        <f>SEASON_HRS_TOM*B1769*(1+DIM_TOM)^B1769+SEASON_HRS_CAR*C1769*(1+DIM_CAR)^C1769</f>
        <v>12647.119216278557</v>
      </c>
      <c r="E1769" s="18">
        <f>(FARMER_FIELD_HRS+A1769*TEMP_HRS)-D1769</f>
        <v>-7607.119216278557</v>
      </c>
      <c r="F1769" s="21">
        <f>IF(E1769&lt;0,0,MIN(COUNTIF(Labor!$C$59:$C$88,"&lt;="&amp;E1769),MAXBED_MES,TOTAL_BEDS-B1769-C1769))</f>
        <v>0</v>
      </c>
      <c r="G1769" s="21">
        <f>B1769+C1769+F1769</f>
        <v>33</v>
      </c>
      <c r="H1769" s="22">
        <f>IF(E1769&lt;0,-999999999,B1769*(PRICE_TOM-FERT_TOM)+C1769*(PRICE_CAR-FERT_CAR)+F1769*(PRICE_MES-FERT_MES)-(FARMER_SALARY+A1769*TEMP_COST)-FIXED_COSTS)</f>
        <v>-999999999</v>
      </c>
    </row>
    <row r="1770">
      <c r="A1770" s="5" t="n">
        <v>3</v>
      </c>
      <c r="B1770" s="5" t="n">
        <v>20</v>
      </c>
      <c r="C1770" s="5" t="n">
        <v>14</v>
      </c>
      <c r="D1770" s="18">
        <f>SEASON_HRS_TOM*B1770*(1+DIM_TOM)^B1770+SEASON_HRS_CAR*C1770*(1+DIM_CAR)^C1770</f>
        <v>12702.94891359508</v>
      </c>
      <c r="E1770" s="18">
        <f>(FARMER_FIELD_HRS+A1770*TEMP_HRS)-D1770</f>
        <v>-7662.948913595081</v>
      </c>
      <c r="F1770" s="21">
        <f>IF(E1770&lt;0,0,MIN(COUNTIF(Labor!$C$59:$C$88,"&lt;="&amp;E1770),MAXBED_MES,TOTAL_BEDS-B1770-C1770))</f>
        <v>0</v>
      </c>
      <c r="G1770" s="21">
        <f>B1770+C1770+F1770</f>
        <v>34</v>
      </c>
      <c r="H1770" s="22">
        <f>IF(E1770&lt;0,-999999999,B1770*(PRICE_TOM-FERT_TOM)+C1770*(PRICE_CAR-FERT_CAR)+F1770*(PRICE_MES-FERT_MES)-(FARMER_SALARY+A1770*TEMP_COST)-FIXED_COSTS)</f>
        <v>-999999999</v>
      </c>
    </row>
    <row r="1771">
      <c r="A1771" s="5" t="n">
        <v>3</v>
      </c>
      <c r="B1771" s="5" t="n">
        <v>20</v>
      </c>
      <c r="C1771" s="5" t="n">
        <v>15</v>
      </c>
      <c r="D1771" s="18">
        <f>SEASON_HRS_TOM*B1771*(1+DIM_TOM)^B1771+SEASON_HRS_CAR*C1771*(1+DIM_CAR)^C1771</f>
        <v>12761.23408371025</v>
      </c>
      <c r="E1771" s="18">
        <f>(FARMER_FIELD_HRS+A1771*TEMP_HRS)-D1771</f>
        <v>-7721.234083710249</v>
      </c>
      <c r="F1771" s="21">
        <f>IF(E1771&lt;0,0,MIN(COUNTIF(Labor!$C$59:$C$88,"&lt;="&amp;E1771),MAXBED_MES,TOTAL_BEDS-B1771-C1771))</f>
        <v>0</v>
      </c>
      <c r="G1771" s="21">
        <f>B1771+C1771+F1771</f>
        <v>35</v>
      </c>
      <c r="H1771" s="22">
        <f>IF(E1771&lt;0,-999999999,B1771*(PRICE_TOM-FERT_TOM)+C1771*(PRICE_CAR-FERT_CAR)+F1771*(PRICE_MES-FERT_MES)-(FARMER_SALARY+A1771*TEMP_COST)-FIXED_COSTS)</f>
        <v>-999999999</v>
      </c>
    </row>
    <row r="1772">
      <c r="A1772" s="5" t="n">
        <v>3</v>
      </c>
      <c r="B1772" s="5" t="n">
        <v>20</v>
      </c>
      <c r="C1772" s="5" t="n">
        <v>16</v>
      </c>
      <c r="D1772" s="18">
        <f>SEASON_HRS_TOM*B1772*(1+DIM_TOM)^B1772+SEASON_HRS_CAR*C1772*(1+DIM_CAR)^C1772</f>
        <v>12822.06260670317</v>
      </c>
      <c r="E1772" s="18">
        <f>(FARMER_FIELD_HRS+A1772*TEMP_HRS)-D1772</f>
        <v>-7782.06260670317</v>
      </c>
      <c r="F1772" s="21">
        <f>IF(E1772&lt;0,0,MIN(COUNTIF(Labor!$C$59:$C$88,"&lt;="&amp;E1772),MAXBED_MES,TOTAL_BEDS-B1772-C1772))</f>
        <v>0</v>
      </c>
      <c r="G1772" s="21">
        <f>B1772+C1772+F1772</f>
        <v>36</v>
      </c>
      <c r="H1772" s="22">
        <f>IF(E1772&lt;0,-999999999,B1772*(PRICE_TOM-FERT_TOM)+C1772*(PRICE_CAR-FERT_CAR)+F1772*(PRICE_MES-FERT_MES)-(FARMER_SALARY+A1772*TEMP_COST)-FIXED_COSTS)</f>
        <v>-999999999</v>
      </c>
    </row>
    <row r="1773">
      <c r="A1773" s="5" t="n">
        <v>3</v>
      </c>
      <c r="B1773" s="5" t="n">
        <v>20</v>
      </c>
      <c r="C1773" s="5" t="n">
        <v>17</v>
      </c>
      <c r="D1773" s="18">
        <f>SEASON_HRS_TOM*B1773*(1+DIM_TOM)^B1773+SEASON_HRS_CAR*C1773*(1+DIM_CAR)^C1773</f>
        <v>12885.525221986409</v>
      </c>
      <c r="E1773" s="18">
        <f>(FARMER_FIELD_HRS+A1773*TEMP_HRS)-D1773</f>
        <v>-7845.525221986409</v>
      </c>
      <c r="F1773" s="21">
        <f>IF(E1773&lt;0,0,MIN(COUNTIF(Labor!$C$59:$C$88,"&lt;="&amp;E1773),MAXBED_MES,TOTAL_BEDS-B1773-C1773))</f>
        <v>0</v>
      </c>
      <c r="G1773" s="21">
        <f>B1773+C1773+F1773</f>
        <v>37</v>
      </c>
      <c r="H1773" s="22">
        <f>IF(E1773&lt;0,-999999999,B1773*(PRICE_TOM-FERT_TOM)+C1773*(PRICE_CAR-FERT_CAR)+F1773*(PRICE_MES-FERT_MES)-(FARMER_SALARY+A1773*TEMP_COST)-FIXED_COSTS)</f>
        <v>-999999999</v>
      </c>
    </row>
    <row r="1774">
      <c r="A1774" s="5" t="n">
        <v>3</v>
      </c>
      <c r="B1774" s="5" t="n">
        <v>20</v>
      </c>
      <c r="C1774" s="5" t="n">
        <v>18</v>
      </c>
      <c r="D1774" s="18">
        <f>SEASON_HRS_TOM*B1774*(1+DIM_TOM)^B1774+SEASON_HRS_CAR*C1774*(1+DIM_CAR)^C1774</f>
        <v>12951.715616347612</v>
      </c>
      <c r="E1774" s="18">
        <f>(FARMER_FIELD_HRS+A1774*TEMP_HRS)-D1774</f>
        <v>-7911.715616347612</v>
      </c>
      <c r="F1774" s="21">
        <f>IF(E1774&lt;0,0,MIN(COUNTIF(Labor!$C$59:$C$88,"&lt;="&amp;E1774),MAXBED_MES,TOTAL_BEDS-B1774-C1774))</f>
        <v>0</v>
      </c>
      <c r="G1774" s="21">
        <f>B1774+C1774+F1774</f>
        <v>38</v>
      </c>
      <c r="H1774" s="22">
        <f>IF(E1774&lt;0,-999999999,B1774*(PRICE_TOM-FERT_TOM)+C1774*(PRICE_CAR-FERT_CAR)+F1774*(PRICE_MES-FERT_MES)-(FARMER_SALARY+A1774*TEMP_COST)-FIXED_COSTS)</f>
        <v>-999999999</v>
      </c>
    </row>
    <row r="1775">
      <c r="A1775" s="5" t="n">
        <v>3</v>
      </c>
      <c r="B1775" s="5" t="n">
        <v>20</v>
      </c>
      <c r="C1775" s="5" t="n">
        <v>19</v>
      </c>
      <c r="D1775" s="18">
        <f>SEASON_HRS_TOM*B1775*(1+DIM_TOM)^B1775+SEASON_HRS_CAR*C1775*(1+DIM_CAR)^C1775</f>
        <v>13020.730514606124</v>
      </c>
      <c r="E1775" s="18">
        <f>(FARMER_FIELD_HRS+A1775*TEMP_HRS)-D1775</f>
        <v>-7980.730514606124</v>
      </c>
      <c r="F1775" s="21">
        <f>IF(E1775&lt;0,0,MIN(COUNTIF(Labor!$C$59:$C$88,"&lt;="&amp;E1775),MAXBED_MES,TOTAL_BEDS-B1775-C1775))</f>
        <v>0</v>
      </c>
      <c r="G1775" s="21">
        <f>B1775+C1775+F1775</f>
        <v>39</v>
      </c>
      <c r="H1775" s="22">
        <f>IF(E1775&lt;0,-999999999,B1775*(PRICE_TOM-FERT_TOM)+C1775*(PRICE_CAR-FERT_CAR)+F1775*(PRICE_MES-FERT_MES)-(FARMER_SALARY+A1775*TEMP_COST)-FIXED_COSTS)</f>
        <v>-999999999</v>
      </c>
    </row>
    <row r="1776">
      <c r="A1776" s="5" t="n">
        <v>3</v>
      </c>
      <c r="B1776" s="5" t="n">
        <v>20</v>
      </c>
      <c r="C1776" s="5" t="n">
        <v>20</v>
      </c>
      <c r="D1776" s="18">
        <f>SEASON_HRS_TOM*B1776*(1+DIM_TOM)^B1776+SEASON_HRS_CAR*C1776*(1+DIM_CAR)^C1776</f>
        <v>13092.669772960337</v>
      </c>
      <c r="E1776" s="18">
        <f>(FARMER_FIELD_HRS+A1776*TEMP_HRS)-D1776</f>
        <v>-8052.669772960337</v>
      </c>
      <c r="F1776" s="21">
        <f>IF(E1776&lt;0,0,MIN(COUNTIF(Labor!$C$59:$C$88,"&lt;="&amp;E1776),MAXBED_MES,TOTAL_BEDS-B1776-C1776))</f>
        <v>0</v>
      </c>
      <c r="G1776" s="21">
        <f>B1776+C1776+F1776</f>
        <v>40</v>
      </c>
      <c r="H1776" s="22">
        <f>IF(E1776&lt;0,-999999999,B1776*(PRICE_TOM-FERT_TOM)+C1776*(PRICE_CAR-FERT_CAR)+F1776*(PRICE_MES-FERT_MES)-(FARMER_SALARY+A1776*TEMP_COST)-FIXED_COSTS)</f>
        <v>-999999999</v>
      </c>
    </row>
    <row r="1777">
      <c r="A1777" s="5" t="n">
        <v>4</v>
      </c>
      <c r="B1777" s="5" t="n">
        <v>0</v>
      </c>
      <c r="C1777" s="5" t="n">
        <v>0</v>
      </c>
      <c r="D1777" s="18">
        <f>SEASON_HRS_TOM*B1777*(1+DIM_TOM)^B1777+SEASON_HRS_CAR*C1777*(1+DIM_CAR)^C1777</f>
        <v>0</v>
      </c>
      <c r="E1777" s="18">
        <f>(FARMER_FIELD_HRS+A1777*TEMP_HRS)-D1777</f>
        <v>6480</v>
      </c>
      <c r="F1777" s="21">
        <f>IF(E1777&lt;0,0,MIN(COUNTIF(Labor!$C$59:$C$88,"&lt;="&amp;E1777),MAXBED_MES,TOTAL_BEDS-B1777-C1777))</f>
        <v>30</v>
      </c>
      <c r="G1777" s="21">
        <f>B1777+C1777+F1777</f>
        <v>30</v>
      </c>
      <c r="H1777" s="22">
        <f>IF(E1777&lt;0,-999999999,B1777*(PRICE_TOM-FERT_TOM)+C1777*(PRICE_CAR-FERT_CAR)+F1777*(PRICE_MES-FERT_MES)-(FARMER_SALARY+A1777*TEMP_COST)-FIXED_COSTS)</f>
        <v>-115400</v>
      </c>
    </row>
    <row r="1778">
      <c r="A1778" s="5" t="n">
        <v>4</v>
      </c>
      <c r="B1778" s="5" t="n">
        <v>0</v>
      </c>
      <c r="C1778" s="5" t="n">
        <v>1</v>
      </c>
      <c r="D1778" s="18">
        <f>SEASON_HRS_TOM*B1778*(1+DIM_TOM)^B1778+SEASON_HRS_CAR*C1778*(1+DIM_CAR)^C1778</f>
        <v>30.749999999999996</v>
      </c>
      <c r="E1778" s="18">
        <f>(FARMER_FIELD_HRS+A1778*TEMP_HRS)-D1778</f>
        <v>6449.25</v>
      </c>
      <c r="F1778" s="21">
        <f>IF(E1778&lt;0,0,MIN(COUNTIF(Labor!$C$59:$C$88,"&lt;="&amp;E1778),MAXBED_MES,TOTAL_BEDS-B1778-C1778))</f>
        <v>30</v>
      </c>
      <c r="G1778" s="21">
        <f>B1778+C1778+F1778</f>
        <v>31</v>
      </c>
      <c r="H1778" s="22">
        <f>IF(E1778&lt;0,-999999999,B1778*(PRICE_TOM-FERT_TOM)+C1778*(PRICE_CAR-FERT_CAR)+F1778*(PRICE_MES-FERT_MES)-(FARMER_SALARY+A1778*TEMP_COST)-FIXED_COSTS)</f>
        <v>-113746</v>
      </c>
    </row>
    <row r="1779">
      <c r="A1779" s="5" t="n">
        <v>4</v>
      </c>
      <c r="B1779" s="5" t="n">
        <v>0</v>
      </c>
      <c r="C1779" s="5" t="n">
        <v>2</v>
      </c>
      <c r="D1779" s="18">
        <f>SEASON_HRS_TOM*B1779*(1+DIM_TOM)^B1779+SEASON_HRS_CAR*C1779*(1+DIM_CAR)^C1779</f>
        <v>63.037499999999994</v>
      </c>
      <c r="E1779" s="18">
        <f>(FARMER_FIELD_HRS+A1779*TEMP_HRS)-D1779</f>
        <v>6416.9625</v>
      </c>
      <c r="F1779" s="21">
        <f>IF(E1779&lt;0,0,MIN(COUNTIF(Labor!$C$59:$C$88,"&lt;="&amp;E1779),MAXBED_MES,TOTAL_BEDS-B1779-C1779))</f>
        <v>30</v>
      </c>
      <c r="G1779" s="21">
        <f>B1779+C1779+F1779</f>
        <v>32</v>
      </c>
      <c r="H1779" s="22">
        <f>IF(E1779&lt;0,-999999999,B1779*(PRICE_TOM-FERT_TOM)+C1779*(PRICE_CAR-FERT_CAR)+F1779*(PRICE_MES-FERT_MES)-(FARMER_SALARY+A1779*TEMP_COST)-FIXED_COSTS)</f>
        <v>-112092</v>
      </c>
    </row>
    <row r="1780">
      <c r="A1780" s="5" t="n">
        <v>4</v>
      </c>
      <c r="B1780" s="5" t="n">
        <v>0</v>
      </c>
      <c r="C1780" s="5" t="n">
        <v>3</v>
      </c>
      <c r="D1780" s="18">
        <f>SEASON_HRS_TOM*B1780*(1+DIM_TOM)^B1780+SEASON_HRS_CAR*C1780*(1+DIM_CAR)^C1780</f>
        <v>96.92015624999996</v>
      </c>
      <c r="E1780" s="18">
        <f>(FARMER_FIELD_HRS+A1780*TEMP_HRS)-D1780</f>
        <v>6383.07984375</v>
      </c>
      <c r="F1780" s="21">
        <f>IF(E1780&lt;0,0,MIN(COUNTIF(Labor!$C$59:$C$88,"&lt;="&amp;E1780),MAXBED_MES,TOTAL_BEDS-B1780-C1780))</f>
        <v>30</v>
      </c>
      <c r="G1780" s="21">
        <f>B1780+C1780+F1780</f>
        <v>33</v>
      </c>
      <c r="H1780" s="22">
        <f>IF(E1780&lt;0,-999999999,B1780*(PRICE_TOM-FERT_TOM)+C1780*(PRICE_CAR-FERT_CAR)+F1780*(PRICE_MES-FERT_MES)-(FARMER_SALARY+A1780*TEMP_COST)-FIXED_COSTS)</f>
        <v>-110438</v>
      </c>
    </row>
    <row r="1781">
      <c r="A1781" s="5" t="n">
        <v>4</v>
      </c>
      <c r="B1781" s="5" t="n">
        <v>0</v>
      </c>
      <c r="C1781" s="5" t="n">
        <v>4</v>
      </c>
      <c r="D1781" s="18">
        <f>SEASON_HRS_TOM*B1781*(1+DIM_TOM)^B1781+SEASON_HRS_CAR*C1781*(1+DIM_CAR)^C1781</f>
        <v>132.45754687499993</v>
      </c>
      <c r="E1781" s="18">
        <f>(FARMER_FIELD_HRS+A1781*TEMP_HRS)-D1781</f>
        <v>6347.542453125</v>
      </c>
      <c r="F1781" s="21">
        <f>IF(E1781&lt;0,0,MIN(COUNTIF(Labor!$C$59:$C$88,"&lt;="&amp;E1781),MAXBED_MES,TOTAL_BEDS-B1781-C1781))</f>
        <v>30</v>
      </c>
      <c r="G1781" s="21">
        <f>B1781+C1781+F1781</f>
        <v>34</v>
      </c>
      <c r="H1781" s="22">
        <f>IF(E1781&lt;0,-999999999,B1781*(PRICE_TOM-FERT_TOM)+C1781*(PRICE_CAR-FERT_CAR)+F1781*(PRICE_MES-FERT_MES)-(FARMER_SALARY+A1781*TEMP_COST)-FIXED_COSTS)</f>
        <v>-108784</v>
      </c>
    </row>
    <row r="1782">
      <c r="A1782" s="5" t="n">
        <v>4</v>
      </c>
      <c r="B1782" s="5" t="n">
        <v>0</v>
      </c>
      <c r="C1782" s="5" t="n">
        <v>5</v>
      </c>
      <c r="D1782" s="18">
        <f>SEASON_HRS_TOM*B1782*(1+DIM_TOM)^B1782+SEASON_HRS_CAR*C1782*(1+DIM_CAR)^C1782</f>
        <v>169.71123193359367</v>
      </c>
      <c r="E1782" s="18">
        <f>(FARMER_FIELD_HRS+A1782*TEMP_HRS)-D1782</f>
        <v>6310.288768066406</v>
      </c>
      <c r="F1782" s="21">
        <f>IF(E1782&lt;0,0,MIN(COUNTIF(Labor!$C$59:$C$88,"&lt;="&amp;E1782),MAXBED_MES,TOTAL_BEDS-B1782-C1782))</f>
        <v>30</v>
      </c>
      <c r="G1782" s="21">
        <f>B1782+C1782+F1782</f>
        <v>35</v>
      </c>
      <c r="H1782" s="22">
        <f>IF(E1782&lt;0,-999999999,B1782*(PRICE_TOM-FERT_TOM)+C1782*(PRICE_CAR-FERT_CAR)+F1782*(PRICE_MES-FERT_MES)-(FARMER_SALARY+A1782*TEMP_COST)-FIXED_COSTS)</f>
        <v>-107130</v>
      </c>
    </row>
    <row r="1783">
      <c r="A1783" s="5" t="n">
        <v>4</v>
      </c>
      <c r="B1783" s="5" t="n">
        <v>0</v>
      </c>
      <c r="C1783" s="5" t="n">
        <v>6</v>
      </c>
      <c r="D1783" s="18">
        <f>SEASON_HRS_TOM*B1783*(1+DIM_TOM)^B1783+SEASON_HRS_CAR*C1783*(1+DIM_CAR)^C1783</f>
        <v>208.7448152783202</v>
      </c>
      <c r="E1783" s="18">
        <f>(FARMER_FIELD_HRS+A1783*TEMP_HRS)-D1783</f>
        <v>6271.25518472168</v>
      </c>
      <c r="F1783" s="21">
        <f>IF(E1783&lt;0,0,MIN(COUNTIF(Labor!$C$59:$C$88,"&lt;="&amp;E1783),MAXBED_MES,TOTAL_BEDS-B1783-C1783))</f>
        <v>30</v>
      </c>
      <c r="G1783" s="21">
        <f>B1783+C1783+F1783</f>
        <v>36</v>
      </c>
      <c r="H1783" s="22">
        <f>IF(E1783&lt;0,-999999999,B1783*(PRICE_TOM-FERT_TOM)+C1783*(PRICE_CAR-FERT_CAR)+F1783*(PRICE_MES-FERT_MES)-(FARMER_SALARY+A1783*TEMP_COST)-FIXED_COSTS)</f>
        <v>-105476</v>
      </c>
    </row>
    <row r="1784">
      <c r="A1784" s="5" t="n">
        <v>4</v>
      </c>
      <c r="B1784" s="5" t="n">
        <v>0</v>
      </c>
      <c r="C1784" s="5" t="n">
        <v>7</v>
      </c>
      <c r="D1784" s="18">
        <f>SEASON_HRS_TOM*B1784*(1+DIM_TOM)^B1784+SEASON_HRS_CAR*C1784*(1+DIM_CAR)^C1784</f>
        <v>249.62400827032457</v>
      </c>
      <c r="E1784" s="18">
        <f>(FARMER_FIELD_HRS+A1784*TEMP_HRS)-D1784</f>
        <v>6230.375991729676</v>
      </c>
      <c r="F1784" s="21">
        <f>IF(E1784&lt;0,0,MIN(COUNTIF(Labor!$C$59:$C$88,"&lt;="&amp;E1784),MAXBED_MES,TOTAL_BEDS-B1784-C1784))</f>
        <v>30</v>
      </c>
      <c r="G1784" s="21">
        <f>B1784+C1784+F1784</f>
        <v>37</v>
      </c>
      <c r="H1784" s="22">
        <f>IF(E1784&lt;0,-999999999,B1784*(PRICE_TOM-FERT_TOM)+C1784*(PRICE_CAR-FERT_CAR)+F1784*(PRICE_MES-FERT_MES)-(FARMER_SALARY+A1784*TEMP_COST)-FIXED_COSTS)</f>
        <v>-103822</v>
      </c>
    </row>
    <row r="1785">
      <c r="A1785" s="5" t="n">
        <v>4</v>
      </c>
      <c r="B1785" s="5" t="n">
        <v>0</v>
      </c>
      <c r="C1785" s="5" t="n">
        <v>8</v>
      </c>
      <c r="D1785" s="18">
        <f>SEASON_HRS_TOM*B1785*(1+DIM_TOM)^B1785+SEASON_HRS_CAR*C1785*(1+DIM_CAR)^C1785</f>
        <v>292.4166954023801</v>
      </c>
      <c r="E1785" s="18">
        <f>(FARMER_FIELD_HRS+A1785*TEMP_HRS)-D1785</f>
        <v>6187.58330459762</v>
      </c>
      <c r="F1785" s="21">
        <f>IF(E1785&lt;0,0,MIN(COUNTIF(Labor!$C$59:$C$88,"&lt;="&amp;E1785),MAXBED_MES,TOTAL_BEDS-B1785-C1785))</f>
        <v>30</v>
      </c>
      <c r="G1785" s="21">
        <f>B1785+C1785+F1785</f>
        <v>38</v>
      </c>
      <c r="H1785" s="22">
        <f>IF(E1785&lt;0,-999999999,B1785*(PRICE_TOM-FERT_TOM)+C1785*(PRICE_CAR-FERT_CAR)+F1785*(PRICE_MES-FERT_MES)-(FARMER_SALARY+A1785*TEMP_COST)-FIXED_COSTS)</f>
        <v>-102168</v>
      </c>
    </row>
    <row r="1786">
      <c r="A1786" s="5" t="n">
        <v>4</v>
      </c>
      <c r="B1786" s="5" t="n">
        <v>0</v>
      </c>
      <c r="C1786" s="5" t="n">
        <v>9</v>
      </c>
      <c r="D1786" s="18">
        <f>SEASON_HRS_TOM*B1786*(1+DIM_TOM)^B1786+SEASON_HRS_CAR*C1786*(1+DIM_CAR)^C1786</f>
        <v>337.1930018858696</v>
      </c>
      <c r="E1786" s="18">
        <f>(FARMER_FIELD_HRS+A1786*TEMP_HRS)-D1786</f>
        <v>6142.806998114131</v>
      </c>
      <c r="F1786" s="21">
        <f>IF(E1786&lt;0,0,MIN(COUNTIF(Labor!$C$59:$C$88,"&lt;="&amp;E1786),MAXBED_MES,TOTAL_BEDS-B1786-C1786))</f>
        <v>30</v>
      </c>
      <c r="G1786" s="21">
        <f>B1786+C1786+F1786</f>
        <v>39</v>
      </c>
      <c r="H1786" s="22">
        <f>IF(E1786&lt;0,-999999999,B1786*(PRICE_TOM-FERT_TOM)+C1786*(PRICE_CAR-FERT_CAR)+F1786*(PRICE_MES-FERT_MES)-(FARMER_SALARY+A1786*TEMP_COST)-FIXED_COSTS)</f>
        <v>-100514</v>
      </c>
    </row>
    <row r="1787">
      <c r="A1787" s="5" t="n">
        <v>4</v>
      </c>
      <c r="B1787" s="5" t="n">
        <v>0</v>
      </c>
      <c r="C1787" s="5" t="n">
        <v>10</v>
      </c>
      <c r="D1787" s="18">
        <f>SEASON_HRS_TOM*B1787*(1+DIM_TOM)^B1787+SEASON_HRS_CAR*C1787*(1+DIM_CAR)^C1787</f>
        <v>384.025363258907</v>
      </c>
      <c r="E1787" s="18">
        <f>(FARMER_FIELD_HRS+A1787*TEMP_HRS)-D1787</f>
        <v>6095.974636741093</v>
      </c>
      <c r="F1787" s="21">
        <f>IF(E1787&lt;0,0,MIN(COUNTIF(Labor!$C$59:$C$88,"&lt;="&amp;E1787),MAXBED_MES,TOTAL_BEDS-B1787-C1787))</f>
        <v>30</v>
      </c>
      <c r="G1787" s="21">
        <f>B1787+C1787+F1787</f>
        <v>40</v>
      </c>
      <c r="H1787" s="22">
        <f>IF(E1787&lt;0,-999999999,B1787*(PRICE_TOM-FERT_TOM)+C1787*(PRICE_CAR-FERT_CAR)+F1787*(PRICE_MES-FERT_MES)-(FARMER_SALARY+A1787*TEMP_COST)-FIXED_COSTS)</f>
        <v>-98860</v>
      </c>
    </row>
    <row r="1788">
      <c r="A1788" s="5" t="n">
        <v>4</v>
      </c>
      <c r="B1788" s="5" t="n">
        <v>0</v>
      </c>
      <c r="C1788" s="5" t="n">
        <v>11</v>
      </c>
      <c r="D1788" s="18">
        <f>SEASON_HRS_TOM*B1788*(1+DIM_TOM)^B1788+SEASON_HRS_CAR*C1788*(1+DIM_CAR)^C1788</f>
        <v>432.9885970744176</v>
      </c>
      <c r="E1788" s="18">
        <f>(FARMER_FIELD_HRS+A1788*TEMP_HRS)-D1788</f>
        <v>6047.011402925582</v>
      </c>
      <c r="F1788" s="21">
        <f>IF(E1788&lt;0,0,MIN(COUNTIF(Labor!$C$59:$C$88,"&lt;="&amp;E1788),MAXBED_MES,TOTAL_BEDS-B1788-C1788))</f>
        <v>30</v>
      </c>
      <c r="G1788" s="21">
        <f>B1788+C1788+F1788</f>
        <v>41</v>
      </c>
      <c r="H1788" s="22">
        <f>IF(E1788&lt;0,-999999999,B1788*(PRICE_TOM-FERT_TOM)+C1788*(PRICE_CAR-FERT_CAR)+F1788*(PRICE_MES-FERT_MES)-(FARMER_SALARY+A1788*TEMP_COST)-FIXED_COSTS)</f>
        <v>-97206</v>
      </c>
    </row>
    <row r="1789">
      <c r="A1789" s="5" t="n">
        <v>4</v>
      </c>
      <c r="B1789" s="5" t="n">
        <v>0</v>
      </c>
      <c r="C1789" s="5" t="n">
        <v>12</v>
      </c>
      <c r="D1789" s="18">
        <f>SEASON_HRS_TOM*B1789*(1+DIM_TOM)^B1789+SEASON_HRS_CAR*C1789*(1+DIM_CAR)^C1789</f>
        <v>484.15997672866695</v>
      </c>
      <c r="E1789" s="18">
        <f>(FARMER_FIELD_HRS+A1789*TEMP_HRS)-D1789</f>
        <v>5995.840023271333</v>
      </c>
      <c r="F1789" s="21">
        <f>IF(E1789&lt;0,0,MIN(COUNTIF(Labor!$C$59:$C$88,"&lt;="&amp;E1789),MAXBED_MES,TOTAL_BEDS-B1789-C1789))</f>
        <v>30</v>
      </c>
      <c r="G1789" s="21">
        <f>B1789+C1789+F1789</f>
        <v>42</v>
      </c>
      <c r="H1789" s="22">
        <f>IF(E1789&lt;0,-999999999,B1789*(PRICE_TOM-FERT_TOM)+C1789*(PRICE_CAR-FERT_CAR)+F1789*(PRICE_MES-FERT_MES)-(FARMER_SALARY+A1789*TEMP_COST)-FIXED_COSTS)</f>
        <v>-95552</v>
      </c>
    </row>
    <row r="1790">
      <c r="A1790" s="5" t="n">
        <v>4</v>
      </c>
      <c r="B1790" s="5" t="n">
        <v>0</v>
      </c>
      <c r="C1790" s="5" t="n">
        <v>13</v>
      </c>
      <c r="D1790" s="18">
        <f>SEASON_HRS_TOM*B1790*(1+DIM_TOM)^B1790+SEASON_HRS_CAR*C1790*(1+DIM_CAR)^C1790</f>
        <v>537.6193074924571</v>
      </c>
      <c r="E1790" s="18">
        <f>(FARMER_FIELD_HRS+A1790*TEMP_HRS)-D1790</f>
        <v>5942.380692507543</v>
      </c>
      <c r="F1790" s="21">
        <f>IF(E1790&lt;0,0,MIN(COUNTIF(Labor!$C$59:$C$88,"&lt;="&amp;E1790),MAXBED_MES,TOTAL_BEDS-B1790-C1790))</f>
        <v>30</v>
      </c>
      <c r="G1790" s="21">
        <f>B1790+C1790+F1790</f>
        <v>43</v>
      </c>
      <c r="H1790" s="22">
        <f>IF(E1790&lt;0,-999999999,B1790*(PRICE_TOM-FERT_TOM)+C1790*(PRICE_CAR-FERT_CAR)+F1790*(PRICE_MES-FERT_MES)-(FARMER_SALARY+A1790*TEMP_COST)-FIXED_COSTS)</f>
        <v>-93898</v>
      </c>
    </row>
    <row r="1791">
      <c r="A1791" s="5" t="n">
        <v>4</v>
      </c>
      <c r="B1791" s="5" t="n">
        <v>0</v>
      </c>
      <c r="C1791" s="5" t="n">
        <v>14</v>
      </c>
      <c r="D1791" s="18">
        <f>SEASON_HRS_TOM*B1791*(1+DIM_TOM)^B1791+SEASON_HRS_CAR*C1791*(1+DIM_CAR)^C1791</f>
        <v>593.4490048089816</v>
      </c>
      <c r="E1791" s="18">
        <f>(FARMER_FIELD_HRS+A1791*TEMP_HRS)-D1791</f>
        <v>5886.550995191018</v>
      </c>
      <c r="F1791" s="21">
        <f>IF(E1791&lt;0,0,MIN(COUNTIF(Labor!$C$59:$C$88,"&lt;="&amp;E1791),MAXBED_MES,TOTAL_BEDS-B1791-C1791))</f>
        <v>30</v>
      </c>
      <c r="G1791" s="21">
        <f>B1791+C1791+F1791</f>
        <v>44</v>
      </c>
      <c r="H1791" s="22">
        <f>IF(E1791&lt;0,-999999999,B1791*(PRICE_TOM-FERT_TOM)+C1791*(PRICE_CAR-FERT_CAR)+F1791*(PRICE_MES-FERT_MES)-(FARMER_SALARY+A1791*TEMP_COST)-FIXED_COSTS)</f>
        <v>-92244</v>
      </c>
    </row>
    <row r="1792">
      <c r="A1792" s="5" t="n">
        <v>4</v>
      </c>
      <c r="B1792" s="5" t="n">
        <v>0</v>
      </c>
      <c r="C1792" s="5" t="n">
        <v>15</v>
      </c>
      <c r="D1792" s="18">
        <f>SEASON_HRS_TOM*B1792*(1+DIM_TOM)^B1792+SEASON_HRS_CAR*C1792*(1+DIM_CAR)^C1792</f>
        <v>651.7341749241493</v>
      </c>
      <c r="E1792" s="18">
        <f>(FARMER_FIELD_HRS+A1792*TEMP_HRS)-D1792</f>
        <v>5828.26582507585</v>
      </c>
      <c r="F1792" s="21">
        <f>IF(E1792&lt;0,0,MIN(COUNTIF(Labor!$C$59:$C$88,"&lt;="&amp;E1792),MAXBED_MES,TOTAL_BEDS-B1792-C1792))</f>
        <v>30</v>
      </c>
      <c r="G1792" s="21">
        <f>B1792+C1792+F1792</f>
        <v>45</v>
      </c>
      <c r="H1792" s="22">
        <f>IF(E1792&lt;0,-999999999,B1792*(PRICE_TOM-FERT_TOM)+C1792*(PRICE_CAR-FERT_CAR)+F1792*(PRICE_MES-FERT_MES)-(FARMER_SALARY+A1792*TEMP_COST)-FIXED_COSTS)</f>
        <v>-90590</v>
      </c>
    </row>
    <row r="1793">
      <c r="A1793" s="5" t="n">
        <v>4</v>
      </c>
      <c r="B1793" s="5" t="n">
        <v>0</v>
      </c>
      <c r="C1793" s="5" t="n">
        <v>16</v>
      </c>
      <c r="D1793" s="18">
        <f>SEASON_HRS_TOM*B1793*(1+DIM_TOM)^B1793+SEASON_HRS_CAR*C1793*(1+DIM_CAR)^C1793</f>
        <v>712.5626979170698</v>
      </c>
      <c r="E1793" s="18">
        <f>(FARMER_FIELD_HRS+A1793*TEMP_HRS)-D1793</f>
        <v>5767.43730208293</v>
      </c>
      <c r="F1793" s="21">
        <f>IF(E1793&lt;0,0,MIN(COUNTIF(Labor!$C$59:$C$88,"&lt;="&amp;E1793),MAXBED_MES,TOTAL_BEDS-B1793-C1793))</f>
        <v>30</v>
      </c>
      <c r="G1793" s="21">
        <f>B1793+C1793+F1793</f>
        <v>46</v>
      </c>
      <c r="H1793" s="22">
        <f>IF(E1793&lt;0,-999999999,B1793*(PRICE_TOM-FERT_TOM)+C1793*(PRICE_CAR-FERT_CAR)+F1793*(PRICE_MES-FERT_MES)-(FARMER_SALARY+A1793*TEMP_COST)-FIXED_COSTS)</f>
        <v>-88936</v>
      </c>
    </row>
    <row r="1794">
      <c r="A1794" s="5" t="n">
        <v>4</v>
      </c>
      <c r="B1794" s="5" t="n">
        <v>0</v>
      </c>
      <c r="C1794" s="5" t="n">
        <v>17</v>
      </c>
      <c r="D1794" s="18">
        <f>SEASON_HRS_TOM*B1794*(1+DIM_TOM)^B1794+SEASON_HRS_CAR*C1794*(1+DIM_CAR)^C1794</f>
        <v>776.0253132003088</v>
      </c>
      <c r="E1794" s="18">
        <f>(FARMER_FIELD_HRS+A1794*TEMP_HRS)-D1794</f>
        <v>5703.974686799691</v>
      </c>
      <c r="F1794" s="21">
        <f>IF(E1794&lt;0,0,MIN(COUNTIF(Labor!$C$59:$C$88,"&lt;="&amp;E1794),MAXBED_MES,TOTAL_BEDS-B1794-C1794))</f>
        <v>30</v>
      </c>
      <c r="G1794" s="21">
        <f>B1794+C1794+F1794</f>
        <v>47</v>
      </c>
      <c r="H1794" s="22">
        <f>IF(E1794&lt;0,-999999999,B1794*(PRICE_TOM-FERT_TOM)+C1794*(PRICE_CAR-FERT_CAR)+F1794*(PRICE_MES-FERT_MES)-(FARMER_SALARY+A1794*TEMP_COST)-FIXED_COSTS)</f>
        <v>-87282</v>
      </c>
    </row>
    <row r="1795">
      <c r="A1795" s="5" t="n">
        <v>4</v>
      </c>
      <c r="B1795" s="5" t="n">
        <v>0</v>
      </c>
      <c r="C1795" s="5" t="n">
        <v>18</v>
      </c>
      <c r="D1795" s="18">
        <f>SEASON_HRS_TOM*B1795*(1+DIM_TOM)^B1795+SEASON_HRS_CAR*C1795*(1+DIM_CAR)^C1795</f>
        <v>842.2157075615115</v>
      </c>
      <c r="E1795" s="18">
        <f>(FARMER_FIELD_HRS+A1795*TEMP_HRS)-D1795</f>
        <v>5637.784292438489</v>
      </c>
      <c r="F1795" s="21">
        <f>IF(E1795&lt;0,0,MIN(COUNTIF(Labor!$C$59:$C$88,"&lt;="&amp;E1795),MAXBED_MES,TOTAL_BEDS-B1795-C1795))</f>
        <v>30</v>
      </c>
      <c r="G1795" s="21">
        <f>B1795+C1795+F1795</f>
        <v>48</v>
      </c>
      <c r="H1795" s="22">
        <f>IF(E1795&lt;0,-999999999,B1795*(PRICE_TOM-FERT_TOM)+C1795*(PRICE_CAR-FERT_CAR)+F1795*(PRICE_MES-FERT_MES)-(FARMER_SALARY+A1795*TEMP_COST)-FIXED_COSTS)</f>
        <v>-85628</v>
      </c>
    </row>
    <row r="1796">
      <c r="A1796" s="5" t="n">
        <v>4</v>
      </c>
      <c r="B1796" s="5" t="n">
        <v>0</v>
      </c>
      <c r="C1796" s="5" t="n">
        <v>19</v>
      </c>
      <c r="D1796" s="18">
        <f>SEASON_HRS_TOM*B1796*(1+DIM_TOM)^B1796+SEASON_HRS_CAR*C1796*(1+DIM_CAR)^C1796</f>
        <v>911.2306058200242</v>
      </c>
      <c r="E1796" s="18">
        <f>(FARMER_FIELD_HRS+A1796*TEMP_HRS)-D1796</f>
        <v>5568.769394179976</v>
      </c>
      <c r="F1796" s="21">
        <f>IF(E1796&lt;0,0,MIN(COUNTIF(Labor!$C$59:$C$88,"&lt;="&amp;E1796),MAXBED_MES,TOTAL_BEDS-B1796-C1796))</f>
        <v>30</v>
      </c>
      <c r="G1796" s="21">
        <f>B1796+C1796+F1796</f>
        <v>49</v>
      </c>
      <c r="H1796" s="22">
        <f>IF(E1796&lt;0,-999999999,B1796*(PRICE_TOM-FERT_TOM)+C1796*(PRICE_CAR-FERT_CAR)+F1796*(PRICE_MES-FERT_MES)-(FARMER_SALARY+A1796*TEMP_COST)-FIXED_COSTS)</f>
        <v>-83974</v>
      </c>
    </row>
    <row r="1797">
      <c r="A1797" s="5" t="n">
        <v>4</v>
      </c>
      <c r="B1797" s="5" t="n">
        <v>0</v>
      </c>
      <c r="C1797" s="5" t="n">
        <v>20</v>
      </c>
      <c r="D1797" s="18">
        <f>SEASON_HRS_TOM*B1797*(1+DIM_TOM)^B1797+SEASON_HRS_CAR*C1797*(1+DIM_CAR)^C1797</f>
        <v>983.1698641742365</v>
      </c>
      <c r="E1797" s="18">
        <f>(FARMER_FIELD_HRS+A1797*TEMP_HRS)-D1797</f>
        <v>5496.830135825763</v>
      </c>
      <c r="F1797" s="21">
        <f>IF(E1797&lt;0,0,MIN(COUNTIF(Labor!$C$59:$C$88,"&lt;="&amp;E1797),MAXBED_MES,TOTAL_BEDS-B1797-C1797))</f>
        <v>30</v>
      </c>
      <c r="G1797" s="21">
        <f>B1797+C1797+F1797</f>
        <v>50</v>
      </c>
      <c r="H1797" s="22">
        <f>IF(E1797&lt;0,-999999999,B1797*(PRICE_TOM-FERT_TOM)+C1797*(PRICE_CAR-FERT_CAR)+F1797*(PRICE_MES-FERT_MES)-(FARMER_SALARY+A1797*TEMP_COST)-FIXED_COSTS)</f>
        <v>-82320</v>
      </c>
    </row>
    <row r="1798">
      <c r="A1798" s="5" t="n">
        <v>4</v>
      </c>
      <c r="B1798" s="5" t="n">
        <v>1</v>
      </c>
      <c r="C1798" s="5" t="n">
        <v>0</v>
      </c>
      <c r="D1798" s="18">
        <f>SEASON_HRS_TOM*B1798*(1+DIM_TOM)^B1798+SEASON_HRS_CAR*C1798*(1+DIM_CAR)^C1798</f>
        <v>99.00000000000001</v>
      </c>
      <c r="E1798" s="18">
        <f>(FARMER_FIELD_HRS+A1798*TEMP_HRS)-D1798</f>
        <v>6381</v>
      </c>
      <c r="F1798" s="21">
        <f>IF(E1798&lt;0,0,MIN(COUNTIF(Labor!$C$59:$C$88,"&lt;="&amp;E1798),MAXBED_MES,TOTAL_BEDS-B1798-C1798))</f>
        <v>30</v>
      </c>
      <c r="G1798" s="21">
        <f>B1798+C1798+F1798</f>
        <v>31</v>
      </c>
      <c r="H1798" s="22">
        <f>IF(E1798&lt;0,-999999999,B1798*(PRICE_TOM-FERT_TOM)+C1798*(PRICE_CAR-FERT_CAR)+F1798*(PRICE_MES-FERT_MES)-(FARMER_SALARY+A1798*TEMP_COST)-FIXED_COSTS)</f>
        <v>-107480</v>
      </c>
    </row>
    <row r="1799">
      <c r="A1799" s="5" t="n">
        <v>4</v>
      </c>
      <c r="B1799" s="5" t="n">
        <v>1</v>
      </c>
      <c r="C1799" s="5" t="n">
        <v>1</v>
      </c>
      <c r="D1799" s="18">
        <f>SEASON_HRS_TOM*B1799*(1+DIM_TOM)^B1799+SEASON_HRS_CAR*C1799*(1+DIM_CAR)^C1799</f>
        <v>129.75</v>
      </c>
      <c r="E1799" s="18">
        <f>(FARMER_FIELD_HRS+A1799*TEMP_HRS)-D1799</f>
        <v>6350.25</v>
      </c>
      <c r="F1799" s="21">
        <f>IF(E1799&lt;0,0,MIN(COUNTIF(Labor!$C$59:$C$88,"&lt;="&amp;E1799),MAXBED_MES,TOTAL_BEDS-B1799-C1799))</f>
        <v>30</v>
      </c>
      <c r="G1799" s="21">
        <f>B1799+C1799+F1799</f>
        <v>32</v>
      </c>
      <c r="H1799" s="22">
        <f>IF(E1799&lt;0,-999999999,B1799*(PRICE_TOM-FERT_TOM)+C1799*(PRICE_CAR-FERT_CAR)+F1799*(PRICE_MES-FERT_MES)-(FARMER_SALARY+A1799*TEMP_COST)-FIXED_COSTS)</f>
        <v>-105826</v>
      </c>
    </row>
    <row r="1800">
      <c r="A1800" s="5" t="n">
        <v>4</v>
      </c>
      <c r="B1800" s="5" t="n">
        <v>1</v>
      </c>
      <c r="C1800" s="5" t="n">
        <v>2</v>
      </c>
      <c r="D1800" s="18">
        <f>SEASON_HRS_TOM*B1800*(1+DIM_TOM)^B1800+SEASON_HRS_CAR*C1800*(1+DIM_CAR)^C1800</f>
        <v>162.03750000000002</v>
      </c>
      <c r="E1800" s="18">
        <f>(FARMER_FIELD_HRS+A1800*TEMP_HRS)-D1800</f>
        <v>6317.9625</v>
      </c>
      <c r="F1800" s="21">
        <f>IF(E1800&lt;0,0,MIN(COUNTIF(Labor!$C$59:$C$88,"&lt;="&amp;E1800),MAXBED_MES,TOTAL_BEDS-B1800-C1800))</f>
        <v>30</v>
      </c>
      <c r="G1800" s="21">
        <f>B1800+C1800+F1800</f>
        <v>33</v>
      </c>
      <c r="H1800" s="22">
        <f>IF(E1800&lt;0,-999999999,B1800*(PRICE_TOM-FERT_TOM)+C1800*(PRICE_CAR-FERT_CAR)+F1800*(PRICE_MES-FERT_MES)-(FARMER_SALARY+A1800*TEMP_COST)-FIXED_COSTS)</f>
        <v>-104172</v>
      </c>
    </row>
    <row r="1801">
      <c r="A1801" s="5" t="n">
        <v>4</v>
      </c>
      <c r="B1801" s="5" t="n">
        <v>1</v>
      </c>
      <c r="C1801" s="5" t="n">
        <v>3</v>
      </c>
      <c r="D1801" s="18">
        <f>SEASON_HRS_TOM*B1801*(1+DIM_TOM)^B1801+SEASON_HRS_CAR*C1801*(1+DIM_CAR)^C1801</f>
        <v>195.92015625</v>
      </c>
      <c r="E1801" s="18">
        <f>(FARMER_FIELD_HRS+A1801*TEMP_HRS)-D1801</f>
        <v>6284.07984375</v>
      </c>
      <c r="F1801" s="21">
        <f>IF(E1801&lt;0,0,MIN(COUNTIF(Labor!$C$59:$C$88,"&lt;="&amp;E1801),MAXBED_MES,TOTAL_BEDS-B1801-C1801))</f>
        <v>30</v>
      </c>
      <c r="G1801" s="21">
        <f>B1801+C1801+F1801</f>
        <v>34</v>
      </c>
      <c r="H1801" s="22">
        <f>IF(E1801&lt;0,-999999999,B1801*(PRICE_TOM-FERT_TOM)+C1801*(PRICE_CAR-FERT_CAR)+F1801*(PRICE_MES-FERT_MES)-(FARMER_SALARY+A1801*TEMP_COST)-FIXED_COSTS)</f>
        <v>-102518</v>
      </c>
    </row>
    <row r="1802">
      <c r="A1802" s="5" t="n">
        <v>4</v>
      </c>
      <c r="B1802" s="5" t="n">
        <v>1</v>
      </c>
      <c r="C1802" s="5" t="n">
        <v>4</v>
      </c>
      <c r="D1802" s="18">
        <f>SEASON_HRS_TOM*B1802*(1+DIM_TOM)^B1802+SEASON_HRS_CAR*C1802*(1+DIM_CAR)^C1802</f>
        <v>231.45754687499993</v>
      </c>
      <c r="E1802" s="18">
        <f>(FARMER_FIELD_HRS+A1802*TEMP_HRS)-D1802</f>
        <v>6248.542453125</v>
      </c>
      <c r="F1802" s="21">
        <f>IF(E1802&lt;0,0,MIN(COUNTIF(Labor!$C$59:$C$88,"&lt;="&amp;E1802),MAXBED_MES,TOTAL_BEDS-B1802-C1802))</f>
        <v>30</v>
      </c>
      <c r="G1802" s="21">
        <f>B1802+C1802+F1802</f>
        <v>35</v>
      </c>
      <c r="H1802" s="22">
        <f>IF(E1802&lt;0,-999999999,B1802*(PRICE_TOM-FERT_TOM)+C1802*(PRICE_CAR-FERT_CAR)+F1802*(PRICE_MES-FERT_MES)-(FARMER_SALARY+A1802*TEMP_COST)-FIXED_COSTS)</f>
        <v>-100864</v>
      </c>
    </row>
    <row r="1803">
      <c r="A1803" s="5" t="n">
        <v>4</v>
      </c>
      <c r="B1803" s="5" t="n">
        <v>1</v>
      </c>
      <c r="C1803" s="5" t="n">
        <v>5</v>
      </c>
      <c r="D1803" s="18">
        <f>SEASON_HRS_TOM*B1803*(1+DIM_TOM)^B1803+SEASON_HRS_CAR*C1803*(1+DIM_CAR)^C1803</f>
        <v>268.7112319335937</v>
      </c>
      <c r="E1803" s="18">
        <f>(FARMER_FIELD_HRS+A1803*TEMP_HRS)-D1803</f>
        <v>6211.288768066406</v>
      </c>
      <c r="F1803" s="21">
        <f>IF(E1803&lt;0,0,MIN(COUNTIF(Labor!$C$59:$C$88,"&lt;="&amp;E1803),MAXBED_MES,TOTAL_BEDS-B1803-C1803))</f>
        <v>30</v>
      </c>
      <c r="G1803" s="21">
        <f>B1803+C1803+F1803</f>
        <v>36</v>
      </c>
      <c r="H1803" s="22">
        <f>IF(E1803&lt;0,-999999999,B1803*(PRICE_TOM-FERT_TOM)+C1803*(PRICE_CAR-FERT_CAR)+F1803*(PRICE_MES-FERT_MES)-(FARMER_SALARY+A1803*TEMP_COST)-FIXED_COSTS)</f>
        <v>-99210</v>
      </c>
    </row>
    <row r="1804">
      <c r="A1804" s="5" t="n">
        <v>4</v>
      </c>
      <c r="B1804" s="5" t="n">
        <v>1</v>
      </c>
      <c r="C1804" s="5" t="n">
        <v>6</v>
      </c>
      <c r="D1804" s="18">
        <f>SEASON_HRS_TOM*B1804*(1+DIM_TOM)^B1804+SEASON_HRS_CAR*C1804*(1+DIM_CAR)^C1804</f>
        <v>307.74481527832023</v>
      </c>
      <c r="E1804" s="18">
        <f>(FARMER_FIELD_HRS+A1804*TEMP_HRS)-D1804</f>
        <v>6172.25518472168</v>
      </c>
      <c r="F1804" s="21">
        <f>IF(E1804&lt;0,0,MIN(COUNTIF(Labor!$C$59:$C$88,"&lt;="&amp;E1804),MAXBED_MES,TOTAL_BEDS-B1804-C1804))</f>
        <v>30</v>
      </c>
      <c r="G1804" s="21">
        <f>B1804+C1804+F1804</f>
        <v>37</v>
      </c>
      <c r="H1804" s="22">
        <f>IF(E1804&lt;0,-999999999,B1804*(PRICE_TOM-FERT_TOM)+C1804*(PRICE_CAR-FERT_CAR)+F1804*(PRICE_MES-FERT_MES)-(FARMER_SALARY+A1804*TEMP_COST)-FIXED_COSTS)</f>
        <v>-97556</v>
      </c>
    </row>
    <row r="1805">
      <c r="A1805" s="5" t="n">
        <v>4</v>
      </c>
      <c r="B1805" s="5" t="n">
        <v>1</v>
      </c>
      <c r="C1805" s="5" t="n">
        <v>7</v>
      </c>
      <c r="D1805" s="18">
        <f>SEASON_HRS_TOM*B1805*(1+DIM_TOM)^B1805+SEASON_HRS_CAR*C1805*(1+DIM_CAR)^C1805</f>
        <v>348.62400827032457</v>
      </c>
      <c r="E1805" s="18">
        <f>(FARMER_FIELD_HRS+A1805*TEMP_HRS)-D1805</f>
        <v>6131.375991729676</v>
      </c>
      <c r="F1805" s="21">
        <f>IF(E1805&lt;0,0,MIN(COUNTIF(Labor!$C$59:$C$88,"&lt;="&amp;E1805),MAXBED_MES,TOTAL_BEDS-B1805-C1805))</f>
        <v>30</v>
      </c>
      <c r="G1805" s="21">
        <f>B1805+C1805+F1805</f>
        <v>38</v>
      </c>
      <c r="H1805" s="22">
        <f>IF(E1805&lt;0,-999999999,B1805*(PRICE_TOM-FERT_TOM)+C1805*(PRICE_CAR-FERT_CAR)+F1805*(PRICE_MES-FERT_MES)-(FARMER_SALARY+A1805*TEMP_COST)-FIXED_COSTS)</f>
        <v>-95902</v>
      </c>
    </row>
    <row r="1806">
      <c r="A1806" s="5" t="n">
        <v>4</v>
      </c>
      <c r="B1806" s="5" t="n">
        <v>1</v>
      </c>
      <c r="C1806" s="5" t="n">
        <v>8</v>
      </c>
      <c r="D1806" s="18">
        <f>SEASON_HRS_TOM*B1806*(1+DIM_TOM)^B1806+SEASON_HRS_CAR*C1806*(1+DIM_CAR)^C1806</f>
        <v>391.4166954023801</v>
      </c>
      <c r="E1806" s="18">
        <f>(FARMER_FIELD_HRS+A1806*TEMP_HRS)-D1806</f>
        <v>6088.58330459762</v>
      </c>
      <c r="F1806" s="21">
        <f>IF(E1806&lt;0,0,MIN(COUNTIF(Labor!$C$59:$C$88,"&lt;="&amp;E1806),MAXBED_MES,TOTAL_BEDS-B1806-C1806))</f>
        <v>30</v>
      </c>
      <c r="G1806" s="21">
        <f>B1806+C1806+F1806</f>
        <v>39</v>
      </c>
      <c r="H1806" s="22">
        <f>IF(E1806&lt;0,-999999999,B1806*(PRICE_TOM-FERT_TOM)+C1806*(PRICE_CAR-FERT_CAR)+F1806*(PRICE_MES-FERT_MES)-(FARMER_SALARY+A1806*TEMP_COST)-FIXED_COSTS)</f>
        <v>-94248</v>
      </c>
    </row>
    <row r="1807">
      <c r="A1807" s="5" t="n">
        <v>4</v>
      </c>
      <c r="B1807" s="5" t="n">
        <v>1</v>
      </c>
      <c r="C1807" s="5" t="n">
        <v>9</v>
      </c>
      <c r="D1807" s="18">
        <f>SEASON_HRS_TOM*B1807*(1+DIM_TOM)^B1807+SEASON_HRS_CAR*C1807*(1+DIM_CAR)^C1807</f>
        <v>436.1930018858696</v>
      </c>
      <c r="E1807" s="18">
        <f>(FARMER_FIELD_HRS+A1807*TEMP_HRS)-D1807</f>
        <v>6043.806998114131</v>
      </c>
      <c r="F1807" s="21">
        <f>IF(E1807&lt;0,0,MIN(COUNTIF(Labor!$C$59:$C$88,"&lt;="&amp;E1807),MAXBED_MES,TOTAL_BEDS-B1807-C1807))</f>
        <v>30</v>
      </c>
      <c r="G1807" s="21">
        <f>B1807+C1807+F1807</f>
        <v>40</v>
      </c>
      <c r="H1807" s="22">
        <f>IF(E1807&lt;0,-999999999,B1807*(PRICE_TOM-FERT_TOM)+C1807*(PRICE_CAR-FERT_CAR)+F1807*(PRICE_MES-FERT_MES)-(FARMER_SALARY+A1807*TEMP_COST)-FIXED_COSTS)</f>
        <v>-92594</v>
      </c>
    </row>
    <row r="1808">
      <c r="A1808" s="5" t="n">
        <v>4</v>
      </c>
      <c r="B1808" s="5" t="n">
        <v>1</v>
      </c>
      <c r="C1808" s="5" t="n">
        <v>10</v>
      </c>
      <c r="D1808" s="18">
        <f>SEASON_HRS_TOM*B1808*(1+DIM_TOM)^B1808+SEASON_HRS_CAR*C1808*(1+DIM_CAR)^C1808</f>
        <v>483.025363258907</v>
      </c>
      <c r="E1808" s="18">
        <f>(FARMER_FIELD_HRS+A1808*TEMP_HRS)-D1808</f>
        <v>5996.974636741093</v>
      </c>
      <c r="F1808" s="21">
        <f>IF(E1808&lt;0,0,MIN(COUNTIF(Labor!$C$59:$C$88,"&lt;="&amp;E1808),MAXBED_MES,TOTAL_BEDS-B1808-C1808))</f>
        <v>30</v>
      </c>
      <c r="G1808" s="21">
        <f>B1808+C1808+F1808</f>
        <v>41</v>
      </c>
      <c r="H1808" s="22">
        <f>IF(E1808&lt;0,-999999999,B1808*(PRICE_TOM-FERT_TOM)+C1808*(PRICE_CAR-FERT_CAR)+F1808*(PRICE_MES-FERT_MES)-(FARMER_SALARY+A1808*TEMP_COST)-FIXED_COSTS)</f>
        <v>-90940</v>
      </c>
    </row>
    <row r="1809">
      <c r="A1809" s="5" t="n">
        <v>4</v>
      </c>
      <c r="B1809" s="5" t="n">
        <v>1</v>
      </c>
      <c r="C1809" s="5" t="n">
        <v>11</v>
      </c>
      <c r="D1809" s="18">
        <f>SEASON_HRS_TOM*B1809*(1+DIM_TOM)^B1809+SEASON_HRS_CAR*C1809*(1+DIM_CAR)^C1809</f>
        <v>531.9885970744176</v>
      </c>
      <c r="E1809" s="18">
        <f>(FARMER_FIELD_HRS+A1809*TEMP_HRS)-D1809</f>
        <v>5948.011402925582</v>
      </c>
      <c r="F1809" s="21">
        <f>IF(E1809&lt;0,0,MIN(COUNTIF(Labor!$C$59:$C$88,"&lt;="&amp;E1809),MAXBED_MES,TOTAL_BEDS-B1809-C1809))</f>
        <v>30</v>
      </c>
      <c r="G1809" s="21">
        <f>B1809+C1809+F1809</f>
        <v>42</v>
      </c>
      <c r="H1809" s="22">
        <f>IF(E1809&lt;0,-999999999,B1809*(PRICE_TOM-FERT_TOM)+C1809*(PRICE_CAR-FERT_CAR)+F1809*(PRICE_MES-FERT_MES)-(FARMER_SALARY+A1809*TEMP_COST)-FIXED_COSTS)</f>
        <v>-89286</v>
      </c>
    </row>
    <row r="1810">
      <c r="A1810" s="5" t="n">
        <v>4</v>
      </c>
      <c r="B1810" s="5" t="n">
        <v>1</v>
      </c>
      <c r="C1810" s="5" t="n">
        <v>12</v>
      </c>
      <c r="D1810" s="18">
        <f>SEASON_HRS_TOM*B1810*(1+DIM_TOM)^B1810+SEASON_HRS_CAR*C1810*(1+DIM_CAR)^C1810</f>
        <v>583.159976728667</v>
      </c>
      <c r="E1810" s="18">
        <f>(FARMER_FIELD_HRS+A1810*TEMP_HRS)-D1810</f>
        <v>5896.840023271333</v>
      </c>
      <c r="F1810" s="21">
        <f>IF(E1810&lt;0,0,MIN(COUNTIF(Labor!$C$59:$C$88,"&lt;="&amp;E1810),MAXBED_MES,TOTAL_BEDS-B1810-C1810))</f>
        <v>30</v>
      </c>
      <c r="G1810" s="21">
        <f>B1810+C1810+F1810</f>
        <v>43</v>
      </c>
      <c r="H1810" s="22">
        <f>IF(E1810&lt;0,-999999999,B1810*(PRICE_TOM-FERT_TOM)+C1810*(PRICE_CAR-FERT_CAR)+F1810*(PRICE_MES-FERT_MES)-(FARMER_SALARY+A1810*TEMP_COST)-FIXED_COSTS)</f>
        <v>-87632</v>
      </c>
    </row>
    <row r="1811">
      <c r="A1811" s="5" t="n">
        <v>4</v>
      </c>
      <c r="B1811" s="5" t="n">
        <v>1</v>
      </c>
      <c r="C1811" s="5" t="n">
        <v>13</v>
      </c>
      <c r="D1811" s="18">
        <f>SEASON_HRS_TOM*B1811*(1+DIM_TOM)^B1811+SEASON_HRS_CAR*C1811*(1+DIM_CAR)^C1811</f>
        <v>636.6193074924571</v>
      </c>
      <c r="E1811" s="18">
        <f>(FARMER_FIELD_HRS+A1811*TEMP_HRS)-D1811</f>
        <v>5843.380692507543</v>
      </c>
      <c r="F1811" s="21">
        <f>IF(E1811&lt;0,0,MIN(COUNTIF(Labor!$C$59:$C$88,"&lt;="&amp;E1811),MAXBED_MES,TOTAL_BEDS-B1811-C1811))</f>
        <v>30</v>
      </c>
      <c r="G1811" s="21">
        <f>B1811+C1811+F1811</f>
        <v>44</v>
      </c>
      <c r="H1811" s="22">
        <f>IF(E1811&lt;0,-999999999,B1811*(PRICE_TOM-FERT_TOM)+C1811*(PRICE_CAR-FERT_CAR)+F1811*(PRICE_MES-FERT_MES)-(FARMER_SALARY+A1811*TEMP_COST)-FIXED_COSTS)</f>
        <v>-85978</v>
      </c>
    </row>
    <row r="1812">
      <c r="A1812" s="5" t="n">
        <v>4</v>
      </c>
      <c r="B1812" s="5" t="n">
        <v>1</v>
      </c>
      <c r="C1812" s="5" t="n">
        <v>14</v>
      </c>
      <c r="D1812" s="18">
        <f>SEASON_HRS_TOM*B1812*(1+DIM_TOM)^B1812+SEASON_HRS_CAR*C1812*(1+DIM_CAR)^C1812</f>
        <v>692.4490048089816</v>
      </c>
      <c r="E1812" s="18">
        <f>(FARMER_FIELD_HRS+A1812*TEMP_HRS)-D1812</f>
        <v>5787.550995191018</v>
      </c>
      <c r="F1812" s="21">
        <f>IF(E1812&lt;0,0,MIN(COUNTIF(Labor!$C$59:$C$88,"&lt;="&amp;E1812),MAXBED_MES,TOTAL_BEDS-B1812-C1812))</f>
        <v>30</v>
      </c>
      <c r="G1812" s="21">
        <f>B1812+C1812+F1812</f>
        <v>45</v>
      </c>
      <c r="H1812" s="22">
        <f>IF(E1812&lt;0,-999999999,B1812*(PRICE_TOM-FERT_TOM)+C1812*(PRICE_CAR-FERT_CAR)+F1812*(PRICE_MES-FERT_MES)-(FARMER_SALARY+A1812*TEMP_COST)-FIXED_COSTS)</f>
        <v>-84324</v>
      </c>
    </row>
    <row r="1813">
      <c r="A1813" s="5" t="n">
        <v>4</v>
      </c>
      <c r="B1813" s="5" t="n">
        <v>1</v>
      </c>
      <c r="C1813" s="5" t="n">
        <v>15</v>
      </c>
      <c r="D1813" s="18">
        <f>SEASON_HRS_TOM*B1813*(1+DIM_TOM)^B1813+SEASON_HRS_CAR*C1813*(1+DIM_CAR)^C1813</f>
        <v>750.7341749241493</v>
      </c>
      <c r="E1813" s="18">
        <f>(FARMER_FIELD_HRS+A1813*TEMP_HRS)-D1813</f>
        <v>5729.26582507585</v>
      </c>
      <c r="F1813" s="21">
        <f>IF(E1813&lt;0,0,MIN(COUNTIF(Labor!$C$59:$C$88,"&lt;="&amp;E1813),MAXBED_MES,TOTAL_BEDS-B1813-C1813))</f>
        <v>30</v>
      </c>
      <c r="G1813" s="21">
        <f>B1813+C1813+F1813</f>
        <v>46</v>
      </c>
      <c r="H1813" s="22">
        <f>IF(E1813&lt;0,-999999999,B1813*(PRICE_TOM-FERT_TOM)+C1813*(PRICE_CAR-FERT_CAR)+F1813*(PRICE_MES-FERT_MES)-(FARMER_SALARY+A1813*TEMP_COST)-FIXED_COSTS)</f>
        <v>-82670</v>
      </c>
    </row>
    <row r="1814">
      <c r="A1814" s="5" t="n">
        <v>4</v>
      </c>
      <c r="B1814" s="5" t="n">
        <v>1</v>
      </c>
      <c r="C1814" s="5" t="n">
        <v>16</v>
      </c>
      <c r="D1814" s="18">
        <f>SEASON_HRS_TOM*B1814*(1+DIM_TOM)^B1814+SEASON_HRS_CAR*C1814*(1+DIM_CAR)^C1814</f>
        <v>811.5626979170698</v>
      </c>
      <c r="E1814" s="18">
        <f>(FARMER_FIELD_HRS+A1814*TEMP_HRS)-D1814</f>
        <v>5668.43730208293</v>
      </c>
      <c r="F1814" s="21">
        <f>IF(E1814&lt;0,0,MIN(COUNTIF(Labor!$C$59:$C$88,"&lt;="&amp;E1814),MAXBED_MES,TOTAL_BEDS-B1814-C1814))</f>
        <v>30</v>
      </c>
      <c r="G1814" s="21">
        <f>B1814+C1814+F1814</f>
        <v>47</v>
      </c>
      <c r="H1814" s="22">
        <f>IF(E1814&lt;0,-999999999,B1814*(PRICE_TOM-FERT_TOM)+C1814*(PRICE_CAR-FERT_CAR)+F1814*(PRICE_MES-FERT_MES)-(FARMER_SALARY+A1814*TEMP_COST)-FIXED_COSTS)</f>
        <v>-81016</v>
      </c>
    </row>
    <row r="1815">
      <c r="A1815" s="5" t="n">
        <v>4</v>
      </c>
      <c r="B1815" s="5" t="n">
        <v>1</v>
      </c>
      <c r="C1815" s="5" t="n">
        <v>17</v>
      </c>
      <c r="D1815" s="18">
        <f>SEASON_HRS_TOM*B1815*(1+DIM_TOM)^B1815+SEASON_HRS_CAR*C1815*(1+DIM_CAR)^C1815</f>
        <v>875.0253132003088</v>
      </c>
      <c r="E1815" s="18">
        <f>(FARMER_FIELD_HRS+A1815*TEMP_HRS)-D1815</f>
        <v>5604.974686799691</v>
      </c>
      <c r="F1815" s="21">
        <f>IF(E1815&lt;0,0,MIN(COUNTIF(Labor!$C$59:$C$88,"&lt;="&amp;E1815),MAXBED_MES,TOTAL_BEDS-B1815-C1815))</f>
        <v>30</v>
      </c>
      <c r="G1815" s="21">
        <f>B1815+C1815+F1815</f>
        <v>48</v>
      </c>
      <c r="H1815" s="22">
        <f>IF(E1815&lt;0,-999999999,B1815*(PRICE_TOM-FERT_TOM)+C1815*(PRICE_CAR-FERT_CAR)+F1815*(PRICE_MES-FERT_MES)-(FARMER_SALARY+A1815*TEMP_COST)-FIXED_COSTS)</f>
        <v>-79362</v>
      </c>
    </row>
    <row r="1816">
      <c r="A1816" s="5" t="n">
        <v>4</v>
      </c>
      <c r="B1816" s="5" t="n">
        <v>1</v>
      </c>
      <c r="C1816" s="5" t="n">
        <v>18</v>
      </c>
      <c r="D1816" s="18">
        <f>SEASON_HRS_TOM*B1816*(1+DIM_TOM)^B1816+SEASON_HRS_CAR*C1816*(1+DIM_CAR)^C1816</f>
        <v>941.2157075615115</v>
      </c>
      <c r="E1816" s="18">
        <f>(FARMER_FIELD_HRS+A1816*TEMP_HRS)-D1816</f>
        <v>5538.784292438489</v>
      </c>
      <c r="F1816" s="21">
        <f>IF(E1816&lt;0,0,MIN(COUNTIF(Labor!$C$59:$C$88,"&lt;="&amp;E1816),MAXBED_MES,TOTAL_BEDS-B1816-C1816))</f>
        <v>30</v>
      </c>
      <c r="G1816" s="21">
        <f>B1816+C1816+F1816</f>
        <v>49</v>
      </c>
      <c r="H1816" s="22">
        <f>IF(E1816&lt;0,-999999999,B1816*(PRICE_TOM-FERT_TOM)+C1816*(PRICE_CAR-FERT_CAR)+F1816*(PRICE_MES-FERT_MES)-(FARMER_SALARY+A1816*TEMP_COST)-FIXED_COSTS)</f>
        <v>-77708</v>
      </c>
    </row>
    <row r="1817">
      <c r="A1817" s="5" t="n">
        <v>4</v>
      </c>
      <c r="B1817" s="5" t="n">
        <v>1</v>
      </c>
      <c r="C1817" s="5" t="n">
        <v>19</v>
      </c>
      <c r="D1817" s="18">
        <f>SEASON_HRS_TOM*B1817*(1+DIM_TOM)^B1817+SEASON_HRS_CAR*C1817*(1+DIM_CAR)^C1817</f>
        <v>1010.2306058200242</v>
      </c>
      <c r="E1817" s="18">
        <f>(FARMER_FIELD_HRS+A1817*TEMP_HRS)-D1817</f>
        <v>5469.769394179976</v>
      </c>
      <c r="F1817" s="21">
        <f>IF(E1817&lt;0,0,MIN(COUNTIF(Labor!$C$59:$C$88,"&lt;="&amp;E1817),MAXBED_MES,TOTAL_BEDS-B1817-C1817))</f>
        <v>30</v>
      </c>
      <c r="G1817" s="21">
        <f>B1817+C1817+F1817</f>
        <v>50</v>
      </c>
      <c r="H1817" s="22">
        <f>IF(E1817&lt;0,-999999999,B1817*(PRICE_TOM-FERT_TOM)+C1817*(PRICE_CAR-FERT_CAR)+F1817*(PRICE_MES-FERT_MES)-(FARMER_SALARY+A1817*TEMP_COST)-FIXED_COSTS)</f>
        <v>-76054</v>
      </c>
    </row>
    <row r="1818">
      <c r="A1818" s="5" t="n">
        <v>4</v>
      </c>
      <c r="B1818" s="5" t="n">
        <v>1</v>
      </c>
      <c r="C1818" s="5" t="n">
        <v>20</v>
      </c>
      <c r="D1818" s="18">
        <f>SEASON_HRS_TOM*B1818*(1+DIM_TOM)^B1818+SEASON_HRS_CAR*C1818*(1+DIM_CAR)^C1818</f>
        <v>1082.1698641742366</v>
      </c>
      <c r="E1818" s="18">
        <f>(FARMER_FIELD_HRS+A1818*TEMP_HRS)-D1818</f>
        <v>5397.830135825763</v>
      </c>
      <c r="F1818" s="21">
        <f>IF(E1818&lt;0,0,MIN(COUNTIF(Labor!$C$59:$C$88,"&lt;="&amp;E1818),MAXBED_MES,TOTAL_BEDS-B1818-C1818))</f>
        <v>30</v>
      </c>
      <c r="G1818" s="21">
        <f>B1818+C1818+F1818</f>
        <v>51</v>
      </c>
      <c r="H1818" s="22">
        <f>IF(E1818&lt;0,-999999999,B1818*(PRICE_TOM-FERT_TOM)+C1818*(PRICE_CAR-FERT_CAR)+F1818*(PRICE_MES-FERT_MES)-(FARMER_SALARY+A1818*TEMP_COST)-FIXED_COSTS)</f>
        <v>-74400</v>
      </c>
    </row>
    <row r="1819">
      <c r="A1819" s="5" t="n">
        <v>4</v>
      </c>
      <c r="B1819" s="5" t="n">
        <v>2</v>
      </c>
      <c r="C1819" s="5" t="n">
        <v>0</v>
      </c>
      <c r="D1819" s="18">
        <f>SEASON_HRS_TOM*B1819*(1+DIM_TOM)^B1819+SEASON_HRS_CAR*C1819*(1+DIM_CAR)^C1819</f>
        <v>217.80000000000004</v>
      </c>
      <c r="E1819" s="18">
        <f>(FARMER_FIELD_HRS+A1819*TEMP_HRS)-D1819</f>
        <v>6262.2</v>
      </c>
      <c r="F1819" s="21">
        <f>IF(E1819&lt;0,0,MIN(COUNTIF(Labor!$C$59:$C$88,"&lt;="&amp;E1819),MAXBED_MES,TOTAL_BEDS-B1819-C1819))</f>
        <v>30</v>
      </c>
      <c r="G1819" s="21">
        <f>B1819+C1819+F1819</f>
        <v>32</v>
      </c>
      <c r="H1819" s="22">
        <f>IF(E1819&lt;0,-999999999,B1819*(PRICE_TOM-FERT_TOM)+C1819*(PRICE_CAR-FERT_CAR)+F1819*(PRICE_MES-FERT_MES)-(FARMER_SALARY+A1819*TEMP_COST)-FIXED_COSTS)</f>
        <v>-99560</v>
      </c>
    </row>
    <row r="1820">
      <c r="A1820" s="5" t="n">
        <v>4</v>
      </c>
      <c r="B1820" s="5" t="n">
        <v>2</v>
      </c>
      <c r="C1820" s="5" t="n">
        <v>1</v>
      </c>
      <c r="D1820" s="18">
        <f>SEASON_HRS_TOM*B1820*(1+DIM_TOM)^B1820+SEASON_HRS_CAR*C1820*(1+DIM_CAR)^C1820</f>
        <v>248.55000000000004</v>
      </c>
      <c r="E1820" s="18">
        <f>(FARMER_FIELD_HRS+A1820*TEMP_HRS)-D1820</f>
        <v>6231.45</v>
      </c>
      <c r="F1820" s="21">
        <f>IF(E1820&lt;0,0,MIN(COUNTIF(Labor!$C$59:$C$88,"&lt;="&amp;E1820),MAXBED_MES,TOTAL_BEDS-B1820-C1820))</f>
        <v>30</v>
      </c>
      <c r="G1820" s="21">
        <f>B1820+C1820+F1820</f>
        <v>33</v>
      </c>
      <c r="H1820" s="22">
        <f>IF(E1820&lt;0,-999999999,B1820*(PRICE_TOM-FERT_TOM)+C1820*(PRICE_CAR-FERT_CAR)+F1820*(PRICE_MES-FERT_MES)-(FARMER_SALARY+A1820*TEMP_COST)-FIXED_COSTS)</f>
        <v>-97906</v>
      </c>
    </row>
    <row r="1821">
      <c r="A1821" s="5" t="n">
        <v>4</v>
      </c>
      <c r="B1821" s="5" t="n">
        <v>2</v>
      </c>
      <c r="C1821" s="5" t="n">
        <v>2</v>
      </c>
      <c r="D1821" s="18">
        <f>SEASON_HRS_TOM*B1821*(1+DIM_TOM)^B1821+SEASON_HRS_CAR*C1821*(1+DIM_CAR)^C1821</f>
        <v>280.83750000000003</v>
      </c>
      <c r="E1821" s="18">
        <f>(FARMER_FIELD_HRS+A1821*TEMP_HRS)-D1821</f>
        <v>6199.1625</v>
      </c>
      <c r="F1821" s="21">
        <f>IF(E1821&lt;0,0,MIN(COUNTIF(Labor!$C$59:$C$88,"&lt;="&amp;E1821),MAXBED_MES,TOTAL_BEDS-B1821-C1821))</f>
        <v>30</v>
      </c>
      <c r="G1821" s="21">
        <f>B1821+C1821+F1821</f>
        <v>34</v>
      </c>
      <c r="H1821" s="22">
        <f>IF(E1821&lt;0,-999999999,B1821*(PRICE_TOM-FERT_TOM)+C1821*(PRICE_CAR-FERT_CAR)+F1821*(PRICE_MES-FERT_MES)-(FARMER_SALARY+A1821*TEMP_COST)-FIXED_COSTS)</f>
        <v>-96252</v>
      </c>
    </row>
    <row r="1822">
      <c r="A1822" s="5" t="n">
        <v>4</v>
      </c>
      <c r="B1822" s="5" t="n">
        <v>2</v>
      </c>
      <c r="C1822" s="5" t="n">
        <v>3</v>
      </c>
      <c r="D1822" s="18">
        <f>SEASON_HRS_TOM*B1822*(1+DIM_TOM)^B1822+SEASON_HRS_CAR*C1822*(1+DIM_CAR)^C1822</f>
        <v>314.72015625</v>
      </c>
      <c r="E1822" s="18">
        <f>(FARMER_FIELD_HRS+A1822*TEMP_HRS)-D1822</f>
        <v>6165.27984375</v>
      </c>
      <c r="F1822" s="21">
        <f>IF(E1822&lt;0,0,MIN(COUNTIF(Labor!$C$59:$C$88,"&lt;="&amp;E1822),MAXBED_MES,TOTAL_BEDS-B1822-C1822))</f>
        <v>30</v>
      </c>
      <c r="G1822" s="21">
        <f>B1822+C1822+F1822</f>
        <v>35</v>
      </c>
      <c r="H1822" s="22">
        <f>IF(E1822&lt;0,-999999999,B1822*(PRICE_TOM-FERT_TOM)+C1822*(PRICE_CAR-FERT_CAR)+F1822*(PRICE_MES-FERT_MES)-(FARMER_SALARY+A1822*TEMP_COST)-FIXED_COSTS)</f>
        <v>-94598</v>
      </c>
    </row>
    <row r="1823">
      <c r="A1823" s="5" t="n">
        <v>4</v>
      </c>
      <c r="B1823" s="5" t="n">
        <v>2</v>
      </c>
      <c r="C1823" s="5" t="n">
        <v>4</v>
      </c>
      <c r="D1823" s="18">
        <f>SEASON_HRS_TOM*B1823*(1+DIM_TOM)^B1823+SEASON_HRS_CAR*C1823*(1+DIM_CAR)^C1823</f>
        <v>350.257546875</v>
      </c>
      <c r="E1823" s="18">
        <f>(FARMER_FIELD_HRS+A1823*TEMP_HRS)-D1823</f>
        <v>6129.742453125</v>
      </c>
      <c r="F1823" s="21">
        <f>IF(E1823&lt;0,0,MIN(COUNTIF(Labor!$C$59:$C$88,"&lt;="&amp;E1823),MAXBED_MES,TOTAL_BEDS-B1823-C1823))</f>
        <v>30</v>
      </c>
      <c r="G1823" s="21">
        <f>B1823+C1823+F1823</f>
        <v>36</v>
      </c>
      <c r="H1823" s="22">
        <f>IF(E1823&lt;0,-999999999,B1823*(PRICE_TOM-FERT_TOM)+C1823*(PRICE_CAR-FERT_CAR)+F1823*(PRICE_MES-FERT_MES)-(FARMER_SALARY+A1823*TEMP_COST)-FIXED_COSTS)</f>
        <v>-92944</v>
      </c>
    </row>
    <row r="1824">
      <c r="A1824" s="5" t="n">
        <v>4</v>
      </c>
      <c r="B1824" s="5" t="n">
        <v>2</v>
      </c>
      <c r="C1824" s="5" t="n">
        <v>5</v>
      </c>
      <c r="D1824" s="18">
        <f>SEASON_HRS_TOM*B1824*(1+DIM_TOM)^B1824+SEASON_HRS_CAR*C1824*(1+DIM_CAR)^C1824</f>
        <v>387.5112319335937</v>
      </c>
      <c r="E1824" s="18">
        <f>(FARMER_FIELD_HRS+A1824*TEMP_HRS)-D1824</f>
        <v>6092.488768066406</v>
      </c>
      <c r="F1824" s="21">
        <f>IF(E1824&lt;0,0,MIN(COUNTIF(Labor!$C$59:$C$88,"&lt;="&amp;E1824),MAXBED_MES,TOTAL_BEDS-B1824-C1824))</f>
        <v>30</v>
      </c>
      <c r="G1824" s="21">
        <f>B1824+C1824+F1824</f>
        <v>37</v>
      </c>
      <c r="H1824" s="22">
        <f>IF(E1824&lt;0,-999999999,B1824*(PRICE_TOM-FERT_TOM)+C1824*(PRICE_CAR-FERT_CAR)+F1824*(PRICE_MES-FERT_MES)-(FARMER_SALARY+A1824*TEMP_COST)-FIXED_COSTS)</f>
        <v>-91290</v>
      </c>
    </row>
    <row r="1825">
      <c r="A1825" s="5" t="n">
        <v>4</v>
      </c>
      <c r="B1825" s="5" t="n">
        <v>2</v>
      </c>
      <c r="C1825" s="5" t="n">
        <v>6</v>
      </c>
      <c r="D1825" s="18">
        <f>SEASON_HRS_TOM*B1825*(1+DIM_TOM)^B1825+SEASON_HRS_CAR*C1825*(1+DIM_CAR)^C1825</f>
        <v>426.54481527832024</v>
      </c>
      <c r="E1825" s="18">
        <f>(FARMER_FIELD_HRS+A1825*TEMP_HRS)-D1825</f>
        <v>6053.45518472168</v>
      </c>
      <c r="F1825" s="21">
        <f>IF(E1825&lt;0,0,MIN(COUNTIF(Labor!$C$59:$C$88,"&lt;="&amp;E1825),MAXBED_MES,TOTAL_BEDS-B1825-C1825))</f>
        <v>30</v>
      </c>
      <c r="G1825" s="21">
        <f>B1825+C1825+F1825</f>
        <v>38</v>
      </c>
      <c r="H1825" s="22">
        <f>IF(E1825&lt;0,-999999999,B1825*(PRICE_TOM-FERT_TOM)+C1825*(PRICE_CAR-FERT_CAR)+F1825*(PRICE_MES-FERT_MES)-(FARMER_SALARY+A1825*TEMP_COST)-FIXED_COSTS)</f>
        <v>-89636</v>
      </c>
    </row>
    <row r="1826">
      <c r="A1826" s="5" t="n">
        <v>4</v>
      </c>
      <c r="B1826" s="5" t="n">
        <v>2</v>
      </c>
      <c r="C1826" s="5" t="n">
        <v>7</v>
      </c>
      <c r="D1826" s="18">
        <f>SEASON_HRS_TOM*B1826*(1+DIM_TOM)^B1826+SEASON_HRS_CAR*C1826*(1+DIM_CAR)^C1826</f>
        <v>467.42400827032463</v>
      </c>
      <c r="E1826" s="18">
        <f>(FARMER_FIELD_HRS+A1826*TEMP_HRS)-D1826</f>
        <v>6012.5759917296755</v>
      </c>
      <c r="F1826" s="21">
        <f>IF(E1826&lt;0,0,MIN(COUNTIF(Labor!$C$59:$C$88,"&lt;="&amp;E1826),MAXBED_MES,TOTAL_BEDS-B1826-C1826))</f>
        <v>30</v>
      </c>
      <c r="G1826" s="21">
        <f>B1826+C1826+F1826</f>
        <v>39</v>
      </c>
      <c r="H1826" s="22">
        <f>IF(E1826&lt;0,-999999999,B1826*(PRICE_TOM-FERT_TOM)+C1826*(PRICE_CAR-FERT_CAR)+F1826*(PRICE_MES-FERT_MES)-(FARMER_SALARY+A1826*TEMP_COST)-FIXED_COSTS)</f>
        <v>-87982</v>
      </c>
    </row>
    <row r="1827">
      <c r="A1827" s="5" t="n">
        <v>4</v>
      </c>
      <c r="B1827" s="5" t="n">
        <v>2</v>
      </c>
      <c r="C1827" s="5" t="n">
        <v>8</v>
      </c>
      <c r="D1827" s="18">
        <f>SEASON_HRS_TOM*B1827*(1+DIM_TOM)^B1827+SEASON_HRS_CAR*C1827*(1+DIM_CAR)^C1827</f>
        <v>510.2166954023802</v>
      </c>
      <c r="E1827" s="18">
        <f>(FARMER_FIELD_HRS+A1827*TEMP_HRS)-D1827</f>
        <v>5969.7833045976195</v>
      </c>
      <c r="F1827" s="21">
        <f>IF(E1827&lt;0,0,MIN(COUNTIF(Labor!$C$59:$C$88,"&lt;="&amp;E1827),MAXBED_MES,TOTAL_BEDS-B1827-C1827))</f>
        <v>30</v>
      </c>
      <c r="G1827" s="21">
        <f>B1827+C1827+F1827</f>
        <v>40</v>
      </c>
      <c r="H1827" s="22">
        <f>IF(E1827&lt;0,-999999999,B1827*(PRICE_TOM-FERT_TOM)+C1827*(PRICE_CAR-FERT_CAR)+F1827*(PRICE_MES-FERT_MES)-(FARMER_SALARY+A1827*TEMP_COST)-FIXED_COSTS)</f>
        <v>-86328</v>
      </c>
    </row>
    <row r="1828">
      <c r="A1828" s="5" t="n">
        <v>4</v>
      </c>
      <c r="B1828" s="5" t="n">
        <v>2</v>
      </c>
      <c r="C1828" s="5" t="n">
        <v>9</v>
      </c>
      <c r="D1828" s="18">
        <f>SEASON_HRS_TOM*B1828*(1+DIM_TOM)^B1828+SEASON_HRS_CAR*C1828*(1+DIM_CAR)^C1828</f>
        <v>554.9930018858696</v>
      </c>
      <c r="E1828" s="18">
        <f>(FARMER_FIELD_HRS+A1828*TEMP_HRS)-D1828</f>
        <v>5925.0069981141305</v>
      </c>
      <c r="F1828" s="21">
        <f>IF(E1828&lt;0,0,MIN(COUNTIF(Labor!$C$59:$C$88,"&lt;="&amp;E1828),MAXBED_MES,TOTAL_BEDS-B1828-C1828))</f>
        <v>30</v>
      </c>
      <c r="G1828" s="21">
        <f>B1828+C1828+F1828</f>
        <v>41</v>
      </c>
      <c r="H1828" s="22">
        <f>IF(E1828&lt;0,-999999999,B1828*(PRICE_TOM-FERT_TOM)+C1828*(PRICE_CAR-FERT_CAR)+F1828*(PRICE_MES-FERT_MES)-(FARMER_SALARY+A1828*TEMP_COST)-FIXED_COSTS)</f>
        <v>-84674</v>
      </c>
    </row>
    <row r="1829">
      <c r="A1829" s="5" t="n">
        <v>4</v>
      </c>
      <c r="B1829" s="5" t="n">
        <v>2</v>
      </c>
      <c r="C1829" s="5" t="n">
        <v>10</v>
      </c>
      <c r="D1829" s="18">
        <f>SEASON_HRS_TOM*B1829*(1+DIM_TOM)^B1829+SEASON_HRS_CAR*C1829*(1+DIM_CAR)^C1829</f>
        <v>601.825363258907</v>
      </c>
      <c r="E1829" s="18">
        <f>(FARMER_FIELD_HRS+A1829*TEMP_HRS)-D1829</f>
        <v>5878.174636741093</v>
      </c>
      <c r="F1829" s="21">
        <f>IF(E1829&lt;0,0,MIN(COUNTIF(Labor!$C$59:$C$88,"&lt;="&amp;E1829),MAXBED_MES,TOTAL_BEDS-B1829-C1829))</f>
        <v>30</v>
      </c>
      <c r="G1829" s="21">
        <f>B1829+C1829+F1829</f>
        <v>42</v>
      </c>
      <c r="H1829" s="22">
        <f>IF(E1829&lt;0,-999999999,B1829*(PRICE_TOM-FERT_TOM)+C1829*(PRICE_CAR-FERT_CAR)+F1829*(PRICE_MES-FERT_MES)-(FARMER_SALARY+A1829*TEMP_COST)-FIXED_COSTS)</f>
        <v>-83020</v>
      </c>
    </row>
    <row r="1830">
      <c r="A1830" s="5" t="n">
        <v>4</v>
      </c>
      <c r="B1830" s="5" t="n">
        <v>2</v>
      </c>
      <c r="C1830" s="5" t="n">
        <v>11</v>
      </c>
      <c r="D1830" s="18">
        <f>SEASON_HRS_TOM*B1830*(1+DIM_TOM)^B1830+SEASON_HRS_CAR*C1830*(1+DIM_CAR)^C1830</f>
        <v>650.7885970744177</v>
      </c>
      <c r="E1830" s="18">
        <f>(FARMER_FIELD_HRS+A1830*TEMP_HRS)-D1830</f>
        <v>5829.211402925583</v>
      </c>
      <c r="F1830" s="21">
        <f>IF(E1830&lt;0,0,MIN(COUNTIF(Labor!$C$59:$C$88,"&lt;="&amp;E1830),MAXBED_MES,TOTAL_BEDS-B1830-C1830))</f>
        <v>30</v>
      </c>
      <c r="G1830" s="21">
        <f>B1830+C1830+F1830</f>
        <v>43</v>
      </c>
      <c r="H1830" s="22">
        <f>IF(E1830&lt;0,-999999999,B1830*(PRICE_TOM-FERT_TOM)+C1830*(PRICE_CAR-FERT_CAR)+F1830*(PRICE_MES-FERT_MES)-(FARMER_SALARY+A1830*TEMP_COST)-FIXED_COSTS)</f>
        <v>-81366</v>
      </c>
    </row>
    <row r="1831">
      <c r="A1831" s="5" t="n">
        <v>4</v>
      </c>
      <c r="B1831" s="5" t="n">
        <v>2</v>
      </c>
      <c r="C1831" s="5" t="n">
        <v>12</v>
      </c>
      <c r="D1831" s="18">
        <f>SEASON_HRS_TOM*B1831*(1+DIM_TOM)^B1831+SEASON_HRS_CAR*C1831*(1+DIM_CAR)^C1831</f>
        <v>701.959976728667</v>
      </c>
      <c r="E1831" s="18">
        <f>(FARMER_FIELD_HRS+A1831*TEMP_HRS)-D1831</f>
        <v>5778.040023271333</v>
      </c>
      <c r="F1831" s="21">
        <f>IF(E1831&lt;0,0,MIN(COUNTIF(Labor!$C$59:$C$88,"&lt;="&amp;E1831),MAXBED_MES,TOTAL_BEDS-B1831-C1831))</f>
        <v>30</v>
      </c>
      <c r="G1831" s="21">
        <f>B1831+C1831+F1831</f>
        <v>44</v>
      </c>
      <c r="H1831" s="22">
        <f>IF(E1831&lt;0,-999999999,B1831*(PRICE_TOM-FERT_TOM)+C1831*(PRICE_CAR-FERT_CAR)+F1831*(PRICE_MES-FERT_MES)-(FARMER_SALARY+A1831*TEMP_COST)-FIXED_COSTS)</f>
        <v>-79712</v>
      </c>
    </row>
    <row r="1832">
      <c r="A1832" s="5" t="n">
        <v>4</v>
      </c>
      <c r="B1832" s="5" t="n">
        <v>2</v>
      </c>
      <c r="C1832" s="5" t="n">
        <v>13</v>
      </c>
      <c r="D1832" s="18">
        <f>SEASON_HRS_TOM*B1832*(1+DIM_TOM)^B1832+SEASON_HRS_CAR*C1832*(1+DIM_CAR)^C1832</f>
        <v>755.4193074924572</v>
      </c>
      <c r="E1832" s="18">
        <f>(FARMER_FIELD_HRS+A1832*TEMP_HRS)-D1832</f>
        <v>5724.580692507543</v>
      </c>
      <c r="F1832" s="21">
        <f>IF(E1832&lt;0,0,MIN(COUNTIF(Labor!$C$59:$C$88,"&lt;="&amp;E1832),MAXBED_MES,TOTAL_BEDS-B1832-C1832))</f>
        <v>30</v>
      </c>
      <c r="G1832" s="21">
        <f>B1832+C1832+F1832</f>
        <v>45</v>
      </c>
      <c r="H1832" s="22">
        <f>IF(E1832&lt;0,-999999999,B1832*(PRICE_TOM-FERT_TOM)+C1832*(PRICE_CAR-FERT_CAR)+F1832*(PRICE_MES-FERT_MES)-(FARMER_SALARY+A1832*TEMP_COST)-FIXED_COSTS)</f>
        <v>-78058</v>
      </c>
    </row>
    <row r="1833">
      <c r="A1833" s="5" t="n">
        <v>4</v>
      </c>
      <c r="B1833" s="5" t="n">
        <v>2</v>
      </c>
      <c r="C1833" s="5" t="n">
        <v>14</v>
      </c>
      <c r="D1833" s="18">
        <f>SEASON_HRS_TOM*B1833*(1+DIM_TOM)^B1833+SEASON_HRS_CAR*C1833*(1+DIM_CAR)^C1833</f>
        <v>811.2490048089817</v>
      </c>
      <c r="E1833" s="18">
        <f>(FARMER_FIELD_HRS+A1833*TEMP_HRS)-D1833</f>
        <v>5668.750995191018</v>
      </c>
      <c r="F1833" s="21">
        <f>IF(E1833&lt;0,0,MIN(COUNTIF(Labor!$C$59:$C$88,"&lt;="&amp;E1833),MAXBED_MES,TOTAL_BEDS-B1833-C1833))</f>
        <v>30</v>
      </c>
      <c r="G1833" s="21">
        <f>B1833+C1833+F1833</f>
        <v>46</v>
      </c>
      <c r="H1833" s="22">
        <f>IF(E1833&lt;0,-999999999,B1833*(PRICE_TOM-FERT_TOM)+C1833*(PRICE_CAR-FERT_CAR)+F1833*(PRICE_MES-FERT_MES)-(FARMER_SALARY+A1833*TEMP_COST)-FIXED_COSTS)</f>
        <v>-76404</v>
      </c>
    </row>
    <row r="1834">
      <c r="A1834" s="5" t="n">
        <v>4</v>
      </c>
      <c r="B1834" s="5" t="n">
        <v>2</v>
      </c>
      <c r="C1834" s="5" t="n">
        <v>15</v>
      </c>
      <c r="D1834" s="18">
        <f>SEASON_HRS_TOM*B1834*(1+DIM_TOM)^B1834+SEASON_HRS_CAR*C1834*(1+DIM_CAR)^C1834</f>
        <v>869.5341749241494</v>
      </c>
      <c r="E1834" s="18">
        <f>(FARMER_FIELD_HRS+A1834*TEMP_HRS)-D1834</f>
        <v>5610.46582507585</v>
      </c>
      <c r="F1834" s="21">
        <f>IF(E1834&lt;0,0,MIN(COUNTIF(Labor!$C$59:$C$88,"&lt;="&amp;E1834),MAXBED_MES,TOTAL_BEDS-B1834-C1834))</f>
        <v>30</v>
      </c>
      <c r="G1834" s="21">
        <f>B1834+C1834+F1834</f>
        <v>47</v>
      </c>
      <c r="H1834" s="22">
        <f>IF(E1834&lt;0,-999999999,B1834*(PRICE_TOM-FERT_TOM)+C1834*(PRICE_CAR-FERT_CAR)+F1834*(PRICE_MES-FERT_MES)-(FARMER_SALARY+A1834*TEMP_COST)-FIXED_COSTS)</f>
        <v>-74750</v>
      </c>
    </row>
    <row r="1835">
      <c r="A1835" s="5" t="n">
        <v>4</v>
      </c>
      <c r="B1835" s="5" t="n">
        <v>2</v>
      </c>
      <c r="C1835" s="5" t="n">
        <v>16</v>
      </c>
      <c r="D1835" s="18">
        <f>SEASON_HRS_TOM*B1835*(1+DIM_TOM)^B1835+SEASON_HRS_CAR*C1835*(1+DIM_CAR)^C1835</f>
        <v>930.3626979170699</v>
      </c>
      <c r="E1835" s="18">
        <f>(FARMER_FIELD_HRS+A1835*TEMP_HRS)-D1835</f>
        <v>5549.637302082931</v>
      </c>
      <c r="F1835" s="21">
        <f>IF(E1835&lt;0,0,MIN(COUNTIF(Labor!$C$59:$C$88,"&lt;="&amp;E1835),MAXBED_MES,TOTAL_BEDS-B1835-C1835))</f>
        <v>30</v>
      </c>
      <c r="G1835" s="21">
        <f>B1835+C1835+F1835</f>
        <v>48</v>
      </c>
      <c r="H1835" s="22">
        <f>IF(E1835&lt;0,-999999999,B1835*(PRICE_TOM-FERT_TOM)+C1835*(PRICE_CAR-FERT_CAR)+F1835*(PRICE_MES-FERT_MES)-(FARMER_SALARY+A1835*TEMP_COST)-FIXED_COSTS)</f>
        <v>-73096</v>
      </c>
    </row>
    <row r="1836">
      <c r="A1836" s="5" t="n">
        <v>4</v>
      </c>
      <c r="B1836" s="5" t="n">
        <v>2</v>
      </c>
      <c r="C1836" s="5" t="n">
        <v>17</v>
      </c>
      <c r="D1836" s="18">
        <f>SEASON_HRS_TOM*B1836*(1+DIM_TOM)^B1836+SEASON_HRS_CAR*C1836*(1+DIM_CAR)^C1836</f>
        <v>993.8253132003089</v>
      </c>
      <c r="E1836" s="18">
        <f>(FARMER_FIELD_HRS+A1836*TEMP_HRS)-D1836</f>
        <v>5486.174686799691</v>
      </c>
      <c r="F1836" s="21">
        <f>IF(E1836&lt;0,0,MIN(COUNTIF(Labor!$C$59:$C$88,"&lt;="&amp;E1836),MAXBED_MES,TOTAL_BEDS-B1836-C1836))</f>
        <v>30</v>
      </c>
      <c r="G1836" s="21">
        <f>B1836+C1836+F1836</f>
        <v>49</v>
      </c>
      <c r="H1836" s="22">
        <f>IF(E1836&lt;0,-999999999,B1836*(PRICE_TOM-FERT_TOM)+C1836*(PRICE_CAR-FERT_CAR)+F1836*(PRICE_MES-FERT_MES)-(FARMER_SALARY+A1836*TEMP_COST)-FIXED_COSTS)</f>
        <v>-71442</v>
      </c>
    </row>
    <row r="1837">
      <c r="A1837" s="5" t="n">
        <v>4</v>
      </c>
      <c r="B1837" s="5" t="n">
        <v>2</v>
      </c>
      <c r="C1837" s="5" t="n">
        <v>18</v>
      </c>
      <c r="D1837" s="18">
        <f>SEASON_HRS_TOM*B1837*(1+DIM_TOM)^B1837+SEASON_HRS_CAR*C1837*(1+DIM_CAR)^C1837</f>
        <v>1060.0157075615116</v>
      </c>
      <c r="E1837" s="18">
        <f>(FARMER_FIELD_HRS+A1837*TEMP_HRS)-D1837</f>
        <v>5419.984292438488</v>
      </c>
      <c r="F1837" s="21">
        <f>IF(E1837&lt;0,0,MIN(COUNTIF(Labor!$C$59:$C$88,"&lt;="&amp;E1837),MAXBED_MES,TOTAL_BEDS-B1837-C1837))</f>
        <v>30</v>
      </c>
      <c r="G1837" s="21">
        <f>B1837+C1837+F1837</f>
        <v>50</v>
      </c>
      <c r="H1837" s="22">
        <f>IF(E1837&lt;0,-999999999,B1837*(PRICE_TOM-FERT_TOM)+C1837*(PRICE_CAR-FERT_CAR)+F1837*(PRICE_MES-FERT_MES)-(FARMER_SALARY+A1837*TEMP_COST)-FIXED_COSTS)</f>
        <v>-69788</v>
      </c>
    </row>
    <row r="1838">
      <c r="A1838" s="5" t="n">
        <v>4</v>
      </c>
      <c r="B1838" s="5" t="n">
        <v>2</v>
      </c>
      <c r="C1838" s="5" t="n">
        <v>19</v>
      </c>
      <c r="D1838" s="18">
        <f>SEASON_HRS_TOM*B1838*(1+DIM_TOM)^B1838+SEASON_HRS_CAR*C1838*(1+DIM_CAR)^C1838</f>
        <v>1129.0306058200242</v>
      </c>
      <c r="E1838" s="18">
        <f>(FARMER_FIELD_HRS+A1838*TEMP_HRS)-D1838</f>
        <v>5350.969394179976</v>
      </c>
      <c r="F1838" s="21">
        <f>IF(E1838&lt;0,0,MIN(COUNTIF(Labor!$C$59:$C$88,"&lt;="&amp;E1838),MAXBED_MES,TOTAL_BEDS-B1838-C1838))</f>
        <v>30</v>
      </c>
      <c r="G1838" s="21">
        <f>B1838+C1838+F1838</f>
        <v>51</v>
      </c>
      <c r="H1838" s="22">
        <f>IF(E1838&lt;0,-999999999,B1838*(PRICE_TOM-FERT_TOM)+C1838*(PRICE_CAR-FERT_CAR)+F1838*(PRICE_MES-FERT_MES)-(FARMER_SALARY+A1838*TEMP_COST)-FIXED_COSTS)</f>
        <v>-68134</v>
      </c>
    </row>
    <row r="1839">
      <c r="A1839" s="5" t="n">
        <v>4</v>
      </c>
      <c r="B1839" s="5" t="n">
        <v>2</v>
      </c>
      <c r="C1839" s="5" t="n">
        <v>20</v>
      </c>
      <c r="D1839" s="18">
        <f>SEASON_HRS_TOM*B1839*(1+DIM_TOM)^B1839+SEASON_HRS_CAR*C1839*(1+DIM_CAR)^C1839</f>
        <v>1200.9698641742366</v>
      </c>
      <c r="E1839" s="18">
        <f>(FARMER_FIELD_HRS+A1839*TEMP_HRS)-D1839</f>
        <v>5279.030135825764</v>
      </c>
      <c r="F1839" s="21">
        <f>IF(E1839&lt;0,0,MIN(COUNTIF(Labor!$C$59:$C$88,"&lt;="&amp;E1839),MAXBED_MES,TOTAL_BEDS-B1839-C1839))</f>
        <v>30</v>
      </c>
      <c r="G1839" s="21">
        <f>B1839+C1839+F1839</f>
        <v>52</v>
      </c>
      <c r="H1839" s="22">
        <f>IF(E1839&lt;0,-999999999,B1839*(PRICE_TOM-FERT_TOM)+C1839*(PRICE_CAR-FERT_CAR)+F1839*(PRICE_MES-FERT_MES)-(FARMER_SALARY+A1839*TEMP_COST)-FIXED_COSTS)</f>
        <v>-66480</v>
      </c>
    </row>
    <row r="1840">
      <c r="A1840" s="5" t="n">
        <v>4</v>
      </c>
      <c r="B1840" s="5" t="n">
        <v>3</v>
      </c>
      <c r="C1840" s="5" t="n">
        <v>0</v>
      </c>
      <c r="D1840" s="18">
        <f>SEASON_HRS_TOM*B1840*(1+DIM_TOM)^B1840+SEASON_HRS_CAR*C1840*(1+DIM_CAR)^C1840</f>
        <v>359.3700000000001</v>
      </c>
      <c r="E1840" s="18">
        <f>(FARMER_FIELD_HRS+A1840*TEMP_HRS)-D1840</f>
        <v>6120.63</v>
      </c>
      <c r="F1840" s="21">
        <f>IF(E1840&lt;0,0,MIN(COUNTIF(Labor!$C$59:$C$88,"&lt;="&amp;E1840),MAXBED_MES,TOTAL_BEDS-B1840-C1840))</f>
        <v>30</v>
      </c>
      <c r="G1840" s="21">
        <f>B1840+C1840+F1840</f>
        <v>33</v>
      </c>
      <c r="H1840" s="22">
        <f>IF(E1840&lt;0,-999999999,B1840*(PRICE_TOM-FERT_TOM)+C1840*(PRICE_CAR-FERT_CAR)+F1840*(PRICE_MES-FERT_MES)-(FARMER_SALARY+A1840*TEMP_COST)-FIXED_COSTS)</f>
        <v>-91640</v>
      </c>
    </row>
    <row r="1841">
      <c r="A1841" s="5" t="n">
        <v>4</v>
      </c>
      <c r="B1841" s="5" t="n">
        <v>3</v>
      </c>
      <c r="C1841" s="5" t="n">
        <v>1</v>
      </c>
      <c r="D1841" s="18">
        <f>SEASON_HRS_TOM*B1841*(1+DIM_TOM)^B1841+SEASON_HRS_CAR*C1841*(1+DIM_CAR)^C1841</f>
        <v>390.1200000000001</v>
      </c>
      <c r="E1841" s="18">
        <f>(FARMER_FIELD_HRS+A1841*TEMP_HRS)-D1841</f>
        <v>6089.88</v>
      </c>
      <c r="F1841" s="21">
        <f>IF(E1841&lt;0,0,MIN(COUNTIF(Labor!$C$59:$C$88,"&lt;="&amp;E1841),MAXBED_MES,TOTAL_BEDS-B1841-C1841))</f>
        <v>30</v>
      </c>
      <c r="G1841" s="21">
        <f>B1841+C1841+F1841</f>
        <v>34</v>
      </c>
      <c r="H1841" s="22">
        <f>IF(E1841&lt;0,-999999999,B1841*(PRICE_TOM-FERT_TOM)+C1841*(PRICE_CAR-FERT_CAR)+F1841*(PRICE_MES-FERT_MES)-(FARMER_SALARY+A1841*TEMP_COST)-FIXED_COSTS)</f>
        <v>-89986</v>
      </c>
    </row>
    <row r="1842">
      <c r="A1842" s="5" t="n">
        <v>4</v>
      </c>
      <c r="B1842" s="5" t="n">
        <v>3</v>
      </c>
      <c r="C1842" s="5" t="n">
        <v>2</v>
      </c>
      <c r="D1842" s="18">
        <f>SEASON_HRS_TOM*B1842*(1+DIM_TOM)^B1842+SEASON_HRS_CAR*C1842*(1+DIM_CAR)^C1842</f>
        <v>422.40750000000014</v>
      </c>
      <c r="E1842" s="18">
        <f>(FARMER_FIELD_HRS+A1842*TEMP_HRS)-D1842</f>
        <v>6057.5925</v>
      </c>
      <c r="F1842" s="21">
        <f>IF(E1842&lt;0,0,MIN(COUNTIF(Labor!$C$59:$C$88,"&lt;="&amp;E1842),MAXBED_MES,TOTAL_BEDS-B1842-C1842))</f>
        <v>30</v>
      </c>
      <c r="G1842" s="21">
        <f>B1842+C1842+F1842</f>
        <v>35</v>
      </c>
      <c r="H1842" s="22">
        <f>IF(E1842&lt;0,-999999999,B1842*(PRICE_TOM-FERT_TOM)+C1842*(PRICE_CAR-FERT_CAR)+F1842*(PRICE_MES-FERT_MES)-(FARMER_SALARY+A1842*TEMP_COST)-FIXED_COSTS)</f>
        <v>-88332</v>
      </c>
    </row>
    <row r="1843">
      <c r="A1843" s="5" t="n">
        <v>4</v>
      </c>
      <c r="B1843" s="5" t="n">
        <v>3</v>
      </c>
      <c r="C1843" s="5" t="n">
        <v>3</v>
      </c>
      <c r="D1843" s="18">
        <f>SEASON_HRS_TOM*B1843*(1+DIM_TOM)^B1843+SEASON_HRS_CAR*C1843*(1+DIM_CAR)^C1843</f>
        <v>456.2901562500001</v>
      </c>
      <c r="E1843" s="18">
        <f>(FARMER_FIELD_HRS+A1843*TEMP_HRS)-D1843</f>
        <v>6023.70984375</v>
      </c>
      <c r="F1843" s="21">
        <f>IF(E1843&lt;0,0,MIN(COUNTIF(Labor!$C$59:$C$88,"&lt;="&amp;E1843),MAXBED_MES,TOTAL_BEDS-B1843-C1843))</f>
        <v>30</v>
      </c>
      <c r="G1843" s="21">
        <f>B1843+C1843+F1843</f>
        <v>36</v>
      </c>
      <c r="H1843" s="22">
        <f>IF(E1843&lt;0,-999999999,B1843*(PRICE_TOM-FERT_TOM)+C1843*(PRICE_CAR-FERT_CAR)+F1843*(PRICE_MES-FERT_MES)-(FARMER_SALARY+A1843*TEMP_COST)-FIXED_COSTS)</f>
        <v>-86678</v>
      </c>
    </row>
    <row r="1844">
      <c r="A1844" s="5" t="n">
        <v>4</v>
      </c>
      <c r="B1844" s="5" t="n">
        <v>3</v>
      </c>
      <c r="C1844" s="5" t="n">
        <v>4</v>
      </c>
      <c r="D1844" s="18">
        <f>SEASON_HRS_TOM*B1844*(1+DIM_TOM)^B1844+SEASON_HRS_CAR*C1844*(1+DIM_CAR)^C1844</f>
        <v>491.82754687500005</v>
      </c>
      <c r="E1844" s="18">
        <f>(FARMER_FIELD_HRS+A1844*TEMP_HRS)-D1844</f>
        <v>5988.172453125</v>
      </c>
      <c r="F1844" s="21">
        <f>IF(E1844&lt;0,0,MIN(COUNTIF(Labor!$C$59:$C$88,"&lt;="&amp;E1844),MAXBED_MES,TOTAL_BEDS-B1844-C1844))</f>
        <v>30</v>
      </c>
      <c r="G1844" s="21">
        <f>B1844+C1844+F1844</f>
        <v>37</v>
      </c>
      <c r="H1844" s="22">
        <f>IF(E1844&lt;0,-999999999,B1844*(PRICE_TOM-FERT_TOM)+C1844*(PRICE_CAR-FERT_CAR)+F1844*(PRICE_MES-FERT_MES)-(FARMER_SALARY+A1844*TEMP_COST)-FIXED_COSTS)</f>
        <v>-85024</v>
      </c>
    </row>
    <row r="1845">
      <c r="A1845" s="5" t="n">
        <v>4</v>
      </c>
      <c r="B1845" s="5" t="n">
        <v>3</v>
      </c>
      <c r="C1845" s="5" t="n">
        <v>5</v>
      </c>
      <c r="D1845" s="18">
        <f>SEASON_HRS_TOM*B1845*(1+DIM_TOM)^B1845+SEASON_HRS_CAR*C1845*(1+DIM_CAR)^C1845</f>
        <v>529.0812319335938</v>
      </c>
      <c r="E1845" s="18">
        <f>(FARMER_FIELD_HRS+A1845*TEMP_HRS)-D1845</f>
        <v>5950.918768066406</v>
      </c>
      <c r="F1845" s="21">
        <f>IF(E1845&lt;0,0,MIN(COUNTIF(Labor!$C$59:$C$88,"&lt;="&amp;E1845),MAXBED_MES,TOTAL_BEDS-B1845-C1845))</f>
        <v>30</v>
      </c>
      <c r="G1845" s="21">
        <f>B1845+C1845+F1845</f>
        <v>38</v>
      </c>
      <c r="H1845" s="22">
        <f>IF(E1845&lt;0,-999999999,B1845*(PRICE_TOM-FERT_TOM)+C1845*(PRICE_CAR-FERT_CAR)+F1845*(PRICE_MES-FERT_MES)-(FARMER_SALARY+A1845*TEMP_COST)-FIXED_COSTS)</f>
        <v>-83370</v>
      </c>
    </row>
    <row r="1846">
      <c r="A1846" s="5" t="n">
        <v>4</v>
      </c>
      <c r="B1846" s="5" t="n">
        <v>3</v>
      </c>
      <c r="C1846" s="5" t="n">
        <v>6</v>
      </c>
      <c r="D1846" s="18">
        <f>SEASON_HRS_TOM*B1846*(1+DIM_TOM)^B1846+SEASON_HRS_CAR*C1846*(1+DIM_CAR)^C1846</f>
        <v>568.1148152783203</v>
      </c>
      <c r="E1846" s="18">
        <f>(FARMER_FIELD_HRS+A1846*TEMP_HRS)-D1846</f>
        <v>5911.885184721679</v>
      </c>
      <c r="F1846" s="21">
        <f>IF(E1846&lt;0,0,MIN(COUNTIF(Labor!$C$59:$C$88,"&lt;="&amp;E1846),MAXBED_MES,TOTAL_BEDS-B1846-C1846))</f>
        <v>30</v>
      </c>
      <c r="G1846" s="21">
        <f>B1846+C1846+F1846</f>
        <v>39</v>
      </c>
      <c r="H1846" s="22">
        <f>IF(E1846&lt;0,-999999999,B1846*(PRICE_TOM-FERT_TOM)+C1846*(PRICE_CAR-FERT_CAR)+F1846*(PRICE_MES-FERT_MES)-(FARMER_SALARY+A1846*TEMP_COST)-FIXED_COSTS)</f>
        <v>-81716</v>
      </c>
    </row>
    <row r="1847">
      <c r="A1847" s="5" t="n">
        <v>4</v>
      </c>
      <c r="B1847" s="5" t="n">
        <v>3</v>
      </c>
      <c r="C1847" s="5" t="n">
        <v>7</v>
      </c>
      <c r="D1847" s="18">
        <f>SEASON_HRS_TOM*B1847*(1+DIM_TOM)^B1847+SEASON_HRS_CAR*C1847*(1+DIM_CAR)^C1847</f>
        <v>608.9940082703247</v>
      </c>
      <c r="E1847" s="18">
        <f>(FARMER_FIELD_HRS+A1847*TEMP_HRS)-D1847</f>
        <v>5871.005991729675</v>
      </c>
      <c r="F1847" s="21">
        <f>IF(E1847&lt;0,0,MIN(COUNTIF(Labor!$C$59:$C$88,"&lt;="&amp;E1847),MAXBED_MES,TOTAL_BEDS-B1847-C1847))</f>
        <v>30</v>
      </c>
      <c r="G1847" s="21">
        <f>B1847+C1847+F1847</f>
        <v>40</v>
      </c>
      <c r="H1847" s="22">
        <f>IF(E1847&lt;0,-999999999,B1847*(PRICE_TOM-FERT_TOM)+C1847*(PRICE_CAR-FERT_CAR)+F1847*(PRICE_MES-FERT_MES)-(FARMER_SALARY+A1847*TEMP_COST)-FIXED_COSTS)</f>
        <v>-80062</v>
      </c>
    </row>
    <row r="1848">
      <c r="A1848" s="5" t="n">
        <v>4</v>
      </c>
      <c r="B1848" s="5" t="n">
        <v>3</v>
      </c>
      <c r="C1848" s="5" t="n">
        <v>8</v>
      </c>
      <c r="D1848" s="18">
        <f>SEASON_HRS_TOM*B1848*(1+DIM_TOM)^B1848+SEASON_HRS_CAR*C1848*(1+DIM_CAR)^C1848</f>
        <v>651.7866954023802</v>
      </c>
      <c r="E1848" s="18">
        <f>(FARMER_FIELD_HRS+A1848*TEMP_HRS)-D1848</f>
        <v>5828.21330459762</v>
      </c>
      <c r="F1848" s="21">
        <f>IF(E1848&lt;0,0,MIN(COUNTIF(Labor!$C$59:$C$88,"&lt;="&amp;E1848),MAXBED_MES,TOTAL_BEDS-B1848-C1848))</f>
        <v>30</v>
      </c>
      <c r="G1848" s="21">
        <f>B1848+C1848+F1848</f>
        <v>41</v>
      </c>
      <c r="H1848" s="22">
        <f>IF(E1848&lt;0,-999999999,B1848*(PRICE_TOM-FERT_TOM)+C1848*(PRICE_CAR-FERT_CAR)+F1848*(PRICE_MES-FERT_MES)-(FARMER_SALARY+A1848*TEMP_COST)-FIXED_COSTS)</f>
        <v>-78408</v>
      </c>
    </row>
    <row r="1849">
      <c r="A1849" s="5" t="n">
        <v>4</v>
      </c>
      <c r="B1849" s="5" t="n">
        <v>3</v>
      </c>
      <c r="C1849" s="5" t="n">
        <v>9</v>
      </c>
      <c r="D1849" s="18">
        <f>SEASON_HRS_TOM*B1849*(1+DIM_TOM)^B1849+SEASON_HRS_CAR*C1849*(1+DIM_CAR)^C1849</f>
        <v>696.5630018858697</v>
      </c>
      <c r="E1849" s="18">
        <f>(FARMER_FIELD_HRS+A1849*TEMP_HRS)-D1849</f>
        <v>5783.43699811413</v>
      </c>
      <c r="F1849" s="21">
        <f>IF(E1849&lt;0,0,MIN(COUNTIF(Labor!$C$59:$C$88,"&lt;="&amp;E1849),MAXBED_MES,TOTAL_BEDS-B1849-C1849))</f>
        <v>30</v>
      </c>
      <c r="G1849" s="21">
        <f>B1849+C1849+F1849</f>
        <v>42</v>
      </c>
      <c r="H1849" s="22">
        <f>IF(E1849&lt;0,-999999999,B1849*(PRICE_TOM-FERT_TOM)+C1849*(PRICE_CAR-FERT_CAR)+F1849*(PRICE_MES-FERT_MES)-(FARMER_SALARY+A1849*TEMP_COST)-FIXED_COSTS)</f>
        <v>-76754</v>
      </c>
    </row>
    <row r="1850">
      <c r="A1850" s="5" t="n">
        <v>4</v>
      </c>
      <c r="B1850" s="5" t="n">
        <v>3</v>
      </c>
      <c r="C1850" s="5" t="n">
        <v>10</v>
      </c>
      <c r="D1850" s="18">
        <f>SEASON_HRS_TOM*B1850*(1+DIM_TOM)^B1850+SEASON_HRS_CAR*C1850*(1+DIM_CAR)^C1850</f>
        <v>743.3953632589071</v>
      </c>
      <c r="E1850" s="18">
        <f>(FARMER_FIELD_HRS+A1850*TEMP_HRS)-D1850</f>
        <v>5736.604636741093</v>
      </c>
      <c r="F1850" s="21">
        <f>IF(E1850&lt;0,0,MIN(COUNTIF(Labor!$C$59:$C$88,"&lt;="&amp;E1850),MAXBED_MES,TOTAL_BEDS-B1850-C1850))</f>
        <v>30</v>
      </c>
      <c r="G1850" s="21">
        <f>B1850+C1850+F1850</f>
        <v>43</v>
      </c>
      <c r="H1850" s="22">
        <f>IF(E1850&lt;0,-999999999,B1850*(PRICE_TOM-FERT_TOM)+C1850*(PRICE_CAR-FERT_CAR)+F1850*(PRICE_MES-FERT_MES)-(FARMER_SALARY+A1850*TEMP_COST)-FIXED_COSTS)</f>
        <v>-75100</v>
      </c>
    </row>
    <row r="1851">
      <c r="A1851" s="5" t="n">
        <v>4</v>
      </c>
      <c r="B1851" s="5" t="n">
        <v>3</v>
      </c>
      <c r="C1851" s="5" t="n">
        <v>11</v>
      </c>
      <c r="D1851" s="18">
        <f>SEASON_HRS_TOM*B1851*(1+DIM_TOM)^B1851+SEASON_HRS_CAR*C1851*(1+DIM_CAR)^C1851</f>
        <v>792.3585970744177</v>
      </c>
      <c r="E1851" s="18">
        <f>(FARMER_FIELD_HRS+A1851*TEMP_HRS)-D1851</f>
        <v>5687.641402925582</v>
      </c>
      <c r="F1851" s="21">
        <f>IF(E1851&lt;0,0,MIN(COUNTIF(Labor!$C$59:$C$88,"&lt;="&amp;E1851),MAXBED_MES,TOTAL_BEDS-B1851-C1851))</f>
        <v>30</v>
      </c>
      <c r="G1851" s="21">
        <f>B1851+C1851+F1851</f>
        <v>44</v>
      </c>
      <c r="H1851" s="22">
        <f>IF(E1851&lt;0,-999999999,B1851*(PRICE_TOM-FERT_TOM)+C1851*(PRICE_CAR-FERT_CAR)+F1851*(PRICE_MES-FERT_MES)-(FARMER_SALARY+A1851*TEMP_COST)-FIXED_COSTS)</f>
        <v>-73446</v>
      </c>
    </row>
    <row r="1852">
      <c r="A1852" s="5" t="n">
        <v>4</v>
      </c>
      <c r="B1852" s="5" t="n">
        <v>3</v>
      </c>
      <c r="C1852" s="5" t="n">
        <v>12</v>
      </c>
      <c r="D1852" s="18">
        <f>SEASON_HRS_TOM*B1852*(1+DIM_TOM)^B1852+SEASON_HRS_CAR*C1852*(1+DIM_CAR)^C1852</f>
        <v>843.5299767286671</v>
      </c>
      <c r="E1852" s="18">
        <f>(FARMER_FIELD_HRS+A1852*TEMP_HRS)-D1852</f>
        <v>5636.470023271333</v>
      </c>
      <c r="F1852" s="21">
        <f>IF(E1852&lt;0,0,MIN(COUNTIF(Labor!$C$59:$C$88,"&lt;="&amp;E1852),MAXBED_MES,TOTAL_BEDS-B1852-C1852))</f>
        <v>30</v>
      </c>
      <c r="G1852" s="21">
        <f>B1852+C1852+F1852</f>
        <v>45</v>
      </c>
      <c r="H1852" s="22">
        <f>IF(E1852&lt;0,-999999999,B1852*(PRICE_TOM-FERT_TOM)+C1852*(PRICE_CAR-FERT_CAR)+F1852*(PRICE_MES-FERT_MES)-(FARMER_SALARY+A1852*TEMP_COST)-FIXED_COSTS)</f>
        <v>-71792</v>
      </c>
    </row>
    <row r="1853">
      <c r="A1853" s="5" t="n">
        <v>4</v>
      </c>
      <c r="B1853" s="5" t="n">
        <v>3</v>
      </c>
      <c r="C1853" s="5" t="n">
        <v>13</v>
      </c>
      <c r="D1853" s="18">
        <f>SEASON_HRS_TOM*B1853*(1+DIM_TOM)^B1853+SEASON_HRS_CAR*C1853*(1+DIM_CAR)^C1853</f>
        <v>896.9893074924572</v>
      </c>
      <c r="E1853" s="18">
        <f>(FARMER_FIELD_HRS+A1853*TEMP_HRS)-D1853</f>
        <v>5583.010692507542</v>
      </c>
      <c r="F1853" s="21">
        <f>IF(E1853&lt;0,0,MIN(COUNTIF(Labor!$C$59:$C$88,"&lt;="&amp;E1853),MAXBED_MES,TOTAL_BEDS-B1853-C1853))</f>
        <v>30</v>
      </c>
      <c r="G1853" s="21">
        <f>B1853+C1853+F1853</f>
        <v>46</v>
      </c>
      <c r="H1853" s="22">
        <f>IF(E1853&lt;0,-999999999,B1853*(PRICE_TOM-FERT_TOM)+C1853*(PRICE_CAR-FERT_CAR)+F1853*(PRICE_MES-FERT_MES)-(FARMER_SALARY+A1853*TEMP_COST)-FIXED_COSTS)</f>
        <v>-70138</v>
      </c>
    </row>
    <row r="1854">
      <c r="A1854" s="5" t="n">
        <v>4</v>
      </c>
      <c r="B1854" s="5" t="n">
        <v>3</v>
      </c>
      <c r="C1854" s="5" t="n">
        <v>14</v>
      </c>
      <c r="D1854" s="18">
        <f>SEASON_HRS_TOM*B1854*(1+DIM_TOM)^B1854+SEASON_HRS_CAR*C1854*(1+DIM_CAR)^C1854</f>
        <v>952.8190048089817</v>
      </c>
      <c r="E1854" s="18">
        <f>(FARMER_FIELD_HRS+A1854*TEMP_HRS)-D1854</f>
        <v>5527.180995191018</v>
      </c>
      <c r="F1854" s="21">
        <f>IF(E1854&lt;0,0,MIN(COUNTIF(Labor!$C$59:$C$88,"&lt;="&amp;E1854),MAXBED_MES,TOTAL_BEDS-B1854-C1854))</f>
        <v>30</v>
      </c>
      <c r="G1854" s="21">
        <f>B1854+C1854+F1854</f>
        <v>47</v>
      </c>
      <c r="H1854" s="22">
        <f>IF(E1854&lt;0,-999999999,B1854*(PRICE_TOM-FERT_TOM)+C1854*(PRICE_CAR-FERT_CAR)+F1854*(PRICE_MES-FERT_MES)-(FARMER_SALARY+A1854*TEMP_COST)-FIXED_COSTS)</f>
        <v>-68484</v>
      </c>
    </row>
    <row r="1855">
      <c r="A1855" s="5" t="n">
        <v>4</v>
      </c>
      <c r="B1855" s="5" t="n">
        <v>3</v>
      </c>
      <c r="C1855" s="5" t="n">
        <v>15</v>
      </c>
      <c r="D1855" s="18">
        <f>SEASON_HRS_TOM*B1855*(1+DIM_TOM)^B1855+SEASON_HRS_CAR*C1855*(1+DIM_CAR)^C1855</f>
        <v>1011.1041749241494</v>
      </c>
      <c r="E1855" s="18">
        <f>(FARMER_FIELD_HRS+A1855*TEMP_HRS)-D1855</f>
        <v>5468.895825075851</v>
      </c>
      <c r="F1855" s="21">
        <f>IF(E1855&lt;0,0,MIN(COUNTIF(Labor!$C$59:$C$88,"&lt;="&amp;E1855),MAXBED_MES,TOTAL_BEDS-B1855-C1855))</f>
        <v>30</v>
      </c>
      <c r="G1855" s="21">
        <f>B1855+C1855+F1855</f>
        <v>48</v>
      </c>
      <c r="H1855" s="22">
        <f>IF(E1855&lt;0,-999999999,B1855*(PRICE_TOM-FERT_TOM)+C1855*(PRICE_CAR-FERT_CAR)+F1855*(PRICE_MES-FERT_MES)-(FARMER_SALARY+A1855*TEMP_COST)-FIXED_COSTS)</f>
        <v>-66830</v>
      </c>
    </row>
    <row r="1856">
      <c r="A1856" s="5" t="n">
        <v>4</v>
      </c>
      <c r="B1856" s="5" t="n">
        <v>3</v>
      </c>
      <c r="C1856" s="5" t="n">
        <v>16</v>
      </c>
      <c r="D1856" s="18">
        <f>SEASON_HRS_TOM*B1856*(1+DIM_TOM)^B1856+SEASON_HRS_CAR*C1856*(1+DIM_CAR)^C1856</f>
        <v>1071.93269791707</v>
      </c>
      <c r="E1856" s="18">
        <f>(FARMER_FIELD_HRS+A1856*TEMP_HRS)-D1856</f>
        <v>5408.06730208293</v>
      </c>
      <c r="F1856" s="21">
        <f>IF(E1856&lt;0,0,MIN(COUNTIF(Labor!$C$59:$C$88,"&lt;="&amp;E1856),MAXBED_MES,TOTAL_BEDS-B1856-C1856))</f>
        <v>30</v>
      </c>
      <c r="G1856" s="21">
        <f>B1856+C1856+F1856</f>
        <v>49</v>
      </c>
      <c r="H1856" s="22">
        <f>IF(E1856&lt;0,-999999999,B1856*(PRICE_TOM-FERT_TOM)+C1856*(PRICE_CAR-FERT_CAR)+F1856*(PRICE_MES-FERT_MES)-(FARMER_SALARY+A1856*TEMP_COST)-FIXED_COSTS)</f>
        <v>-65176</v>
      </c>
    </row>
    <row r="1857">
      <c r="A1857" s="5" t="n">
        <v>4</v>
      </c>
      <c r="B1857" s="5" t="n">
        <v>3</v>
      </c>
      <c r="C1857" s="5" t="n">
        <v>17</v>
      </c>
      <c r="D1857" s="18">
        <f>SEASON_HRS_TOM*B1857*(1+DIM_TOM)^B1857+SEASON_HRS_CAR*C1857*(1+DIM_CAR)^C1857</f>
        <v>1135.395313200309</v>
      </c>
      <c r="E1857" s="18">
        <f>(FARMER_FIELD_HRS+A1857*TEMP_HRS)-D1857</f>
        <v>5344.604686799691</v>
      </c>
      <c r="F1857" s="21">
        <f>IF(E1857&lt;0,0,MIN(COUNTIF(Labor!$C$59:$C$88,"&lt;="&amp;E1857),MAXBED_MES,TOTAL_BEDS-B1857-C1857))</f>
        <v>30</v>
      </c>
      <c r="G1857" s="21">
        <f>B1857+C1857+F1857</f>
        <v>50</v>
      </c>
      <c r="H1857" s="22">
        <f>IF(E1857&lt;0,-999999999,B1857*(PRICE_TOM-FERT_TOM)+C1857*(PRICE_CAR-FERT_CAR)+F1857*(PRICE_MES-FERT_MES)-(FARMER_SALARY+A1857*TEMP_COST)-FIXED_COSTS)</f>
        <v>-63522</v>
      </c>
    </row>
    <row r="1858">
      <c r="A1858" s="5" t="n">
        <v>4</v>
      </c>
      <c r="B1858" s="5" t="n">
        <v>3</v>
      </c>
      <c r="C1858" s="5" t="n">
        <v>18</v>
      </c>
      <c r="D1858" s="18">
        <f>SEASON_HRS_TOM*B1858*(1+DIM_TOM)^B1858+SEASON_HRS_CAR*C1858*(1+DIM_CAR)^C1858</f>
        <v>1201.5857075615118</v>
      </c>
      <c r="E1858" s="18">
        <f>(FARMER_FIELD_HRS+A1858*TEMP_HRS)-D1858</f>
        <v>5278.414292438489</v>
      </c>
      <c r="F1858" s="21">
        <f>IF(E1858&lt;0,0,MIN(COUNTIF(Labor!$C$59:$C$88,"&lt;="&amp;E1858),MAXBED_MES,TOTAL_BEDS-B1858-C1858))</f>
        <v>30</v>
      </c>
      <c r="G1858" s="21">
        <f>B1858+C1858+F1858</f>
        <v>51</v>
      </c>
      <c r="H1858" s="22">
        <f>IF(E1858&lt;0,-999999999,B1858*(PRICE_TOM-FERT_TOM)+C1858*(PRICE_CAR-FERT_CAR)+F1858*(PRICE_MES-FERT_MES)-(FARMER_SALARY+A1858*TEMP_COST)-FIXED_COSTS)</f>
        <v>-61868</v>
      </c>
    </row>
    <row r="1859">
      <c r="A1859" s="5" t="n">
        <v>4</v>
      </c>
      <c r="B1859" s="5" t="n">
        <v>3</v>
      </c>
      <c r="C1859" s="5" t="n">
        <v>19</v>
      </c>
      <c r="D1859" s="18">
        <f>SEASON_HRS_TOM*B1859*(1+DIM_TOM)^B1859+SEASON_HRS_CAR*C1859*(1+DIM_CAR)^C1859</f>
        <v>1270.6006058200242</v>
      </c>
      <c r="E1859" s="18">
        <f>(FARMER_FIELD_HRS+A1859*TEMP_HRS)-D1859</f>
        <v>5209.399394179976</v>
      </c>
      <c r="F1859" s="21">
        <f>IF(E1859&lt;0,0,MIN(COUNTIF(Labor!$C$59:$C$88,"&lt;="&amp;E1859),MAXBED_MES,TOTAL_BEDS-B1859-C1859))</f>
        <v>30</v>
      </c>
      <c r="G1859" s="21">
        <f>B1859+C1859+F1859</f>
        <v>52</v>
      </c>
      <c r="H1859" s="22">
        <f>IF(E1859&lt;0,-999999999,B1859*(PRICE_TOM-FERT_TOM)+C1859*(PRICE_CAR-FERT_CAR)+F1859*(PRICE_MES-FERT_MES)-(FARMER_SALARY+A1859*TEMP_COST)-FIXED_COSTS)</f>
        <v>-60214</v>
      </c>
    </row>
    <row r="1860">
      <c r="A1860" s="5" t="n">
        <v>4</v>
      </c>
      <c r="B1860" s="5" t="n">
        <v>3</v>
      </c>
      <c r="C1860" s="5" t="n">
        <v>20</v>
      </c>
      <c r="D1860" s="18">
        <f>SEASON_HRS_TOM*B1860*(1+DIM_TOM)^B1860+SEASON_HRS_CAR*C1860*(1+DIM_CAR)^C1860</f>
        <v>1342.5398641742368</v>
      </c>
      <c r="E1860" s="18">
        <f>(FARMER_FIELD_HRS+A1860*TEMP_HRS)-D1860</f>
        <v>5137.460135825763</v>
      </c>
      <c r="F1860" s="21">
        <f>IF(E1860&lt;0,0,MIN(COUNTIF(Labor!$C$59:$C$88,"&lt;="&amp;E1860),MAXBED_MES,TOTAL_BEDS-B1860-C1860))</f>
        <v>30</v>
      </c>
      <c r="G1860" s="21">
        <f>B1860+C1860+F1860</f>
        <v>53</v>
      </c>
      <c r="H1860" s="22">
        <f>IF(E1860&lt;0,-999999999,B1860*(PRICE_TOM-FERT_TOM)+C1860*(PRICE_CAR-FERT_CAR)+F1860*(PRICE_MES-FERT_MES)-(FARMER_SALARY+A1860*TEMP_COST)-FIXED_COSTS)</f>
        <v>-58560</v>
      </c>
    </row>
    <row r="1861">
      <c r="A1861" s="5" t="n">
        <v>4</v>
      </c>
      <c r="B1861" s="5" t="n">
        <v>4</v>
      </c>
      <c r="C1861" s="5" t="n">
        <v>0</v>
      </c>
      <c r="D1861" s="18">
        <f>SEASON_HRS_TOM*B1861*(1+DIM_TOM)^B1861+SEASON_HRS_CAR*C1861*(1+DIM_CAR)^C1861</f>
        <v>527.0760000000001</v>
      </c>
      <c r="E1861" s="18">
        <f>(FARMER_FIELD_HRS+A1861*TEMP_HRS)-D1861</f>
        <v>5952.924</v>
      </c>
      <c r="F1861" s="21">
        <f>IF(E1861&lt;0,0,MIN(COUNTIF(Labor!$C$59:$C$88,"&lt;="&amp;E1861),MAXBED_MES,TOTAL_BEDS-B1861-C1861))</f>
        <v>30</v>
      </c>
      <c r="G1861" s="21">
        <f>B1861+C1861+F1861</f>
        <v>34</v>
      </c>
      <c r="H1861" s="22">
        <f>IF(E1861&lt;0,-999999999,B1861*(PRICE_TOM-FERT_TOM)+C1861*(PRICE_CAR-FERT_CAR)+F1861*(PRICE_MES-FERT_MES)-(FARMER_SALARY+A1861*TEMP_COST)-FIXED_COSTS)</f>
        <v>-83720</v>
      </c>
    </row>
    <row r="1862">
      <c r="A1862" s="5" t="n">
        <v>4</v>
      </c>
      <c r="B1862" s="5" t="n">
        <v>4</v>
      </c>
      <c r="C1862" s="5" t="n">
        <v>1</v>
      </c>
      <c r="D1862" s="18">
        <f>SEASON_HRS_TOM*B1862*(1+DIM_TOM)^B1862+SEASON_HRS_CAR*C1862*(1+DIM_CAR)^C1862</f>
        <v>557.8260000000001</v>
      </c>
      <c r="E1862" s="18">
        <f>(FARMER_FIELD_HRS+A1862*TEMP_HRS)-D1862</f>
        <v>5922.174</v>
      </c>
      <c r="F1862" s="21">
        <f>IF(E1862&lt;0,0,MIN(COUNTIF(Labor!$C$59:$C$88,"&lt;="&amp;E1862),MAXBED_MES,TOTAL_BEDS-B1862-C1862))</f>
        <v>30</v>
      </c>
      <c r="G1862" s="21">
        <f>B1862+C1862+F1862</f>
        <v>35</v>
      </c>
      <c r="H1862" s="22">
        <f>IF(E1862&lt;0,-999999999,B1862*(PRICE_TOM-FERT_TOM)+C1862*(PRICE_CAR-FERT_CAR)+F1862*(PRICE_MES-FERT_MES)-(FARMER_SALARY+A1862*TEMP_COST)-FIXED_COSTS)</f>
        <v>-82066</v>
      </c>
    </row>
    <row r="1863">
      <c r="A1863" s="5" t="n">
        <v>4</v>
      </c>
      <c r="B1863" s="5" t="n">
        <v>4</v>
      </c>
      <c r="C1863" s="5" t="n">
        <v>2</v>
      </c>
      <c r="D1863" s="18">
        <f>SEASON_HRS_TOM*B1863*(1+DIM_TOM)^B1863+SEASON_HRS_CAR*C1863*(1+DIM_CAR)^C1863</f>
        <v>590.1135000000002</v>
      </c>
      <c r="E1863" s="18">
        <f>(FARMER_FIELD_HRS+A1863*TEMP_HRS)-D1863</f>
        <v>5889.8865</v>
      </c>
      <c r="F1863" s="21">
        <f>IF(E1863&lt;0,0,MIN(COUNTIF(Labor!$C$59:$C$88,"&lt;="&amp;E1863),MAXBED_MES,TOTAL_BEDS-B1863-C1863))</f>
        <v>30</v>
      </c>
      <c r="G1863" s="21">
        <f>B1863+C1863+F1863</f>
        <v>36</v>
      </c>
      <c r="H1863" s="22">
        <f>IF(E1863&lt;0,-999999999,B1863*(PRICE_TOM-FERT_TOM)+C1863*(PRICE_CAR-FERT_CAR)+F1863*(PRICE_MES-FERT_MES)-(FARMER_SALARY+A1863*TEMP_COST)-FIXED_COSTS)</f>
        <v>-80412</v>
      </c>
    </row>
    <row r="1864">
      <c r="A1864" s="5" t="n">
        <v>4</v>
      </c>
      <c r="B1864" s="5" t="n">
        <v>4</v>
      </c>
      <c r="C1864" s="5" t="n">
        <v>3</v>
      </c>
      <c r="D1864" s="18">
        <f>SEASON_HRS_TOM*B1864*(1+DIM_TOM)^B1864+SEASON_HRS_CAR*C1864*(1+DIM_CAR)^C1864</f>
        <v>623.9961562500001</v>
      </c>
      <c r="E1864" s="18">
        <f>(FARMER_FIELD_HRS+A1864*TEMP_HRS)-D1864</f>
        <v>5856.00384375</v>
      </c>
      <c r="F1864" s="21">
        <f>IF(E1864&lt;0,0,MIN(COUNTIF(Labor!$C$59:$C$88,"&lt;="&amp;E1864),MAXBED_MES,TOTAL_BEDS-B1864-C1864))</f>
        <v>30</v>
      </c>
      <c r="G1864" s="21">
        <f>B1864+C1864+F1864</f>
        <v>37</v>
      </c>
      <c r="H1864" s="22">
        <f>IF(E1864&lt;0,-999999999,B1864*(PRICE_TOM-FERT_TOM)+C1864*(PRICE_CAR-FERT_CAR)+F1864*(PRICE_MES-FERT_MES)-(FARMER_SALARY+A1864*TEMP_COST)-FIXED_COSTS)</f>
        <v>-78758</v>
      </c>
    </row>
    <row r="1865">
      <c r="A1865" s="5" t="n">
        <v>4</v>
      </c>
      <c r="B1865" s="5" t="n">
        <v>4</v>
      </c>
      <c r="C1865" s="5" t="n">
        <v>4</v>
      </c>
      <c r="D1865" s="18">
        <f>SEASON_HRS_TOM*B1865*(1+DIM_TOM)^B1865+SEASON_HRS_CAR*C1865*(1+DIM_CAR)^C1865</f>
        <v>659.5335468750001</v>
      </c>
      <c r="E1865" s="18">
        <f>(FARMER_FIELD_HRS+A1865*TEMP_HRS)-D1865</f>
        <v>5820.466453125</v>
      </c>
      <c r="F1865" s="21">
        <f>IF(E1865&lt;0,0,MIN(COUNTIF(Labor!$C$59:$C$88,"&lt;="&amp;E1865),MAXBED_MES,TOTAL_BEDS-B1865-C1865))</f>
        <v>30</v>
      </c>
      <c r="G1865" s="21">
        <f>B1865+C1865+F1865</f>
        <v>38</v>
      </c>
      <c r="H1865" s="22">
        <f>IF(E1865&lt;0,-999999999,B1865*(PRICE_TOM-FERT_TOM)+C1865*(PRICE_CAR-FERT_CAR)+F1865*(PRICE_MES-FERT_MES)-(FARMER_SALARY+A1865*TEMP_COST)-FIXED_COSTS)</f>
        <v>-77104</v>
      </c>
    </row>
    <row r="1866">
      <c r="A1866" s="5" t="n">
        <v>4</v>
      </c>
      <c r="B1866" s="5" t="n">
        <v>4</v>
      </c>
      <c r="C1866" s="5" t="n">
        <v>5</v>
      </c>
      <c r="D1866" s="18">
        <f>SEASON_HRS_TOM*B1866*(1+DIM_TOM)^B1866+SEASON_HRS_CAR*C1866*(1+DIM_CAR)^C1866</f>
        <v>696.7872319335938</v>
      </c>
      <c r="E1866" s="18">
        <f>(FARMER_FIELD_HRS+A1866*TEMP_HRS)-D1866</f>
        <v>5783.212768066406</v>
      </c>
      <c r="F1866" s="21">
        <f>IF(E1866&lt;0,0,MIN(COUNTIF(Labor!$C$59:$C$88,"&lt;="&amp;E1866),MAXBED_MES,TOTAL_BEDS-B1866-C1866))</f>
        <v>30</v>
      </c>
      <c r="G1866" s="21">
        <f>B1866+C1866+F1866</f>
        <v>39</v>
      </c>
      <c r="H1866" s="22">
        <f>IF(E1866&lt;0,-999999999,B1866*(PRICE_TOM-FERT_TOM)+C1866*(PRICE_CAR-FERT_CAR)+F1866*(PRICE_MES-FERT_MES)-(FARMER_SALARY+A1866*TEMP_COST)-FIXED_COSTS)</f>
        <v>-75450</v>
      </c>
    </row>
    <row r="1867">
      <c r="A1867" s="5" t="n">
        <v>4</v>
      </c>
      <c r="B1867" s="5" t="n">
        <v>4</v>
      </c>
      <c r="C1867" s="5" t="n">
        <v>6</v>
      </c>
      <c r="D1867" s="18">
        <f>SEASON_HRS_TOM*B1867*(1+DIM_TOM)^B1867+SEASON_HRS_CAR*C1867*(1+DIM_CAR)^C1867</f>
        <v>735.8208152783203</v>
      </c>
      <c r="E1867" s="18">
        <f>(FARMER_FIELD_HRS+A1867*TEMP_HRS)-D1867</f>
        <v>5744.17918472168</v>
      </c>
      <c r="F1867" s="21">
        <f>IF(E1867&lt;0,0,MIN(COUNTIF(Labor!$C$59:$C$88,"&lt;="&amp;E1867),MAXBED_MES,TOTAL_BEDS-B1867-C1867))</f>
        <v>30</v>
      </c>
      <c r="G1867" s="21">
        <f>B1867+C1867+F1867</f>
        <v>40</v>
      </c>
      <c r="H1867" s="22">
        <f>IF(E1867&lt;0,-999999999,B1867*(PRICE_TOM-FERT_TOM)+C1867*(PRICE_CAR-FERT_CAR)+F1867*(PRICE_MES-FERT_MES)-(FARMER_SALARY+A1867*TEMP_COST)-FIXED_COSTS)</f>
        <v>-73796</v>
      </c>
    </row>
    <row r="1868">
      <c r="A1868" s="5" t="n">
        <v>4</v>
      </c>
      <c r="B1868" s="5" t="n">
        <v>4</v>
      </c>
      <c r="C1868" s="5" t="n">
        <v>7</v>
      </c>
      <c r="D1868" s="18">
        <f>SEASON_HRS_TOM*B1868*(1+DIM_TOM)^B1868+SEASON_HRS_CAR*C1868*(1+DIM_CAR)^C1868</f>
        <v>776.7000082703247</v>
      </c>
      <c r="E1868" s="18">
        <f>(FARMER_FIELD_HRS+A1868*TEMP_HRS)-D1868</f>
        <v>5703.299991729676</v>
      </c>
      <c r="F1868" s="21">
        <f>IF(E1868&lt;0,0,MIN(COUNTIF(Labor!$C$59:$C$88,"&lt;="&amp;E1868),MAXBED_MES,TOTAL_BEDS-B1868-C1868))</f>
        <v>30</v>
      </c>
      <c r="G1868" s="21">
        <f>B1868+C1868+F1868</f>
        <v>41</v>
      </c>
      <c r="H1868" s="22">
        <f>IF(E1868&lt;0,-999999999,B1868*(PRICE_TOM-FERT_TOM)+C1868*(PRICE_CAR-FERT_CAR)+F1868*(PRICE_MES-FERT_MES)-(FARMER_SALARY+A1868*TEMP_COST)-FIXED_COSTS)</f>
        <v>-72142</v>
      </c>
    </row>
    <row r="1869">
      <c r="A1869" s="5" t="n">
        <v>4</v>
      </c>
      <c r="B1869" s="5" t="n">
        <v>4</v>
      </c>
      <c r="C1869" s="5" t="n">
        <v>8</v>
      </c>
      <c r="D1869" s="18">
        <f>SEASON_HRS_TOM*B1869*(1+DIM_TOM)^B1869+SEASON_HRS_CAR*C1869*(1+DIM_CAR)^C1869</f>
        <v>819.4926954023803</v>
      </c>
      <c r="E1869" s="18">
        <f>(FARMER_FIELD_HRS+A1869*TEMP_HRS)-D1869</f>
        <v>5660.50730459762</v>
      </c>
      <c r="F1869" s="21">
        <f>IF(E1869&lt;0,0,MIN(COUNTIF(Labor!$C$59:$C$88,"&lt;="&amp;E1869),MAXBED_MES,TOTAL_BEDS-B1869-C1869))</f>
        <v>30</v>
      </c>
      <c r="G1869" s="21">
        <f>B1869+C1869+F1869</f>
        <v>42</v>
      </c>
      <c r="H1869" s="22">
        <f>IF(E1869&lt;0,-999999999,B1869*(PRICE_TOM-FERT_TOM)+C1869*(PRICE_CAR-FERT_CAR)+F1869*(PRICE_MES-FERT_MES)-(FARMER_SALARY+A1869*TEMP_COST)-FIXED_COSTS)</f>
        <v>-70488</v>
      </c>
    </row>
    <row r="1870">
      <c r="A1870" s="5" t="n">
        <v>4</v>
      </c>
      <c r="B1870" s="5" t="n">
        <v>4</v>
      </c>
      <c r="C1870" s="5" t="n">
        <v>9</v>
      </c>
      <c r="D1870" s="18">
        <f>SEASON_HRS_TOM*B1870*(1+DIM_TOM)^B1870+SEASON_HRS_CAR*C1870*(1+DIM_CAR)^C1870</f>
        <v>864.2690018858698</v>
      </c>
      <c r="E1870" s="18">
        <f>(FARMER_FIELD_HRS+A1870*TEMP_HRS)-D1870</f>
        <v>5615.73099811413</v>
      </c>
      <c r="F1870" s="21">
        <f>IF(E1870&lt;0,0,MIN(COUNTIF(Labor!$C$59:$C$88,"&lt;="&amp;E1870),MAXBED_MES,TOTAL_BEDS-B1870-C1870))</f>
        <v>30</v>
      </c>
      <c r="G1870" s="21">
        <f>B1870+C1870+F1870</f>
        <v>43</v>
      </c>
      <c r="H1870" s="22">
        <f>IF(E1870&lt;0,-999999999,B1870*(PRICE_TOM-FERT_TOM)+C1870*(PRICE_CAR-FERT_CAR)+F1870*(PRICE_MES-FERT_MES)-(FARMER_SALARY+A1870*TEMP_COST)-FIXED_COSTS)</f>
        <v>-68834</v>
      </c>
    </row>
    <row r="1871">
      <c r="A1871" s="5" t="n">
        <v>4</v>
      </c>
      <c r="B1871" s="5" t="n">
        <v>4</v>
      </c>
      <c r="C1871" s="5" t="n">
        <v>10</v>
      </c>
      <c r="D1871" s="18">
        <f>SEASON_HRS_TOM*B1871*(1+DIM_TOM)^B1871+SEASON_HRS_CAR*C1871*(1+DIM_CAR)^C1871</f>
        <v>911.1013632589072</v>
      </c>
      <c r="E1871" s="18">
        <f>(FARMER_FIELD_HRS+A1871*TEMP_HRS)-D1871</f>
        <v>5568.898636741093</v>
      </c>
      <c r="F1871" s="21">
        <f>IF(E1871&lt;0,0,MIN(COUNTIF(Labor!$C$59:$C$88,"&lt;="&amp;E1871),MAXBED_MES,TOTAL_BEDS-B1871-C1871))</f>
        <v>30</v>
      </c>
      <c r="G1871" s="21">
        <f>B1871+C1871+F1871</f>
        <v>44</v>
      </c>
      <c r="H1871" s="22">
        <f>IF(E1871&lt;0,-999999999,B1871*(PRICE_TOM-FERT_TOM)+C1871*(PRICE_CAR-FERT_CAR)+F1871*(PRICE_MES-FERT_MES)-(FARMER_SALARY+A1871*TEMP_COST)-FIXED_COSTS)</f>
        <v>-67180</v>
      </c>
    </row>
    <row r="1872">
      <c r="A1872" s="5" t="n">
        <v>4</v>
      </c>
      <c r="B1872" s="5" t="n">
        <v>4</v>
      </c>
      <c r="C1872" s="5" t="n">
        <v>11</v>
      </c>
      <c r="D1872" s="18">
        <f>SEASON_HRS_TOM*B1872*(1+DIM_TOM)^B1872+SEASON_HRS_CAR*C1872*(1+DIM_CAR)^C1872</f>
        <v>960.0645970744177</v>
      </c>
      <c r="E1872" s="18">
        <f>(FARMER_FIELD_HRS+A1872*TEMP_HRS)-D1872</f>
        <v>5519.935402925582</v>
      </c>
      <c r="F1872" s="21">
        <f>IF(E1872&lt;0,0,MIN(COUNTIF(Labor!$C$59:$C$88,"&lt;="&amp;E1872),MAXBED_MES,TOTAL_BEDS-B1872-C1872))</f>
        <v>30</v>
      </c>
      <c r="G1872" s="21">
        <f>B1872+C1872+F1872</f>
        <v>45</v>
      </c>
      <c r="H1872" s="22">
        <f>IF(E1872&lt;0,-999999999,B1872*(PRICE_TOM-FERT_TOM)+C1872*(PRICE_CAR-FERT_CAR)+F1872*(PRICE_MES-FERT_MES)-(FARMER_SALARY+A1872*TEMP_COST)-FIXED_COSTS)</f>
        <v>-65526</v>
      </c>
    </row>
    <row r="1873">
      <c r="A1873" s="5" t="n">
        <v>4</v>
      </c>
      <c r="B1873" s="5" t="n">
        <v>4</v>
      </c>
      <c r="C1873" s="5" t="n">
        <v>12</v>
      </c>
      <c r="D1873" s="18">
        <f>SEASON_HRS_TOM*B1873*(1+DIM_TOM)^B1873+SEASON_HRS_CAR*C1873*(1+DIM_CAR)^C1873</f>
        <v>1011.2359767286671</v>
      </c>
      <c r="E1873" s="18">
        <f>(FARMER_FIELD_HRS+A1873*TEMP_HRS)-D1873</f>
        <v>5468.764023271333</v>
      </c>
      <c r="F1873" s="21">
        <f>IF(E1873&lt;0,0,MIN(COUNTIF(Labor!$C$59:$C$88,"&lt;="&amp;E1873),MAXBED_MES,TOTAL_BEDS-B1873-C1873))</f>
        <v>30</v>
      </c>
      <c r="G1873" s="21">
        <f>B1873+C1873+F1873</f>
        <v>46</v>
      </c>
      <c r="H1873" s="22">
        <f>IF(E1873&lt;0,-999999999,B1873*(PRICE_TOM-FERT_TOM)+C1873*(PRICE_CAR-FERT_CAR)+F1873*(PRICE_MES-FERT_MES)-(FARMER_SALARY+A1873*TEMP_COST)-FIXED_COSTS)</f>
        <v>-63872</v>
      </c>
    </row>
    <row r="1874">
      <c r="A1874" s="5" t="n">
        <v>4</v>
      </c>
      <c r="B1874" s="5" t="n">
        <v>4</v>
      </c>
      <c r="C1874" s="5" t="n">
        <v>13</v>
      </c>
      <c r="D1874" s="18">
        <f>SEASON_HRS_TOM*B1874*(1+DIM_TOM)^B1874+SEASON_HRS_CAR*C1874*(1+DIM_CAR)^C1874</f>
        <v>1064.6953074924572</v>
      </c>
      <c r="E1874" s="18">
        <f>(FARMER_FIELD_HRS+A1874*TEMP_HRS)-D1874</f>
        <v>5415.304692507543</v>
      </c>
      <c r="F1874" s="21">
        <f>IF(E1874&lt;0,0,MIN(COUNTIF(Labor!$C$59:$C$88,"&lt;="&amp;E1874),MAXBED_MES,TOTAL_BEDS-B1874-C1874))</f>
        <v>30</v>
      </c>
      <c r="G1874" s="21">
        <f>B1874+C1874+F1874</f>
        <v>47</v>
      </c>
      <c r="H1874" s="22">
        <f>IF(E1874&lt;0,-999999999,B1874*(PRICE_TOM-FERT_TOM)+C1874*(PRICE_CAR-FERT_CAR)+F1874*(PRICE_MES-FERT_MES)-(FARMER_SALARY+A1874*TEMP_COST)-FIXED_COSTS)</f>
        <v>-62218</v>
      </c>
    </row>
    <row r="1875">
      <c r="A1875" s="5" t="n">
        <v>4</v>
      </c>
      <c r="B1875" s="5" t="n">
        <v>4</v>
      </c>
      <c r="C1875" s="5" t="n">
        <v>14</v>
      </c>
      <c r="D1875" s="18">
        <f>SEASON_HRS_TOM*B1875*(1+DIM_TOM)^B1875+SEASON_HRS_CAR*C1875*(1+DIM_CAR)^C1875</f>
        <v>1120.5250048089817</v>
      </c>
      <c r="E1875" s="18">
        <f>(FARMER_FIELD_HRS+A1875*TEMP_HRS)-D1875</f>
        <v>5359.474995191018</v>
      </c>
      <c r="F1875" s="21">
        <f>IF(E1875&lt;0,0,MIN(COUNTIF(Labor!$C$59:$C$88,"&lt;="&amp;E1875),MAXBED_MES,TOTAL_BEDS-B1875-C1875))</f>
        <v>30</v>
      </c>
      <c r="G1875" s="21">
        <f>B1875+C1875+F1875</f>
        <v>48</v>
      </c>
      <c r="H1875" s="22">
        <f>IF(E1875&lt;0,-999999999,B1875*(PRICE_TOM-FERT_TOM)+C1875*(PRICE_CAR-FERT_CAR)+F1875*(PRICE_MES-FERT_MES)-(FARMER_SALARY+A1875*TEMP_COST)-FIXED_COSTS)</f>
        <v>-60564</v>
      </c>
    </row>
    <row r="1876">
      <c r="A1876" s="5" t="n">
        <v>4</v>
      </c>
      <c r="B1876" s="5" t="n">
        <v>4</v>
      </c>
      <c r="C1876" s="5" t="n">
        <v>15</v>
      </c>
      <c r="D1876" s="18">
        <f>SEASON_HRS_TOM*B1876*(1+DIM_TOM)^B1876+SEASON_HRS_CAR*C1876*(1+DIM_CAR)^C1876</f>
        <v>1178.8101749241496</v>
      </c>
      <c r="E1876" s="18">
        <f>(FARMER_FIELD_HRS+A1876*TEMP_HRS)-D1876</f>
        <v>5301.18982507585</v>
      </c>
      <c r="F1876" s="21">
        <f>IF(E1876&lt;0,0,MIN(COUNTIF(Labor!$C$59:$C$88,"&lt;="&amp;E1876),MAXBED_MES,TOTAL_BEDS-B1876-C1876))</f>
        <v>30</v>
      </c>
      <c r="G1876" s="21">
        <f>B1876+C1876+F1876</f>
        <v>49</v>
      </c>
      <c r="H1876" s="22">
        <f>IF(E1876&lt;0,-999999999,B1876*(PRICE_TOM-FERT_TOM)+C1876*(PRICE_CAR-FERT_CAR)+F1876*(PRICE_MES-FERT_MES)-(FARMER_SALARY+A1876*TEMP_COST)-FIXED_COSTS)</f>
        <v>-58910</v>
      </c>
    </row>
    <row r="1877">
      <c r="A1877" s="5" t="n">
        <v>4</v>
      </c>
      <c r="B1877" s="5" t="n">
        <v>4</v>
      </c>
      <c r="C1877" s="5" t="n">
        <v>16</v>
      </c>
      <c r="D1877" s="18">
        <f>SEASON_HRS_TOM*B1877*(1+DIM_TOM)^B1877+SEASON_HRS_CAR*C1877*(1+DIM_CAR)^C1877</f>
        <v>1239.63869791707</v>
      </c>
      <c r="E1877" s="18">
        <f>(FARMER_FIELD_HRS+A1877*TEMP_HRS)-D1877</f>
        <v>5240.36130208293</v>
      </c>
      <c r="F1877" s="21">
        <f>IF(E1877&lt;0,0,MIN(COUNTIF(Labor!$C$59:$C$88,"&lt;="&amp;E1877),MAXBED_MES,TOTAL_BEDS-B1877-C1877))</f>
        <v>30</v>
      </c>
      <c r="G1877" s="21">
        <f>B1877+C1877+F1877</f>
        <v>50</v>
      </c>
      <c r="H1877" s="22">
        <f>IF(E1877&lt;0,-999999999,B1877*(PRICE_TOM-FERT_TOM)+C1877*(PRICE_CAR-FERT_CAR)+F1877*(PRICE_MES-FERT_MES)-(FARMER_SALARY+A1877*TEMP_COST)-FIXED_COSTS)</f>
        <v>-57256</v>
      </c>
    </row>
    <row r="1878">
      <c r="A1878" s="5" t="n">
        <v>4</v>
      </c>
      <c r="B1878" s="5" t="n">
        <v>4</v>
      </c>
      <c r="C1878" s="5" t="n">
        <v>17</v>
      </c>
      <c r="D1878" s="18">
        <f>SEASON_HRS_TOM*B1878*(1+DIM_TOM)^B1878+SEASON_HRS_CAR*C1878*(1+DIM_CAR)^C1878</f>
        <v>1303.101313200309</v>
      </c>
      <c r="E1878" s="18">
        <f>(FARMER_FIELD_HRS+A1878*TEMP_HRS)-D1878</f>
        <v>5176.898686799691</v>
      </c>
      <c r="F1878" s="21">
        <f>IF(E1878&lt;0,0,MIN(COUNTIF(Labor!$C$59:$C$88,"&lt;="&amp;E1878),MAXBED_MES,TOTAL_BEDS-B1878-C1878))</f>
        <v>30</v>
      </c>
      <c r="G1878" s="21">
        <f>B1878+C1878+F1878</f>
        <v>51</v>
      </c>
      <c r="H1878" s="22">
        <f>IF(E1878&lt;0,-999999999,B1878*(PRICE_TOM-FERT_TOM)+C1878*(PRICE_CAR-FERT_CAR)+F1878*(PRICE_MES-FERT_MES)-(FARMER_SALARY+A1878*TEMP_COST)-FIXED_COSTS)</f>
        <v>-55602</v>
      </c>
    </row>
    <row r="1879">
      <c r="A1879" s="5" t="n">
        <v>4</v>
      </c>
      <c r="B1879" s="5" t="n">
        <v>4</v>
      </c>
      <c r="C1879" s="5" t="n">
        <v>18</v>
      </c>
      <c r="D1879" s="18">
        <f>SEASON_HRS_TOM*B1879*(1+DIM_TOM)^B1879+SEASON_HRS_CAR*C1879*(1+DIM_CAR)^C1879</f>
        <v>1369.2917075615117</v>
      </c>
      <c r="E1879" s="18">
        <f>(FARMER_FIELD_HRS+A1879*TEMP_HRS)-D1879</f>
        <v>5110.708292438489</v>
      </c>
      <c r="F1879" s="21">
        <f>IF(E1879&lt;0,0,MIN(COUNTIF(Labor!$C$59:$C$88,"&lt;="&amp;E1879),MAXBED_MES,TOTAL_BEDS-B1879-C1879))</f>
        <v>30</v>
      </c>
      <c r="G1879" s="21">
        <f>B1879+C1879+F1879</f>
        <v>52</v>
      </c>
      <c r="H1879" s="22">
        <f>IF(E1879&lt;0,-999999999,B1879*(PRICE_TOM-FERT_TOM)+C1879*(PRICE_CAR-FERT_CAR)+F1879*(PRICE_MES-FERT_MES)-(FARMER_SALARY+A1879*TEMP_COST)-FIXED_COSTS)</f>
        <v>-53948</v>
      </c>
    </row>
    <row r="1880">
      <c r="A1880" s="5" t="n">
        <v>4</v>
      </c>
      <c r="B1880" s="5" t="n">
        <v>4</v>
      </c>
      <c r="C1880" s="5" t="n">
        <v>19</v>
      </c>
      <c r="D1880" s="18">
        <f>SEASON_HRS_TOM*B1880*(1+DIM_TOM)^B1880+SEASON_HRS_CAR*C1880*(1+DIM_CAR)^C1880</f>
        <v>1438.3066058200243</v>
      </c>
      <c r="E1880" s="18">
        <f>(FARMER_FIELD_HRS+A1880*TEMP_HRS)-D1880</f>
        <v>5041.693394179976</v>
      </c>
      <c r="F1880" s="21">
        <f>IF(E1880&lt;0,0,MIN(COUNTIF(Labor!$C$59:$C$88,"&lt;="&amp;E1880),MAXBED_MES,TOTAL_BEDS-B1880-C1880))</f>
        <v>30</v>
      </c>
      <c r="G1880" s="21">
        <f>B1880+C1880+F1880</f>
        <v>53</v>
      </c>
      <c r="H1880" s="22">
        <f>IF(E1880&lt;0,-999999999,B1880*(PRICE_TOM-FERT_TOM)+C1880*(PRICE_CAR-FERT_CAR)+F1880*(PRICE_MES-FERT_MES)-(FARMER_SALARY+A1880*TEMP_COST)-FIXED_COSTS)</f>
        <v>-52294</v>
      </c>
    </row>
    <row r="1881">
      <c r="A1881" s="5" t="n">
        <v>4</v>
      </c>
      <c r="B1881" s="5" t="n">
        <v>4</v>
      </c>
      <c r="C1881" s="5" t="n">
        <v>20</v>
      </c>
      <c r="D1881" s="18">
        <f>SEASON_HRS_TOM*B1881*(1+DIM_TOM)^B1881+SEASON_HRS_CAR*C1881*(1+DIM_CAR)^C1881</f>
        <v>1510.2458641742367</v>
      </c>
      <c r="E1881" s="18">
        <f>(FARMER_FIELD_HRS+A1881*TEMP_HRS)-D1881</f>
        <v>4969.754135825763</v>
      </c>
      <c r="F1881" s="21">
        <f>IF(E1881&lt;0,0,MIN(COUNTIF(Labor!$C$59:$C$88,"&lt;="&amp;E1881),MAXBED_MES,TOTAL_BEDS-B1881-C1881))</f>
        <v>30</v>
      </c>
      <c r="G1881" s="21">
        <f>B1881+C1881+F1881</f>
        <v>54</v>
      </c>
      <c r="H1881" s="22">
        <f>IF(E1881&lt;0,-999999999,B1881*(PRICE_TOM-FERT_TOM)+C1881*(PRICE_CAR-FERT_CAR)+F1881*(PRICE_MES-FERT_MES)-(FARMER_SALARY+A1881*TEMP_COST)-FIXED_COSTS)</f>
        <v>-50640</v>
      </c>
    </row>
    <row r="1882">
      <c r="A1882" s="5" t="n">
        <v>4</v>
      </c>
      <c r="B1882" s="5" t="n">
        <v>5</v>
      </c>
      <c r="C1882" s="5" t="n">
        <v>0</v>
      </c>
      <c r="D1882" s="18">
        <f>SEASON_HRS_TOM*B1882*(1+DIM_TOM)^B1882+SEASON_HRS_CAR*C1882*(1+DIM_CAR)^C1882</f>
        <v>724.7295000000003</v>
      </c>
      <c r="E1882" s="18">
        <f>(FARMER_FIELD_HRS+A1882*TEMP_HRS)-D1882</f>
        <v>5755.2705</v>
      </c>
      <c r="F1882" s="21">
        <f>IF(E1882&lt;0,0,MIN(COUNTIF(Labor!$C$59:$C$88,"&lt;="&amp;E1882),MAXBED_MES,TOTAL_BEDS-B1882-C1882))</f>
        <v>30</v>
      </c>
      <c r="G1882" s="21">
        <f>B1882+C1882+F1882</f>
        <v>35</v>
      </c>
      <c r="H1882" s="22">
        <f>IF(E1882&lt;0,-999999999,B1882*(PRICE_TOM-FERT_TOM)+C1882*(PRICE_CAR-FERT_CAR)+F1882*(PRICE_MES-FERT_MES)-(FARMER_SALARY+A1882*TEMP_COST)-FIXED_COSTS)</f>
        <v>-75800</v>
      </c>
    </row>
    <row r="1883">
      <c r="A1883" s="5" t="n">
        <v>4</v>
      </c>
      <c r="B1883" s="5" t="n">
        <v>5</v>
      </c>
      <c r="C1883" s="5" t="n">
        <v>1</v>
      </c>
      <c r="D1883" s="18">
        <f>SEASON_HRS_TOM*B1883*(1+DIM_TOM)^B1883+SEASON_HRS_CAR*C1883*(1+DIM_CAR)^C1883</f>
        <v>755.4795000000003</v>
      </c>
      <c r="E1883" s="18">
        <f>(FARMER_FIELD_HRS+A1883*TEMP_HRS)-D1883</f>
        <v>5724.5205</v>
      </c>
      <c r="F1883" s="21">
        <f>IF(E1883&lt;0,0,MIN(COUNTIF(Labor!$C$59:$C$88,"&lt;="&amp;E1883),MAXBED_MES,TOTAL_BEDS-B1883-C1883))</f>
        <v>30</v>
      </c>
      <c r="G1883" s="21">
        <f>B1883+C1883+F1883</f>
        <v>36</v>
      </c>
      <c r="H1883" s="22">
        <f>IF(E1883&lt;0,-999999999,B1883*(PRICE_TOM-FERT_TOM)+C1883*(PRICE_CAR-FERT_CAR)+F1883*(PRICE_MES-FERT_MES)-(FARMER_SALARY+A1883*TEMP_COST)-FIXED_COSTS)</f>
        <v>-74146</v>
      </c>
    </row>
    <row r="1884">
      <c r="A1884" s="5" t="n">
        <v>4</v>
      </c>
      <c r="B1884" s="5" t="n">
        <v>5</v>
      </c>
      <c r="C1884" s="5" t="n">
        <v>2</v>
      </c>
      <c r="D1884" s="18">
        <f>SEASON_HRS_TOM*B1884*(1+DIM_TOM)^B1884+SEASON_HRS_CAR*C1884*(1+DIM_CAR)^C1884</f>
        <v>787.7670000000003</v>
      </c>
      <c r="E1884" s="18">
        <f>(FARMER_FIELD_HRS+A1884*TEMP_HRS)-D1884</f>
        <v>5692.233</v>
      </c>
      <c r="F1884" s="21">
        <f>IF(E1884&lt;0,0,MIN(COUNTIF(Labor!$C$59:$C$88,"&lt;="&amp;E1884),MAXBED_MES,TOTAL_BEDS-B1884-C1884))</f>
        <v>30</v>
      </c>
      <c r="G1884" s="21">
        <f>B1884+C1884+F1884</f>
        <v>37</v>
      </c>
      <c r="H1884" s="22">
        <f>IF(E1884&lt;0,-999999999,B1884*(PRICE_TOM-FERT_TOM)+C1884*(PRICE_CAR-FERT_CAR)+F1884*(PRICE_MES-FERT_MES)-(FARMER_SALARY+A1884*TEMP_COST)-FIXED_COSTS)</f>
        <v>-72492</v>
      </c>
    </row>
    <row r="1885">
      <c r="A1885" s="5" t="n">
        <v>4</v>
      </c>
      <c r="B1885" s="5" t="n">
        <v>5</v>
      </c>
      <c r="C1885" s="5" t="n">
        <v>3</v>
      </c>
      <c r="D1885" s="18">
        <f>SEASON_HRS_TOM*B1885*(1+DIM_TOM)^B1885+SEASON_HRS_CAR*C1885*(1+DIM_CAR)^C1885</f>
        <v>821.6496562500002</v>
      </c>
      <c r="E1885" s="18">
        <f>(FARMER_FIELD_HRS+A1885*TEMP_HRS)-D1885</f>
        <v>5658.350343749999</v>
      </c>
      <c r="F1885" s="21">
        <f>IF(E1885&lt;0,0,MIN(COUNTIF(Labor!$C$59:$C$88,"&lt;="&amp;E1885),MAXBED_MES,TOTAL_BEDS-B1885-C1885))</f>
        <v>30</v>
      </c>
      <c r="G1885" s="21">
        <f>B1885+C1885+F1885</f>
        <v>38</v>
      </c>
      <c r="H1885" s="22">
        <f>IF(E1885&lt;0,-999999999,B1885*(PRICE_TOM-FERT_TOM)+C1885*(PRICE_CAR-FERT_CAR)+F1885*(PRICE_MES-FERT_MES)-(FARMER_SALARY+A1885*TEMP_COST)-FIXED_COSTS)</f>
        <v>-70838</v>
      </c>
    </row>
    <row r="1886">
      <c r="A1886" s="5" t="n">
        <v>4</v>
      </c>
      <c r="B1886" s="5" t="n">
        <v>5</v>
      </c>
      <c r="C1886" s="5" t="n">
        <v>4</v>
      </c>
      <c r="D1886" s="18">
        <f>SEASON_HRS_TOM*B1886*(1+DIM_TOM)^B1886+SEASON_HRS_CAR*C1886*(1+DIM_CAR)^C1886</f>
        <v>857.1870468750002</v>
      </c>
      <c r="E1886" s="18">
        <f>(FARMER_FIELD_HRS+A1886*TEMP_HRS)-D1886</f>
        <v>5622.812953125</v>
      </c>
      <c r="F1886" s="21">
        <f>IF(E1886&lt;0,0,MIN(COUNTIF(Labor!$C$59:$C$88,"&lt;="&amp;E1886),MAXBED_MES,TOTAL_BEDS-B1886-C1886))</f>
        <v>30</v>
      </c>
      <c r="G1886" s="21">
        <f>B1886+C1886+F1886</f>
        <v>39</v>
      </c>
      <c r="H1886" s="22">
        <f>IF(E1886&lt;0,-999999999,B1886*(PRICE_TOM-FERT_TOM)+C1886*(PRICE_CAR-FERT_CAR)+F1886*(PRICE_MES-FERT_MES)-(FARMER_SALARY+A1886*TEMP_COST)-FIXED_COSTS)</f>
        <v>-69184</v>
      </c>
    </row>
    <row r="1887">
      <c r="A1887" s="5" t="n">
        <v>4</v>
      </c>
      <c r="B1887" s="5" t="n">
        <v>5</v>
      </c>
      <c r="C1887" s="5" t="n">
        <v>5</v>
      </c>
      <c r="D1887" s="18">
        <f>SEASON_HRS_TOM*B1887*(1+DIM_TOM)^B1887+SEASON_HRS_CAR*C1887*(1+DIM_CAR)^C1887</f>
        <v>894.440731933594</v>
      </c>
      <c r="E1887" s="18">
        <f>(FARMER_FIELD_HRS+A1887*TEMP_HRS)-D1887</f>
        <v>5585.559268066406</v>
      </c>
      <c r="F1887" s="21">
        <f>IF(E1887&lt;0,0,MIN(COUNTIF(Labor!$C$59:$C$88,"&lt;="&amp;E1887),MAXBED_MES,TOTAL_BEDS-B1887-C1887))</f>
        <v>30</v>
      </c>
      <c r="G1887" s="21">
        <f>B1887+C1887+F1887</f>
        <v>40</v>
      </c>
      <c r="H1887" s="22">
        <f>IF(E1887&lt;0,-999999999,B1887*(PRICE_TOM-FERT_TOM)+C1887*(PRICE_CAR-FERT_CAR)+F1887*(PRICE_MES-FERT_MES)-(FARMER_SALARY+A1887*TEMP_COST)-FIXED_COSTS)</f>
        <v>-67530</v>
      </c>
    </row>
    <row r="1888">
      <c r="A1888" s="5" t="n">
        <v>4</v>
      </c>
      <c r="B1888" s="5" t="n">
        <v>5</v>
      </c>
      <c r="C1888" s="5" t="n">
        <v>6</v>
      </c>
      <c r="D1888" s="18">
        <f>SEASON_HRS_TOM*B1888*(1+DIM_TOM)^B1888+SEASON_HRS_CAR*C1888*(1+DIM_CAR)^C1888</f>
        <v>933.4743152783204</v>
      </c>
      <c r="E1888" s="18">
        <f>(FARMER_FIELD_HRS+A1888*TEMP_HRS)-D1888</f>
        <v>5546.52568472168</v>
      </c>
      <c r="F1888" s="21">
        <f>IF(E1888&lt;0,0,MIN(COUNTIF(Labor!$C$59:$C$88,"&lt;="&amp;E1888),MAXBED_MES,TOTAL_BEDS-B1888-C1888))</f>
        <v>30</v>
      </c>
      <c r="G1888" s="21">
        <f>B1888+C1888+F1888</f>
        <v>41</v>
      </c>
      <c r="H1888" s="22">
        <f>IF(E1888&lt;0,-999999999,B1888*(PRICE_TOM-FERT_TOM)+C1888*(PRICE_CAR-FERT_CAR)+F1888*(PRICE_MES-FERT_MES)-(FARMER_SALARY+A1888*TEMP_COST)-FIXED_COSTS)</f>
        <v>-65876</v>
      </c>
    </row>
    <row r="1889">
      <c r="A1889" s="5" t="n">
        <v>4</v>
      </c>
      <c r="B1889" s="5" t="n">
        <v>5</v>
      </c>
      <c r="C1889" s="5" t="n">
        <v>7</v>
      </c>
      <c r="D1889" s="18">
        <f>SEASON_HRS_TOM*B1889*(1+DIM_TOM)^B1889+SEASON_HRS_CAR*C1889*(1+DIM_CAR)^C1889</f>
        <v>974.3535082703248</v>
      </c>
      <c r="E1889" s="18">
        <f>(FARMER_FIELD_HRS+A1889*TEMP_HRS)-D1889</f>
        <v>5505.646491729675</v>
      </c>
      <c r="F1889" s="21">
        <f>IF(E1889&lt;0,0,MIN(COUNTIF(Labor!$C$59:$C$88,"&lt;="&amp;E1889),MAXBED_MES,TOTAL_BEDS-B1889-C1889))</f>
        <v>30</v>
      </c>
      <c r="G1889" s="21">
        <f>B1889+C1889+F1889</f>
        <v>42</v>
      </c>
      <c r="H1889" s="22">
        <f>IF(E1889&lt;0,-999999999,B1889*(PRICE_TOM-FERT_TOM)+C1889*(PRICE_CAR-FERT_CAR)+F1889*(PRICE_MES-FERT_MES)-(FARMER_SALARY+A1889*TEMP_COST)-FIXED_COSTS)</f>
        <v>-64222</v>
      </c>
    </row>
    <row r="1890">
      <c r="A1890" s="5" t="n">
        <v>4</v>
      </c>
      <c r="B1890" s="5" t="n">
        <v>5</v>
      </c>
      <c r="C1890" s="5" t="n">
        <v>8</v>
      </c>
      <c r="D1890" s="18">
        <f>SEASON_HRS_TOM*B1890*(1+DIM_TOM)^B1890+SEASON_HRS_CAR*C1890*(1+DIM_CAR)^C1890</f>
        <v>1017.1461954023804</v>
      </c>
      <c r="E1890" s="18">
        <f>(FARMER_FIELD_HRS+A1890*TEMP_HRS)-D1890</f>
        <v>5462.853804597619</v>
      </c>
      <c r="F1890" s="21">
        <f>IF(E1890&lt;0,0,MIN(COUNTIF(Labor!$C$59:$C$88,"&lt;="&amp;E1890),MAXBED_MES,TOTAL_BEDS-B1890-C1890))</f>
        <v>30</v>
      </c>
      <c r="G1890" s="21">
        <f>B1890+C1890+F1890</f>
        <v>43</v>
      </c>
      <c r="H1890" s="22">
        <f>IF(E1890&lt;0,-999999999,B1890*(PRICE_TOM-FERT_TOM)+C1890*(PRICE_CAR-FERT_CAR)+F1890*(PRICE_MES-FERT_MES)-(FARMER_SALARY+A1890*TEMP_COST)-FIXED_COSTS)</f>
        <v>-62568</v>
      </c>
    </row>
    <row r="1891">
      <c r="A1891" s="5" t="n">
        <v>4</v>
      </c>
      <c r="B1891" s="5" t="n">
        <v>5</v>
      </c>
      <c r="C1891" s="5" t="n">
        <v>9</v>
      </c>
      <c r="D1891" s="18">
        <f>SEASON_HRS_TOM*B1891*(1+DIM_TOM)^B1891+SEASON_HRS_CAR*C1891*(1+DIM_CAR)^C1891</f>
        <v>1061.92250188587</v>
      </c>
      <c r="E1891" s="18">
        <f>(FARMER_FIELD_HRS+A1891*TEMP_HRS)-D1891</f>
        <v>5418.07749811413</v>
      </c>
      <c r="F1891" s="21">
        <f>IF(E1891&lt;0,0,MIN(COUNTIF(Labor!$C$59:$C$88,"&lt;="&amp;E1891),MAXBED_MES,TOTAL_BEDS-B1891-C1891))</f>
        <v>30</v>
      </c>
      <c r="G1891" s="21">
        <f>B1891+C1891+F1891</f>
        <v>44</v>
      </c>
      <c r="H1891" s="22">
        <f>IF(E1891&lt;0,-999999999,B1891*(PRICE_TOM-FERT_TOM)+C1891*(PRICE_CAR-FERT_CAR)+F1891*(PRICE_MES-FERT_MES)-(FARMER_SALARY+A1891*TEMP_COST)-FIXED_COSTS)</f>
        <v>-60914</v>
      </c>
    </row>
    <row r="1892">
      <c r="A1892" s="5" t="n">
        <v>4</v>
      </c>
      <c r="B1892" s="5" t="n">
        <v>5</v>
      </c>
      <c r="C1892" s="5" t="n">
        <v>10</v>
      </c>
      <c r="D1892" s="18">
        <f>SEASON_HRS_TOM*B1892*(1+DIM_TOM)^B1892+SEASON_HRS_CAR*C1892*(1+DIM_CAR)^C1892</f>
        <v>1108.7548632589073</v>
      </c>
      <c r="E1892" s="18">
        <f>(FARMER_FIELD_HRS+A1892*TEMP_HRS)-D1892</f>
        <v>5371.245136741092</v>
      </c>
      <c r="F1892" s="21">
        <f>IF(E1892&lt;0,0,MIN(COUNTIF(Labor!$C$59:$C$88,"&lt;="&amp;E1892),MAXBED_MES,TOTAL_BEDS-B1892-C1892))</f>
        <v>30</v>
      </c>
      <c r="G1892" s="21">
        <f>B1892+C1892+F1892</f>
        <v>45</v>
      </c>
      <c r="H1892" s="22">
        <f>IF(E1892&lt;0,-999999999,B1892*(PRICE_TOM-FERT_TOM)+C1892*(PRICE_CAR-FERT_CAR)+F1892*(PRICE_MES-FERT_MES)-(FARMER_SALARY+A1892*TEMP_COST)-FIXED_COSTS)</f>
        <v>-59260</v>
      </c>
    </row>
    <row r="1893">
      <c r="A1893" s="5" t="n">
        <v>4</v>
      </c>
      <c r="B1893" s="5" t="n">
        <v>5</v>
      </c>
      <c r="C1893" s="5" t="n">
        <v>11</v>
      </c>
      <c r="D1893" s="18">
        <f>SEASON_HRS_TOM*B1893*(1+DIM_TOM)^B1893+SEASON_HRS_CAR*C1893*(1+DIM_CAR)^C1893</f>
        <v>1157.718097074418</v>
      </c>
      <c r="E1893" s="18">
        <f>(FARMER_FIELD_HRS+A1893*TEMP_HRS)-D1893</f>
        <v>5322.2819029255825</v>
      </c>
      <c r="F1893" s="21">
        <f>IF(E1893&lt;0,0,MIN(COUNTIF(Labor!$C$59:$C$88,"&lt;="&amp;E1893),MAXBED_MES,TOTAL_BEDS-B1893-C1893))</f>
        <v>30</v>
      </c>
      <c r="G1893" s="21">
        <f>B1893+C1893+F1893</f>
        <v>46</v>
      </c>
      <c r="H1893" s="22">
        <f>IF(E1893&lt;0,-999999999,B1893*(PRICE_TOM-FERT_TOM)+C1893*(PRICE_CAR-FERT_CAR)+F1893*(PRICE_MES-FERT_MES)-(FARMER_SALARY+A1893*TEMP_COST)-FIXED_COSTS)</f>
        <v>-57606</v>
      </c>
    </row>
    <row r="1894">
      <c r="A1894" s="5" t="n">
        <v>4</v>
      </c>
      <c r="B1894" s="5" t="n">
        <v>5</v>
      </c>
      <c r="C1894" s="5" t="n">
        <v>12</v>
      </c>
      <c r="D1894" s="18">
        <f>SEASON_HRS_TOM*B1894*(1+DIM_TOM)^B1894+SEASON_HRS_CAR*C1894*(1+DIM_CAR)^C1894</f>
        <v>1208.8894767286672</v>
      </c>
      <c r="E1894" s="18">
        <f>(FARMER_FIELD_HRS+A1894*TEMP_HRS)-D1894</f>
        <v>5271.110523271333</v>
      </c>
      <c r="F1894" s="21">
        <f>IF(E1894&lt;0,0,MIN(COUNTIF(Labor!$C$59:$C$88,"&lt;="&amp;E1894),MAXBED_MES,TOTAL_BEDS-B1894-C1894))</f>
        <v>30</v>
      </c>
      <c r="G1894" s="21">
        <f>B1894+C1894+F1894</f>
        <v>47</v>
      </c>
      <c r="H1894" s="22">
        <f>IF(E1894&lt;0,-999999999,B1894*(PRICE_TOM-FERT_TOM)+C1894*(PRICE_CAR-FERT_CAR)+F1894*(PRICE_MES-FERT_MES)-(FARMER_SALARY+A1894*TEMP_COST)-FIXED_COSTS)</f>
        <v>-55952</v>
      </c>
    </row>
    <row r="1895">
      <c r="A1895" s="5" t="n">
        <v>4</v>
      </c>
      <c r="B1895" s="5" t="n">
        <v>5</v>
      </c>
      <c r="C1895" s="5" t="n">
        <v>13</v>
      </c>
      <c r="D1895" s="18">
        <f>SEASON_HRS_TOM*B1895*(1+DIM_TOM)^B1895+SEASON_HRS_CAR*C1895*(1+DIM_CAR)^C1895</f>
        <v>1262.3488074924574</v>
      </c>
      <c r="E1895" s="18">
        <f>(FARMER_FIELD_HRS+A1895*TEMP_HRS)-D1895</f>
        <v>5217.651192507543</v>
      </c>
      <c r="F1895" s="21">
        <f>IF(E1895&lt;0,0,MIN(COUNTIF(Labor!$C$59:$C$88,"&lt;="&amp;E1895),MAXBED_MES,TOTAL_BEDS-B1895-C1895))</f>
        <v>30</v>
      </c>
      <c r="G1895" s="21">
        <f>B1895+C1895+F1895</f>
        <v>48</v>
      </c>
      <c r="H1895" s="22">
        <f>IF(E1895&lt;0,-999999999,B1895*(PRICE_TOM-FERT_TOM)+C1895*(PRICE_CAR-FERT_CAR)+F1895*(PRICE_MES-FERT_MES)-(FARMER_SALARY+A1895*TEMP_COST)-FIXED_COSTS)</f>
        <v>-54298</v>
      </c>
    </row>
    <row r="1896">
      <c r="A1896" s="5" t="n">
        <v>4</v>
      </c>
      <c r="B1896" s="5" t="n">
        <v>5</v>
      </c>
      <c r="C1896" s="5" t="n">
        <v>14</v>
      </c>
      <c r="D1896" s="18">
        <f>SEASON_HRS_TOM*B1896*(1+DIM_TOM)^B1896+SEASON_HRS_CAR*C1896*(1+DIM_CAR)^C1896</f>
        <v>1318.1785048089819</v>
      </c>
      <c r="E1896" s="18">
        <f>(FARMER_FIELD_HRS+A1896*TEMP_HRS)-D1896</f>
        <v>5161.821495191018</v>
      </c>
      <c r="F1896" s="21">
        <f>IF(E1896&lt;0,0,MIN(COUNTIF(Labor!$C$59:$C$88,"&lt;="&amp;E1896),MAXBED_MES,TOTAL_BEDS-B1896-C1896))</f>
        <v>30</v>
      </c>
      <c r="G1896" s="21">
        <f>B1896+C1896+F1896</f>
        <v>49</v>
      </c>
      <c r="H1896" s="22">
        <f>IF(E1896&lt;0,-999999999,B1896*(PRICE_TOM-FERT_TOM)+C1896*(PRICE_CAR-FERT_CAR)+F1896*(PRICE_MES-FERT_MES)-(FARMER_SALARY+A1896*TEMP_COST)-FIXED_COSTS)</f>
        <v>-52644</v>
      </c>
    </row>
    <row r="1897">
      <c r="A1897" s="5" t="n">
        <v>4</v>
      </c>
      <c r="B1897" s="5" t="n">
        <v>5</v>
      </c>
      <c r="C1897" s="5" t="n">
        <v>15</v>
      </c>
      <c r="D1897" s="18">
        <f>SEASON_HRS_TOM*B1897*(1+DIM_TOM)^B1897+SEASON_HRS_CAR*C1897*(1+DIM_CAR)^C1897</f>
        <v>1376.4636749241495</v>
      </c>
      <c r="E1897" s="18">
        <f>(FARMER_FIELD_HRS+A1897*TEMP_HRS)-D1897</f>
        <v>5103.536325075851</v>
      </c>
      <c r="F1897" s="21">
        <f>IF(E1897&lt;0,0,MIN(COUNTIF(Labor!$C$59:$C$88,"&lt;="&amp;E1897),MAXBED_MES,TOTAL_BEDS-B1897-C1897))</f>
        <v>30</v>
      </c>
      <c r="G1897" s="21">
        <f>B1897+C1897+F1897</f>
        <v>50</v>
      </c>
      <c r="H1897" s="22">
        <f>IF(E1897&lt;0,-999999999,B1897*(PRICE_TOM-FERT_TOM)+C1897*(PRICE_CAR-FERT_CAR)+F1897*(PRICE_MES-FERT_MES)-(FARMER_SALARY+A1897*TEMP_COST)-FIXED_COSTS)</f>
        <v>-50990</v>
      </c>
    </row>
    <row r="1898">
      <c r="A1898" s="5" t="n">
        <v>4</v>
      </c>
      <c r="B1898" s="5" t="n">
        <v>5</v>
      </c>
      <c r="C1898" s="5" t="n">
        <v>16</v>
      </c>
      <c r="D1898" s="18">
        <f>SEASON_HRS_TOM*B1898*(1+DIM_TOM)^B1898+SEASON_HRS_CAR*C1898*(1+DIM_CAR)^C1898</f>
        <v>1437.29219791707</v>
      </c>
      <c r="E1898" s="18">
        <f>(FARMER_FIELD_HRS+A1898*TEMP_HRS)-D1898</f>
        <v>5042.70780208293</v>
      </c>
      <c r="F1898" s="21">
        <f>IF(E1898&lt;0,0,MIN(COUNTIF(Labor!$C$59:$C$88,"&lt;="&amp;E1898),MAXBED_MES,TOTAL_BEDS-B1898-C1898))</f>
        <v>30</v>
      </c>
      <c r="G1898" s="21">
        <f>B1898+C1898+F1898</f>
        <v>51</v>
      </c>
      <c r="H1898" s="22">
        <f>IF(E1898&lt;0,-999999999,B1898*(PRICE_TOM-FERT_TOM)+C1898*(PRICE_CAR-FERT_CAR)+F1898*(PRICE_MES-FERT_MES)-(FARMER_SALARY+A1898*TEMP_COST)-FIXED_COSTS)</f>
        <v>-49336</v>
      </c>
    </row>
    <row r="1899">
      <c r="A1899" s="5" t="n">
        <v>4</v>
      </c>
      <c r="B1899" s="5" t="n">
        <v>5</v>
      </c>
      <c r="C1899" s="5" t="n">
        <v>17</v>
      </c>
      <c r="D1899" s="18">
        <f>SEASON_HRS_TOM*B1899*(1+DIM_TOM)^B1899+SEASON_HRS_CAR*C1899*(1+DIM_CAR)^C1899</f>
        <v>1500.754813200309</v>
      </c>
      <c r="E1899" s="18">
        <f>(FARMER_FIELD_HRS+A1899*TEMP_HRS)-D1899</f>
        <v>4979.2451867996915</v>
      </c>
      <c r="F1899" s="21">
        <f>IF(E1899&lt;0,0,MIN(COUNTIF(Labor!$C$59:$C$88,"&lt;="&amp;E1899),MAXBED_MES,TOTAL_BEDS-B1899-C1899))</f>
        <v>30</v>
      </c>
      <c r="G1899" s="21">
        <f>B1899+C1899+F1899</f>
        <v>52</v>
      </c>
      <c r="H1899" s="22">
        <f>IF(E1899&lt;0,-999999999,B1899*(PRICE_TOM-FERT_TOM)+C1899*(PRICE_CAR-FERT_CAR)+F1899*(PRICE_MES-FERT_MES)-(FARMER_SALARY+A1899*TEMP_COST)-FIXED_COSTS)</f>
        <v>-47682</v>
      </c>
    </row>
    <row r="1900">
      <c r="A1900" s="5" t="n">
        <v>4</v>
      </c>
      <c r="B1900" s="5" t="n">
        <v>5</v>
      </c>
      <c r="C1900" s="5" t="n">
        <v>18</v>
      </c>
      <c r="D1900" s="18">
        <f>SEASON_HRS_TOM*B1900*(1+DIM_TOM)^B1900+SEASON_HRS_CAR*C1900*(1+DIM_CAR)^C1900</f>
        <v>1566.9452075615118</v>
      </c>
      <c r="E1900" s="18">
        <f>(FARMER_FIELD_HRS+A1900*TEMP_HRS)-D1900</f>
        <v>4913.054792438488</v>
      </c>
      <c r="F1900" s="21">
        <f>IF(E1900&lt;0,0,MIN(COUNTIF(Labor!$C$59:$C$88,"&lt;="&amp;E1900),MAXBED_MES,TOTAL_BEDS-B1900-C1900))</f>
        <v>30</v>
      </c>
      <c r="G1900" s="21">
        <f>B1900+C1900+F1900</f>
        <v>53</v>
      </c>
      <c r="H1900" s="22">
        <f>IF(E1900&lt;0,-999999999,B1900*(PRICE_TOM-FERT_TOM)+C1900*(PRICE_CAR-FERT_CAR)+F1900*(PRICE_MES-FERT_MES)-(FARMER_SALARY+A1900*TEMP_COST)-FIXED_COSTS)</f>
        <v>-46028</v>
      </c>
    </row>
    <row r="1901">
      <c r="A1901" s="5" t="n">
        <v>4</v>
      </c>
      <c r="B1901" s="5" t="n">
        <v>5</v>
      </c>
      <c r="C1901" s="5" t="n">
        <v>19</v>
      </c>
      <c r="D1901" s="18">
        <f>SEASON_HRS_TOM*B1901*(1+DIM_TOM)^B1901+SEASON_HRS_CAR*C1901*(1+DIM_CAR)^C1901</f>
        <v>1635.9601058200244</v>
      </c>
      <c r="E1901" s="18">
        <f>(FARMER_FIELD_HRS+A1901*TEMP_HRS)-D1901</f>
        <v>4844.039894179976</v>
      </c>
      <c r="F1901" s="21">
        <f>IF(E1901&lt;0,0,MIN(COUNTIF(Labor!$C$59:$C$88,"&lt;="&amp;E1901),MAXBED_MES,TOTAL_BEDS-B1901-C1901))</f>
        <v>30</v>
      </c>
      <c r="G1901" s="21">
        <f>B1901+C1901+F1901</f>
        <v>54</v>
      </c>
      <c r="H1901" s="22">
        <f>IF(E1901&lt;0,-999999999,B1901*(PRICE_TOM-FERT_TOM)+C1901*(PRICE_CAR-FERT_CAR)+F1901*(PRICE_MES-FERT_MES)-(FARMER_SALARY+A1901*TEMP_COST)-FIXED_COSTS)</f>
        <v>-44374</v>
      </c>
    </row>
    <row r="1902">
      <c r="A1902" s="5" t="n">
        <v>4</v>
      </c>
      <c r="B1902" s="5" t="n">
        <v>5</v>
      </c>
      <c r="C1902" s="5" t="n">
        <v>20</v>
      </c>
      <c r="D1902" s="18">
        <f>SEASON_HRS_TOM*B1902*(1+DIM_TOM)^B1902+SEASON_HRS_CAR*C1902*(1+DIM_CAR)^C1902</f>
        <v>1707.8993641742368</v>
      </c>
      <c r="E1902" s="18">
        <f>(FARMER_FIELD_HRS+A1902*TEMP_HRS)-D1902</f>
        <v>4772.100635825764</v>
      </c>
      <c r="F1902" s="21">
        <f>IF(E1902&lt;0,0,MIN(COUNTIF(Labor!$C$59:$C$88,"&lt;="&amp;E1902),MAXBED_MES,TOTAL_BEDS-B1902-C1902))</f>
        <v>30</v>
      </c>
      <c r="G1902" s="21">
        <f>B1902+C1902+F1902</f>
        <v>55</v>
      </c>
      <c r="H1902" s="22">
        <f>IF(E1902&lt;0,-999999999,B1902*(PRICE_TOM-FERT_TOM)+C1902*(PRICE_CAR-FERT_CAR)+F1902*(PRICE_MES-FERT_MES)-(FARMER_SALARY+A1902*TEMP_COST)-FIXED_COSTS)</f>
        <v>-42720</v>
      </c>
    </row>
    <row r="1903">
      <c r="A1903" s="5" t="n">
        <v>4</v>
      </c>
      <c r="B1903" s="5" t="n">
        <v>6</v>
      </c>
      <c r="C1903" s="5" t="n">
        <v>0</v>
      </c>
      <c r="D1903" s="18">
        <f>SEASON_HRS_TOM*B1903*(1+DIM_TOM)^B1903+SEASON_HRS_CAR*C1903*(1+DIM_CAR)^C1903</f>
        <v>956.6429400000004</v>
      </c>
      <c r="E1903" s="18">
        <f>(FARMER_FIELD_HRS+A1903*TEMP_HRS)-D1903</f>
        <v>5523.357059999999</v>
      </c>
      <c r="F1903" s="21">
        <f>IF(E1903&lt;0,0,MIN(COUNTIF(Labor!$C$59:$C$88,"&lt;="&amp;E1903),MAXBED_MES,TOTAL_BEDS-B1903-C1903))</f>
        <v>30</v>
      </c>
      <c r="G1903" s="21">
        <f>B1903+C1903+F1903</f>
        <v>36</v>
      </c>
      <c r="H1903" s="22">
        <f>IF(E1903&lt;0,-999999999,B1903*(PRICE_TOM-FERT_TOM)+C1903*(PRICE_CAR-FERT_CAR)+F1903*(PRICE_MES-FERT_MES)-(FARMER_SALARY+A1903*TEMP_COST)-FIXED_COSTS)</f>
        <v>-67880</v>
      </c>
    </row>
    <row r="1904">
      <c r="A1904" s="5" t="n">
        <v>4</v>
      </c>
      <c r="B1904" s="5" t="n">
        <v>6</v>
      </c>
      <c r="C1904" s="5" t="n">
        <v>1</v>
      </c>
      <c r="D1904" s="18">
        <f>SEASON_HRS_TOM*B1904*(1+DIM_TOM)^B1904+SEASON_HRS_CAR*C1904*(1+DIM_CAR)^C1904</f>
        <v>987.3929400000004</v>
      </c>
      <c r="E1904" s="18">
        <f>(FARMER_FIELD_HRS+A1904*TEMP_HRS)-D1904</f>
        <v>5492.607059999999</v>
      </c>
      <c r="F1904" s="21">
        <f>IF(E1904&lt;0,0,MIN(COUNTIF(Labor!$C$59:$C$88,"&lt;="&amp;E1904),MAXBED_MES,TOTAL_BEDS-B1904-C1904))</f>
        <v>30</v>
      </c>
      <c r="G1904" s="21">
        <f>B1904+C1904+F1904</f>
        <v>37</v>
      </c>
      <c r="H1904" s="22">
        <f>IF(E1904&lt;0,-999999999,B1904*(PRICE_TOM-FERT_TOM)+C1904*(PRICE_CAR-FERT_CAR)+F1904*(PRICE_MES-FERT_MES)-(FARMER_SALARY+A1904*TEMP_COST)-FIXED_COSTS)</f>
        <v>-66226</v>
      </c>
    </row>
    <row r="1905">
      <c r="A1905" s="5" t="n">
        <v>4</v>
      </c>
      <c r="B1905" s="5" t="n">
        <v>6</v>
      </c>
      <c r="C1905" s="5" t="n">
        <v>2</v>
      </c>
      <c r="D1905" s="18">
        <f>SEASON_HRS_TOM*B1905*(1+DIM_TOM)^B1905+SEASON_HRS_CAR*C1905*(1+DIM_CAR)^C1905</f>
        <v>1019.6804400000004</v>
      </c>
      <c r="E1905" s="18">
        <f>(FARMER_FIELD_HRS+A1905*TEMP_HRS)-D1905</f>
        <v>5460.31956</v>
      </c>
      <c r="F1905" s="21">
        <f>IF(E1905&lt;0,0,MIN(COUNTIF(Labor!$C$59:$C$88,"&lt;="&amp;E1905),MAXBED_MES,TOTAL_BEDS-B1905-C1905))</f>
        <v>30</v>
      </c>
      <c r="G1905" s="21">
        <f>B1905+C1905+F1905</f>
        <v>38</v>
      </c>
      <c r="H1905" s="22">
        <f>IF(E1905&lt;0,-999999999,B1905*(PRICE_TOM-FERT_TOM)+C1905*(PRICE_CAR-FERT_CAR)+F1905*(PRICE_MES-FERT_MES)-(FARMER_SALARY+A1905*TEMP_COST)-FIXED_COSTS)</f>
        <v>-64572</v>
      </c>
    </row>
    <row r="1906">
      <c r="A1906" s="5" t="n">
        <v>4</v>
      </c>
      <c r="B1906" s="5" t="n">
        <v>6</v>
      </c>
      <c r="C1906" s="5" t="n">
        <v>3</v>
      </c>
      <c r="D1906" s="18">
        <f>SEASON_HRS_TOM*B1906*(1+DIM_TOM)^B1906+SEASON_HRS_CAR*C1906*(1+DIM_CAR)^C1906</f>
        <v>1053.5630962500004</v>
      </c>
      <c r="E1906" s="18">
        <f>(FARMER_FIELD_HRS+A1906*TEMP_HRS)-D1906</f>
        <v>5426.43690375</v>
      </c>
      <c r="F1906" s="21">
        <f>IF(E1906&lt;0,0,MIN(COUNTIF(Labor!$C$59:$C$88,"&lt;="&amp;E1906),MAXBED_MES,TOTAL_BEDS-B1906-C1906))</f>
        <v>30</v>
      </c>
      <c r="G1906" s="21">
        <f>B1906+C1906+F1906</f>
        <v>39</v>
      </c>
      <c r="H1906" s="22">
        <f>IF(E1906&lt;0,-999999999,B1906*(PRICE_TOM-FERT_TOM)+C1906*(PRICE_CAR-FERT_CAR)+F1906*(PRICE_MES-FERT_MES)-(FARMER_SALARY+A1906*TEMP_COST)-FIXED_COSTS)</f>
        <v>-62918</v>
      </c>
    </row>
    <row r="1907">
      <c r="A1907" s="5" t="n">
        <v>4</v>
      </c>
      <c r="B1907" s="5" t="n">
        <v>6</v>
      </c>
      <c r="C1907" s="5" t="n">
        <v>4</v>
      </c>
      <c r="D1907" s="18">
        <f>SEASON_HRS_TOM*B1907*(1+DIM_TOM)^B1907+SEASON_HRS_CAR*C1907*(1+DIM_CAR)^C1907</f>
        <v>1089.1004868750003</v>
      </c>
      <c r="E1907" s="18">
        <f>(FARMER_FIELD_HRS+A1907*TEMP_HRS)-D1907</f>
        <v>5390.899513124999</v>
      </c>
      <c r="F1907" s="21">
        <f>IF(E1907&lt;0,0,MIN(COUNTIF(Labor!$C$59:$C$88,"&lt;="&amp;E1907),MAXBED_MES,TOTAL_BEDS-B1907-C1907))</f>
        <v>30</v>
      </c>
      <c r="G1907" s="21">
        <f>B1907+C1907+F1907</f>
        <v>40</v>
      </c>
      <c r="H1907" s="22">
        <f>IF(E1907&lt;0,-999999999,B1907*(PRICE_TOM-FERT_TOM)+C1907*(PRICE_CAR-FERT_CAR)+F1907*(PRICE_MES-FERT_MES)-(FARMER_SALARY+A1907*TEMP_COST)-FIXED_COSTS)</f>
        <v>-61264</v>
      </c>
    </row>
    <row r="1908">
      <c r="A1908" s="5" t="n">
        <v>4</v>
      </c>
      <c r="B1908" s="5" t="n">
        <v>6</v>
      </c>
      <c r="C1908" s="5" t="n">
        <v>5</v>
      </c>
      <c r="D1908" s="18">
        <f>SEASON_HRS_TOM*B1908*(1+DIM_TOM)^B1908+SEASON_HRS_CAR*C1908*(1+DIM_CAR)^C1908</f>
        <v>1126.354171933594</v>
      </c>
      <c r="E1908" s="18">
        <f>(FARMER_FIELD_HRS+A1908*TEMP_HRS)-D1908</f>
        <v>5353.6458280664065</v>
      </c>
      <c r="F1908" s="21">
        <f>IF(E1908&lt;0,0,MIN(COUNTIF(Labor!$C$59:$C$88,"&lt;="&amp;E1908),MAXBED_MES,TOTAL_BEDS-B1908-C1908))</f>
        <v>30</v>
      </c>
      <c r="G1908" s="21">
        <f>B1908+C1908+F1908</f>
        <v>41</v>
      </c>
      <c r="H1908" s="22">
        <f>IF(E1908&lt;0,-999999999,B1908*(PRICE_TOM-FERT_TOM)+C1908*(PRICE_CAR-FERT_CAR)+F1908*(PRICE_MES-FERT_MES)-(FARMER_SALARY+A1908*TEMP_COST)-FIXED_COSTS)</f>
        <v>-59610</v>
      </c>
    </row>
    <row r="1909">
      <c r="A1909" s="5" t="n">
        <v>4</v>
      </c>
      <c r="B1909" s="5" t="n">
        <v>6</v>
      </c>
      <c r="C1909" s="5" t="n">
        <v>6</v>
      </c>
      <c r="D1909" s="18">
        <f>SEASON_HRS_TOM*B1909*(1+DIM_TOM)^B1909+SEASON_HRS_CAR*C1909*(1+DIM_CAR)^C1909</f>
        <v>1165.3877552783206</v>
      </c>
      <c r="E1909" s="18">
        <f>(FARMER_FIELD_HRS+A1909*TEMP_HRS)-D1909</f>
        <v>5314.612244721679</v>
      </c>
      <c r="F1909" s="21">
        <f>IF(E1909&lt;0,0,MIN(COUNTIF(Labor!$C$59:$C$88,"&lt;="&amp;E1909),MAXBED_MES,TOTAL_BEDS-B1909-C1909))</f>
        <v>30</v>
      </c>
      <c r="G1909" s="21">
        <f>B1909+C1909+F1909</f>
        <v>42</v>
      </c>
      <c r="H1909" s="22">
        <f>IF(E1909&lt;0,-999999999,B1909*(PRICE_TOM-FERT_TOM)+C1909*(PRICE_CAR-FERT_CAR)+F1909*(PRICE_MES-FERT_MES)-(FARMER_SALARY+A1909*TEMP_COST)-FIXED_COSTS)</f>
        <v>-57956</v>
      </c>
    </row>
    <row r="1910">
      <c r="A1910" s="5" t="n">
        <v>4</v>
      </c>
      <c r="B1910" s="5" t="n">
        <v>6</v>
      </c>
      <c r="C1910" s="5" t="n">
        <v>7</v>
      </c>
      <c r="D1910" s="18">
        <f>SEASON_HRS_TOM*B1910*(1+DIM_TOM)^B1910+SEASON_HRS_CAR*C1910*(1+DIM_CAR)^C1910</f>
        <v>1206.266948270325</v>
      </c>
      <c r="E1910" s="18">
        <f>(FARMER_FIELD_HRS+A1910*TEMP_HRS)-D1910</f>
        <v>5273.733051729675</v>
      </c>
      <c r="F1910" s="21">
        <f>IF(E1910&lt;0,0,MIN(COUNTIF(Labor!$C$59:$C$88,"&lt;="&amp;E1910),MAXBED_MES,TOTAL_BEDS-B1910-C1910))</f>
        <v>30</v>
      </c>
      <c r="G1910" s="21">
        <f>B1910+C1910+F1910</f>
        <v>43</v>
      </c>
      <c r="H1910" s="22">
        <f>IF(E1910&lt;0,-999999999,B1910*(PRICE_TOM-FERT_TOM)+C1910*(PRICE_CAR-FERT_CAR)+F1910*(PRICE_MES-FERT_MES)-(FARMER_SALARY+A1910*TEMP_COST)-FIXED_COSTS)</f>
        <v>-56302</v>
      </c>
    </row>
    <row r="1911">
      <c r="A1911" s="5" t="n">
        <v>4</v>
      </c>
      <c r="B1911" s="5" t="n">
        <v>6</v>
      </c>
      <c r="C1911" s="5" t="n">
        <v>8</v>
      </c>
      <c r="D1911" s="18">
        <f>SEASON_HRS_TOM*B1911*(1+DIM_TOM)^B1911+SEASON_HRS_CAR*C1911*(1+DIM_CAR)^C1911</f>
        <v>1249.0596354023805</v>
      </c>
      <c r="E1911" s="18">
        <f>(FARMER_FIELD_HRS+A1911*TEMP_HRS)-D1911</f>
        <v>5230.94036459762</v>
      </c>
      <c r="F1911" s="21">
        <f>IF(E1911&lt;0,0,MIN(COUNTIF(Labor!$C$59:$C$88,"&lt;="&amp;E1911),MAXBED_MES,TOTAL_BEDS-B1911-C1911))</f>
        <v>30</v>
      </c>
      <c r="G1911" s="21">
        <f>B1911+C1911+F1911</f>
        <v>44</v>
      </c>
      <c r="H1911" s="22">
        <f>IF(E1911&lt;0,-999999999,B1911*(PRICE_TOM-FERT_TOM)+C1911*(PRICE_CAR-FERT_CAR)+F1911*(PRICE_MES-FERT_MES)-(FARMER_SALARY+A1911*TEMP_COST)-FIXED_COSTS)</f>
        <v>-54648</v>
      </c>
    </row>
    <row r="1912">
      <c r="A1912" s="5" t="n">
        <v>4</v>
      </c>
      <c r="B1912" s="5" t="n">
        <v>6</v>
      </c>
      <c r="C1912" s="5" t="n">
        <v>9</v>
      </c>
      <c r="D1912" s="18">
        <f>SEASON_HRS_TOM*B1912*(1+DIM_TOM)^B1912+SEASON_HRS_CAR*C1912*(1+DIM_CAR)^C1912</f>
        <v>1293.83594188587</v>
      </c>
      <c r="E1912" s="18">
        <f>(FARMER_FIELD_HRS+A1912*TEMP_HRS)-D1912</f>
        <v>5186.16405811413</v>
      </c>
      <c r="F1912" s="21">
        <f>IF(E1912&lt;0,0,MIN(COUNTIF(Labor!$C$59:$C$88,"&lt;="&amp;E1912),MAXBED_MES,TOTAL_BEDS-B1912-C1912))</f>
        <v>30</v>
      </c>
      <c r="G1912" s="21">
        <f>B1912+C1912+F1912</f>
        <v>45</v>
      </c>
      <c r="H1912" s="22">
        <f>IF(E1912&lt;0,-999999999,B1912*(PRICE_TOM-FERT_TOM)+C1912*(PRICE_CAR-FERT_CAR)+F1912*(PRICE_MES-FERT_MES)-(FARMER_SALARY+A1912*TEMP_COST)-FIXED_COSTS)</f>
        <v>-52994</v>
      </c>
    </row>
    <row r="1913">
      <c r="A1913" s="5" t="n">
        <v>4</v>
      </c>
      <c r="B1913" s="5" t="n">
        <v>6</v>
      </c>
      <c r="C1913" s="5" t="n">
        <v>10</v>
      </c>
      <c r="D1913" s="18">
        <f>SEASON_HRS_TOM*B1913*(1+DIM_TOM)^B1913+SEASON_HRS_CAR*C1913*(1+DIM_CAR)^C1913</f>
        <v>1340.6683032589074</v>
      </c>
      <c r="E1913" s="18">
        <f>(FARMER_FIELD_HRS+A1913*TEMP_HRS)-D1913</f>
        <v>5139.331696741093</v>
      </c>
      <c r="F1913" s="21">
        <f>IF(E1913&lt;0,0,MIN(COUNTIF(Labor!$C$59:$C$88,"&lt;="&amp;E1913),MAXBED_MES,TOTAL_BEDS-B1913-C1913))</f>
        <v>30</v>
      </c>
      <c r="G1913" s="21">
        <f>B1913+C1913+F1913</f>
        <v>46</v>
      </c>
      <c r="H1913" s="22">
        <f>IF(E1913&lt;0,-999999999,B1913*(PRICE_TOM-FERT_TOM)+C1913*(PRICE_CAR-FERT_CAR)+F1913*(PRICE_MES-FERT_MES)-(FARMER_SALARY+A1913*TEMP_COST)-FIXED_COSTS)</f>
        <v>-51340</v>
      </c>
    </row>
    <row r="1914">
      <c r="A1914" s="5" t="n">
        <v>4</v>
      </c>
      <c r="B1914" s="5" t="n">
        <v>6</v>
      </c>
      <c r="C1914" s="5" t="n">
        <v>11</v>
      </c>
      <c r="D1914" s="18">
        <f>SEASON_HRS_TOM*B1914*(1+DIM_TOM)^B1914+SEASON_HRS_CAR*C1914*(1+DIM_CAR)^C1914</f>
        <v>1389.631537074418</v>
      </c>
      <c r="E1914" s="18">
        <f>(FARMER_FIELD_HRS+A1914*TEMP_HRS)-D1914</f>
        <v>5090.368462925582</v>
      </c>
      <c r="F1914" s="21">
        <f>IF(E1914&lt;0,0,MIN(COUNTIF(Labor!$C$59:$C$88,"&lt;="&amp;E1914),MAXBED_MES,TOTAL_BEDS-B1914-C1914))</f>
        <v>30</v>
      </c>
      <c r="G1914" s="21">
        <f>B1914+C1914+F1914</f>
        <v>47</v>
      </c>
      <c r="H1914" s="22">
        <f>IF(E1914&lt;0,-999999999,B1914*(PRICE_TOM-FERT_TOM)+C1914*(PRICE_CAR-FERT_CAR)+F1914*(PRICE_MES-FERT_MES)-(FARMER_SALARY+A1914*TEMP_COST)-FIXED_COSTS)</f>
        <v>-49686</v>
      </c>
    </row>
    <row r="1915">
      <c r="A1915" s="5" t="n">
        <v>4</v>
      </c>
      <c r="B1915" s="5" t="n">
        <v>6</v>
      </c>
      <c r="C1915" s="5" t="n">
        <v>12</v>
      </c>
      <c r="D1915" s="18">
        <f>SEASON_HRS_TOM*B1915*(1+DIM_TOM)^B1915+SEASON_HRS_CAR*C1915*(1+DIM_CAR)^C1915</f>
        <v>1440.8029167286672</v>
      </c>
      <c r="E1915" s="18">
        <f>(FARMER_FIELD_HRS+A1915*TEMP_HRS)-D1915</f>
        <v>5039.197083271332</v>
      </c>
      <c r="F1915" s="21">
        <f>IF(E1915&lt;0,0,MIN(COUNTIF(Labor!$C$59:$C$88,"&lt;="&amp;E1915),MAXBED_MES,TOTAL_BEDS-B1915-C1915))</f>
        <v>30</v>
      </c>
      <c r="G1915" s="21">
        <f>B1915+C1915+F1915</f>
        <v>48</v>
      </c>
      <c r="H1915" s="22">
        <f>IF(E1915&lt;0,-999999999,B1915*(PRICE_TOM-FERT_TOM)+C1915*(PRICE_CAR-FERT_CAR)+F1915*(PRICE_MES-FERT_MES)-(FARMER_SALARY+A1915*TEMP_COST)-FIXED_COSTS)</f>
        <v>-48032</v>
      </c>
    </row>
    <row r="1916">
      <c r="A1916" s="5" t="n">
        <v>4</v>
      </c>
      <c r="B1916" s="5" t="n">
        <v>6</v>
      </c>
      <c r="C1916" s="5" t="n">
        <v>13</v>
      </c>
      <c r="D1916" s="18">
        <f>SEASON_HRS_TOM*B1916*(1+DIM_TOM)^B1916+SEASON_HRS_CAR*C1916*(1+DIM_CAR)^C1916</f>
        <v>1494.2622474924574</v>
      </c>
      <c r="E1916" s="18">
        <f>(FARMER_FIELD_HRS+A1916*TEMP_HRS)-D1916</f>
        <v>4985.737752507543</v>
      </c>
      <c r="F1916" s="21">
        <f>IF(E1916&lt;0,0,MIN(COUNTIF(Labor!$C$59:$C$88,"&lt;="&amp;E1916),MAXBED_MES,TOTAL_BEDS-B1916-C1916))</f>
        <v>30</v>
      </c>
      <c r="G1916" s="21">
        <f>B1916+C1916+F1916</f>
        <v>49</v>
      </c>
      <c r="H1916" s="22">
        <f>IF(E1916&lt;0,-999999999,B1916*(PRICE_TOM-FERT_TOM)+C1916*(PRICE_CAR-FERT_CAR)+F1916*(PRICE_MES-FERT_MES)-(FARMER_SALARY+A1916*TEMP_COST)-FIXED_COSTS)</f>
        <v>-46378</v>
      </c>
    </row>
    <row r="1917">
      <c r="A1917" s="5" t="n">
        <v>4</v>
      </c>
      <c r="B1917" s="5" t="n">
        <v>6</v>
      </c>
      <c r="C1917" s="5" t="n">
        <v>14</v>
      </c>
      <c r="D1917" s="18">
        <f>SEASON_HRS_TOM*B1917*(1+DIM_TOM)^B1917+SEASON_HRS_CAR*C1917*(1+DIM_CAR)^C1917</f>
        <v>1550.0919448089821</v>
      </c>
      <c r="E1917" s="18">
        <f>(FARMER_FIELD_HRS+A1917*TEMP_HRS)-D1917</f>
        <v>4929.908055191017</v>
      </c>
      <c r="F1917" s="21">
        <f>IF(E1917&lt;0,0,MIN(COUNTIF(Labor!$C$59:$C$88,"&lt;="&amp;E1917),MAXBED_MES,TOTAL_BEDS-B1917-C1917))</f>
        <v>30</v>
      </c>
      <c r="G1917" s="21">
        <f>B1917+C1917+F1917</f>
        <v>50</v>
      </c>
      <c r="H1917" s="22">
        <f>IF(E1917&lt;0,-999999999,B1917*(PRICE_TOM-FERT_TOM)+C1917*(PRICE_CAR-FERT_CAR)+F1917*(PRICE_MES-FERT_MES)-(FARMER_SALARY+A1917*TEMP_COST)-FIXED_COSTS)</f>
        <v>-44724</v>
      </c>
    </row>
    <row r="1918">
      <c r="A1918" s="5" t="n">
        <v>4</v>
      </c>
      <c r="B1918" s="5" t="n">
        <v>6</v>
      </c>
      <c r="C1918" s="5" t="n">
        <v>15</v>
      </c>
      <c r="D1918" s="18">
        <f>SEASON_HRS_TOM*B1918*(1+DIM_TOM)^B1918+SEASON_HRS_CAR*C1918*(1+DIM_CAR)^C1918</f>
        <v>1608.3771149241497</v>
      </c>
      <c r="E1918" s="18">
        <f>(FARMER_FIELD_HRS+A1918*TEMP_HRS)-D1918</f>
        <v>4871.622885075851</v>
      </c>
      <c r="F1918" s="21">
        <f>IF(E1918&lt;0,0,MIN(COUNTIF(Labor!$C$59:$C$88,"&lt;="&amp;E1918),MAXBED_MES,TOTAL_BEDS-B1918-C1918))</f>
        <v>30</v>
      </c>
      <c r="G1918" s="21">
        <f>B1918+C1918+F1918</f>
        <v>51</v>
      </c>
      <c r="H1918" s="22">
        <f>IF(E1918&lt;0,-999999999,B1918*(PRICE_TOM-FERT_TOM)+C1918*(PRICE_CAR-FERT_CAR)+F1918*(PRICE_MES-FERT_MES)-(FARMER_SALARY+A1918*TEMP_COST)-FIXED_COSTS)</f>
        <v>-43070</v>
      </c>
    </row>
    <row r="1919">
      <c r="A1919" s="5" t="n">
        <v>4</v>
      </c>
      <c r="B1919" s="5" t="n">
        <v>6</v>
      </c>
      <c r="C1919" s="5" t="n">
        <v>16</v>
      </c>
      <c r="D1919" s="18">
        <f>SEASON_HRS_TOM*B1919*(1+DIM_TOM)^B1919+SEASON_HRS_CAR*C1919*(1+DIM_CAR)^C1919</f>
        <v>1669.2056379170704</v>
      </c>
      <c r="E1919" s="18">
        <f>(FARMER_FIELD_HRS+A1919*TEMP_HRS)-D1919</f>
        <v>4810.79436208293</v>
      </c>
      <c r="F1919" s="21">
        <f>IF(E1919&lt;0,0,MIN(COUNTIF(Labor!$C$59:$C$88,"&lt;="&amp;E1919),MAXBED_MES,TOTAL_BEDS-B1919-C1919))</f>
        <v>30</v>
      </c>
      <c r="G1919" s="21">
        <f>B1919+C1919+F1919</f>
        <v>52</v>
      </c>
      <c r="H1919" s="22">
        <f>IF(E1919&lt;0,-999999999,B1919*(PRICE_TOM-FERT_TOM)+C1919*(PRICE_CAR-FERT_CAR)+F1919*(PRICE_MES-FERT_MES)-(FARMER_SALARY+A1919*TEMP_COST)-FIXED_COSTS)</f>
        <v>-41416</v>
      </c>
    </row>
    <row r="1920">
      <c r="A1920" s="5" t="n">
        <v>4</v>
      </c>
      <c r="B1920" s="5" t="n">
        <v>6</v>
      </c>
      <c r="C1920" s="5" t="n">
        <v>17</v>
      </c>
      <c r="D1920" s="18">
        <f>SEASON_HRS_TOM*B1920*(1+DIM_TOM)^B1920+SEASON_HRS_CAR*C1920*(1+DIM_CAR)^C1920</f>
        <v>1732.6682532003092</v>
      </c>
      <c r="E1920" s="18">
        <f>(FARMER_FIELD_HRS+A1920*TEMP_HRS)-D1920</f>
        <v>4747.331746799691</v>
      </c>
      <c r="F1920" s="21">
        <f>IF(E1920&lt;0,0,MIN(COUNTIF(Labor!$C$59:$C$88,"&lt;="&amp;E1920),MAXBED_MES,TOTAL_BEDS-B1920-C1920))</f>
        <v>30</v>
      </c>
      <c r="G1920" s="21">
        <f>B1920+C1920+F1920</f>
        <v>53</v>
      </c>
      <c r="H1920" s="22">
        <f>IF(E1920&lt;0,-999999999,B1920*(PRICE_TOM-FERT_TOM)+C1920*(PRICE_CAR-FERT_CAR)+F1920*(PRICE_MES-FERT_MES)-(FARMER_SALARY+A1920*TEMP_COST)-FIXED_COSTS)</f>
        <v>-39762</v>
      </c>
    </row>
    <row r="1921">
      <c r="A1921" s="5" t="n">
        <v>4</v>
      </c>
      <c r="B1921" s="5" t="n">
        <v>6</v>
      </c>
      <c r="C1921" s="5" t="n">
        <v>18</v>
      </c>
      <c r="D1921" s="18">
        <f>SEASON_HRS_TOM*B1921*(1+DIM_TOM)^B1921+SEASON_HRS_CAR*C1921*(1+DIM_CAR)^C1921</f>
        <v>1798.858647561512</v>
      </c>
      <c r="E1921" s="18">
        <f>(FARMER_FIELD_HRS+A1921*TEMP_HRS)-D1921</f>
        <v>4681.141352438488</v>
      </c>
      <c r="F1921" s="21">
        <f>IF(E1921&lt;0,0,MIN(COUNTIF(Labor!$C$59:$C$88,"&lt;="&amp;E1921),MAXBED_MES,TOTAL_BEDS-B1921-C1921))</f>
        <v>30</v>
      </c>
      <c r="G1921" s="21">
        <f>B1921+C1921+F1921</f>
        <v>54</v>
      </c>
      <c r="H1921" s="22">
        <f>IF(E1921&lt;0,-999999999,B1921*(PRICE_TOM-FERT_TOM)+C1921*(PRICE_CAR-FERT_CAR)+F1921*(PRICE_MES-FERT_MES)-(FARMER_SALARY+A1921*TEMP_COST)-FIXED_COSTS)</f>
        <v>-38108</v>
      </c>
    </row>
    <row r="1922">
      <c r="A1922" s="5" t="n">
        <v>4</v>
      </c>
      <c r="B1922" s="5" t="n">
        <v>6</v>
      </c>
      <c r="C1922" s="5" t="n">
        <v>19</v>
      </c>
      <c r="D1922" s="18">
        <f>SEASON_HRS_TOM*B1922*(1+DIM_TOM)^B1922+SEASON_HRS_CAR*C1922*(1+DIM_CAR)^C1922</f>
        <v>1867.8735458200244</v>
      </c>
      <c r="E1922" s="18">
        <f>(FARMER_FIELD_HRS+A1922*TEMP_HRS)-D1922</f>
        <v>4612.126454179976</v>
      </c>
      <c r="F1922" s="21">
        <f>IF(E1922&lt;0,0,MIN(COUNTIF(Labor!$C$59:$C$88,"&lt;="&amp;E1922),MAXBED_MES,TOTAL_BEDS-B1922-C1922))</f>
        <v>30</v>
      </c>
      <c r="G1922" s="21">
        <f>B1922+C1922+F1922</f>
        <v>55</v>
      </c>
      <c r="H1922" s="22">
        <f>IF(E1922&lt;0,-999999999,B1922*(PRICE_TOM-FERT_TOM)+C1922*(PRICE_CAR-FERT_CAR)+F1922*(PRICE_MES-FERT_MES)-(FARMER_SALARY+A1922*TEMP_COST)-FIXED_COSTS)</f>
        <v>-36454</v>
      </c>
    </row>
    <row r="1923">
      <c r="A1923" s="5" t="n">
        <v>4</v>
      </c>
      <c r="B1923" s="5" t="n">
        <v>6</v>
      </c>
      <c r="C1923" s="5" t="n">
        <v>20</v>
      </c>
      <c r="D1923" s="18">
        <f>SEASON_HRS_TOM*B1923*(1+DIM_TOM)^B1923+SEASON_HRS_CAR*C1923*(1+DIM_CAR)^C1923</f>
        <v>1939.812804174237</v>
      </c>
      <c r="E1923" s="18">
        <f>(FARMER_FIELD_HRS+A1923*TEMP_HRS)-D1923</f>
        <v>4540.187195825763</v>
      </c>
      <c r="F1923" s="21">
        <f>IF(E1923&lt;0,0,MIN(COUNTIF(Labor!$C$59:$C$88,"&lt;="&amp;E1923),MAXBED_MES,TOTAL_BEDS-B1923-C1923))</f>
        <v>30</v>
      </c>
      <c r="G1923" s="21">
        <f>B1923+C1923+F1923</f>
        <v>56</v>
      </c>
      <c r="H1923" s="22">
        <f>IF(E1923&lt;0,-999999999,B1923*(PRICE_TOM-FERT_TOM)+C1923*(PRICE_CAR-FERT_CAR)+F1923*(PRICE_MES-FERT_MES)-(FARMER_SALARY+A1923*TEMP_COST)-FIXED_COSTS)</f>
        <v>-34800</v>
      </c>
    </row>
    <row r="1924">
      <c r="A1924" s="5" t="n">
        <v>4</v>
      </c>
      <c r="B1924" s="5" t="n">
        <v>7</v>
      </c>
      <c r="C1924" s="5" t="n">
        <v>0</v>
      </c>
      <c r="D1924" s="18">
        <f>SEASON_HRS_TOM*B1924*(1+DIM_TOM)^B1924+SEASON_HRS_CAR*C1924*(1+DIM_CAR)^C1924</f>
        <v>1227.6917730000007</v>
      </c>
      <c r="E1924" s="18">
        <f>(FARMER_FIELD_HRS+A1924*TEMP_HRS)-D1924</f>
        <v>5252.3082269999995</v>
      </c>
      <c r="F1924" s="21">
        <f>IF(E1924&lt;0,0,MIN(COUNTIF(Labor!$C$59:$C$88,"&lt;="&amp;E1924),MAXBED_MES,TOTAL_BEDS-B1924-C1924))</f>
        <v>30</v>
      </c>
      <c r="G1924" s="21">
        <f>B1924+C1924+F1924</f>
        <v>37</v>
      </c>
      <c r="H1924" s="22">
        <f>IF(E1924&lt;0,-999999999,B1924*(PRICE_TOM-FERT_TOM)+C1924*(PRICE_CAR-FERT_CAR)+F1924*(PRICE_MES-FERT_MES)-(FARMER_SALARY+A1924*TEMP_COST)-FIXED_COSTS)</f>
        <v>-59960</v>
      </c>
    </row>
    <row r="1925">
      <c r="A1925" s="5" t="n">
        <v>4</v>
      </c>
      <c r="B1925" s="5" t="n">
        <v>7</v>
      </c>
      <c r="C1925" s="5" t="n">
        <v>1</v>
      </c>
      <c r="D1925" s="18">
        <f>SEASON_HRS_TOM*B1925*(1+DIM_TOM)^B1925+SEASON_HRS_CAR*C1925*(1+DIM_CAR)^C1925</f>
        <v>1258.4417730000007</v>
      </c>
      <c r="E1925" s="18">
        <f>(FARMER_FIELD_HRS+A1925*TEMP_HRS)-D1925</f>
        <v>5221.5582269999995</v>
      </c>
      <c r="F1925" s="21">
        <f>IF(E1925&lt;0,0,MIN(COUNTIF(Labor!$C$59:$C$88,"&lt;="&amp;E1925),MAXBED_MES,TOTAL_BEDS-B1925-C1925))</f>
        <v>30</v>
      </c>
      <c r="G1925" s="21">
        <f>B1925+C1925+F1925</f>
        <v>38</v>
      </c>
      <c r="H1925" s="22">
        <f>IF(E1925&lt;0,-999999999,B1925*(PRICE_TOM-FERT_TOM)+C1925*(PRICE_CAR-FERT_CAR)+F1925*(PRICE_MES-FERT_MES)-(FARMER_SALARY+A1925*TEMP_COST)-FIXED_COSTS)</f>
        <v>-58306</v>
      </c>
    </row>
    <row r="1926">
      <c r="A1926" s="5" t="n">
        <v>4</v>
      </c>
      <c r="B1926" s="5" t="n">
        <v>7</v>
      </c>
      <c r="C1926" s="5" t="n">
        <v>2</v>
      </c>
      <c r="D1926" s="18">
        <f>SEASON_HRS_TOM*B1926*(1+DIM_TOM)^B1926+SEASON_HRS_CAR*C1926*(1+DIM_CAR)^C1926</f>
        <v>1290.7292730000006</v>
      </c>
      <c r="E1926" s="18">
        <f>(FARMER_FIELD_HRS+A1926*TEMP_HRS)-D1926</f>
        <v>5189.270726999999</v>
      </c>
      <c r="F1926" s="21">
        <f>IF(E1926&lt;0,0,MIN(COUNTIF(Labor!$C$59:$C$88,"&lt;="&amp;E1926),MAXBED_MES,TOTAL_BEDS-B1926-C1926))</f>
        <v>30</v>
      </c>
      <c r="G1926" s="21">
        <f>B1926+C1926+F1926</f>
        <v>39</v>
      </c>
      <c r="H1926" s="22">
        <f>IF(E1926&lt;0,-999999999,B1926*(PRICE_TOM-FERT_TOM)+C1926*(PRICE_CAR-FERT_CAR)+F1926*(PRICE_MES-FERT_MES)-(FARMER_SALARY+A1926*TEMP_COST)-FIXED_COSTS)</f>
        <v>-56652</v>
      </c>
    </row>
    <row r="1927">
      <c r="A1927" s="5" t="n">
        <v>4</v>
      </c>
      <c r="B1927" s="5" t="n">
        <v>7</v>
      </c>
      <c r="C1927" s="5" t="n">
        <v>3</v>
      </c>
      <c r="D1927" s="18">
        <f>SEASON_HRS_TOM*B1927*(1+DIM_TOM)^B1927+SEASON_HRS_CAR*C1927*(1+DIM_CAR)^C1927</f>
        <v>1324.6119292500007</v>
      </c>
      <c r="E1927" s="18">
        <f>(FARMER_FIELD_HRS+A1927*TEMP_HRS)-D1927</f>
        <v>5155.388070749999</v>
      </c>
      <c r="F1927" s="21">
        <f>IF(E1927&lt;0,0,MIN(COUNTIF(Labor!$C$59:$C$88,"&lt;="&amp;E1927),MAXBED_MES,TOTAL_BEDS-B1927-C1927))</f>
        <v>30</v>
      </c>
      <c r="G1927" s="21">
        <f>B1927+C1927+F1927</f>
        <v>40</v>
      </c>
      <c r="H1927" s="22">
        <f>IF(E1927&lt;0,-999999999,B1927*(PRICE_TOM-FERT_TOM)+C1927*(PRICE_CAR-FERT_CAR)+F1927*(PRICE_MES-FERT_MES)-(FARMER_SALARY+A1927*TEMP_COST)-FIXED_COSTS)</f>
        <v>-54998</v>
      </c>
    </row>
    <row r="1928">
      <c r="A1928" s="5" t="n">
        <v>4</v>
      </c>
      <c r="B1928" s="5" t="n">
        <v>7</v>
      </c>
      <c r="C1928" s="5" t="n">
        <v>4</v>
      </c>
      <c r="D1928" s="18">
        <f>SEASON_HRS_TOM*B1928*(1+DIM_TOM)^B1928+SEASON_HRS_CAR*C1928*(1+DIM_CAR)^C1928</f>
        <v>1360.1493198750006</v>
      </c>
      <c r="E1928" s="18">
        <f>(FARMER_FIELD_HRS+A1928*TEMP_HRS)-D1928</f>
        <v>5119.850680125</v>
      </c>
      <c r="F1928" s="21">
        <f>IF(E1928&lt;0,0,MIN(COUNTIF(Labor!$C$59:$C$88,"&lt;="&amp;E1928),MAXBED_MES,TOTAL_BEDS-B1928-C1928))</f>
        <v>30</v>
      </c>
      <c r="G1928" s="21">
        <f>B1928+C1928+F1928</f>
        <v>41</v>
      </c>
      <c r="H1928" s="22">
        <f>IF(E1928&lt;0,-999999999,B1928*(PRICE_TOM-FERT_TOM)+C1928*(PRICE_CAR-FERT_CAR)+F1928*(PRICE_MES-FERT_MES)-(FARMER_SALARY+A1928*TEMP_COST)-FIXED_COSTS)</f>
        <v>-53344</v>
      </c>
    </row>
    <row r="1929">
      <c r="A1929" s="5" t="n">
        <v>4</v>
      </c>
      <c r="B1929" s="5" t="n">
        <v>7</v>
      </c>
      <c r="C1929" s="5" t="n">
        <v>5</v>
      </c>
      <c r="D1929" s="18">
        <f>SEASON_HRS_TOM*B1929*(1+DIM_TOM)^B1929+SEASON_HRS_CAR*C1929*(1+DIM_CAR)^C1929</f>
        <v>1397.4030049335943</v>
      </c>
      <c r="E1929" s="18">
        <f>(FARMER_FIELD_HRS+A1929*TEMP_HRS)-D1929</f>
        <v>5082.596995066406</v>
      </c>
      <c r="F1929" s="21">
        <f>IF(E1929&lt;0,0,MIN(COUNTIF(Labor!$C$59:$C$88,"&lt;="&amp;E1929),MAXBED_MES,TOTAL_BEDS-B1929-C1929))</f>
        <v>30</v>
      </c>
      <c r="G1929" s="21">
        <f>B1929+C1929+F1929</f>
        <v>42</v>
      </c>
      <c r="H1929" s="22">
        <f>IF(E1929&lt;0,-999999999,B1929*(PRICE_TOM-FERT_TOM)+C1929*(PRICE_CAR-FERT_CAR)+F1929*(PRICE_MES-FERT_MES)-(FARMER_SALARY+A1929*TEMP_COST)-FIXED_COSTS)</f>
        <v>-51690</v>
      </c>
    </row>
    <row r="1930">
      <c r="A1930" s="5" t="n">
        <v>4</v>
      </c>
      <c r="B1930" s="5" t="n">
        <v>7</v>
      </c>
      <c r="C1930" s="5" t="n">
        <v>6</v>
      </c>
      <c r="D1930" s="18">
        <f>SEASON_HRS_TOM*B1930*(1+DIM_TOM)^B1930+SEASON_HRS_CAR*C1930*(1+DIM_CAR)^C1930</f>
        <v>1436.4365882783209</v>
      </c>
      <c r="E1930" s="18">
        <f>(FARMER_FIELD_HRS+A1930*TEMP_HRS)-D1930</f>
        <v>5043.56341172168</v>
      </c>
      <c r="F1930" s="21">
        <f>IF(E1930&lt;0,0,MIN(COUNTIF(Labor!$C$59:$C$88,"&lt;="&amp;E1930),MAXBED_MES,TOTAL_BEDS-B1930-C1930))</f>
        <v>30</v>
      </c>
      <c r="G1930" s="21">
        <f>B1930+C1930+F1930</f>
        <v>43</v>
      </c>
      <c r="H1930" s="22">
        <f>IF(E1930&lt;0,-999999999,B1930*(PRICE_TOM-FERT_TOM)+C1930*(PRICE_CAR-FERT_CAR)+F1930*(PRICE_MES-FERT_MES)-(FARMER_SALARY+A1930*TEMP_COST)-FIXED_COSTS)</f>
        <v>-50036</v>
      </c>
    </row>
    <row r="1931">
      <c r="A1931" s="5" t="n">
        <v>4</v>
      </c>
      <c r="B1931" s="5" t="n">
        <v>7</v>
      </c>
      <c r="C1931" s="5" t="n">
        <v>7</v>
      </c>
      <c r="D1931" s="18">
        <f>SEASON_HRS_TOM*B1931*(1+DIM_TOM)^B1931+SEASON_HRS_CAR*C1931*(1+DIM_CAR)^C1931</f>
        <v>1477.3157812703253</v>
      </c>
      <c r="E1931" s="18">
        <f>(FARMER_FIELD_HRS+A1931*TEMP_HRS)-D1931</f>
        <v>5002.684218729675</v>
      </c>
      <c r="F1931" s="21">
        <f>IF(E1931&lt;0,0,MIN(COUNTIF(Labor!$C$59:$C$88,"&lt;="&amp;E1931),MAXBED_MES,TOTAL_BEDS-B1931-C1931))</f>
        <v>30</v>
      </c>
      <c r="G1931" s="21">
        <f>B1931+C1931+F1931</f>
        <v>44</v>
      </c>
      <c r="H1931" s="22">
        <f>IF(E1931&lt;0,-999999999,B1931*(PRICE_TOM-FERT_TOM)+C1931*(PRICE_CAR-FERT_CAR)+F1931*(PRICE_MES-FERT_MES)-(FARMER_SALARY+A1931*TEMP_COST)-FIXED_COSTS)</f>
        <v>-48382</v>
      </c>
    </row>
    <row r="1932">
      <c r="A1932" s="5" t="n">
        <v>4</v>
      </c>
      <c r="B1932" s="5" t="n">
        <v>7</v>
      </c>
      <c r="C1932" s="5" t="n">
        <v>8</v>
      </c>
      <c r="D1932" s="18">
        <f>SEASON_HRS_TOM*B1932*(1+DIM_TOM)^B1932+SEASON_HRS_CAR*C1932*(1+DIM_CAR)^C1932</f>
        <v>1520.1084684023808</v>
      </c>
      <c r="E1932" s="18">
        <f>(FARMER_FIELD_HRS+A1932*TEMP_HRS)-D1932</f>
        <v>4959.891531597619</v>
      </c>
      <c r="F1932" s="21">
        <f>IF(E1932&lt;0,0,MIN(COUNTIF(Labor!$C$59:$C$88,"&lt;="&amp;E1932),MAXBED_MES,TOTAL_BEDS-B1932-C1932))</f>
        <v>30</v>
      </c>
      <c r="G1932" s="21">
        <f>B1932+C1932+F1932</f>
        <v>45</v>
      </c>
      <c r="H1932" s="22">
        <f>IF(E1932&lt;0,-999999999,B1932*(PRICE_TOM-FERT_TOM)+C1932*(PRICE_CAR-FERT_CAR)+F1932*(PRICE_MES-FERT_MES)-(FARMER_SALARY+A1932*TEMP_COST)-FIXED_COSTS)</f>
        <v>-46728</v>
      </c>
    </row>
    <row r="1933">
      <c r="A1933" s="5" t="n">
        <v>4</v>
      </c>
      <c r="B1933" s="5" t="n">
        <v>7</v>
      </c>
      <c r="C1933" s="5" t="n">
        <v>9</v>
      </c>
      <c r="D1933" s="18">
        <f>SEASON_HRS_TOM*B1933*(1+DIM_TOM)^B1933+SEASON_HRS_CAR*C1933*(1+DIM_CAR)^C1933</f>
        <v>1564.8847748858702</v>
      </c>
      <c r="E1933" s="18">
        <f>(FARMER_FIELD_HRS+A1933*TEMP_HRS)-D1933</f>
        <v>4915.11522511413</v>
      </c>
      <c r="F1933" s="21">
        <f>IF(E1933&lt;0,0,MIN(COUNTIF(Labor!$C$59:$C$88,"&lt;="&amp;E1933),MAXBED_MES,TOTAL_BEDS-B1933-C1933))</f>
        <v>30</v>
      </c>
      <c r="G1933" s="21">
        <f>B1933+C1933+F1933</f>
        <v>46</v>
      </c>
      <c r="H1933" s="22">
        <f>IF(E1933&lt;0,-999999999,B1933*(PRICE_TOM-FERT_TOM)+C1933*(PRICE_CAR-FERT_CAR)+F1933*(PRICE_MES-FERT_MES)-(FARMER_SALARY+A1933*TEMP_COST)-FIXED_COSTS)</f>
        <v>-45074</v>
      </c>
    </row>
    <row r="1934">
      <c r="A1934" s="5" t="n">
        <v>4</v>
      </c>
      <c r="B1934" s="5" t="n">
        <v>7</v>
      </c>
      <c r="C1934" s="5" t="n">
        <v>10</v>
      </c>
      <c r="D1934" s="18">
        <f>SEASON_HRS_TOM*B1934*(1+DIM_TOM)^B1934+SEASON_HRS_CAR*C1934*(1+DIM_CAR)^C1934</f>
        <v>1611.7171362589077</v>
      </c>
      <c r="E1934" s="18">
        <f>(FARMER_FIELD_HRS+A1934*TEMP_HRS)-D1934</f>
        <v>4868.282863741092</v>
      </c>
      <c r="F1934" s="21">
        <f>IF(E1934&lt;0,0,MIN(COUNTIF(Labor!$C$59:$C$88,"&lt;="&amp;E1934),MAXBED_MES,TOTAL_BEDS-B1934-C1934))</f>
        <v>30</v>
      </c>
      <c r="G1934" s="21">
        <f>B1934+C1934+F1934</f>
        <v>47</v>
      </c>
      <c r="H1934" s="22">
        <f>IF(E1934&lt;0,-999999999,B1934*(PRICE_TOM-FERT_TOM)+C1934*(PRICE_CAR-FERT_CAR)+F1934*(PRICE_MES-FERT_MES)-(FARMER_SALARY+A1934*TEMP_COST)-FIXED_COSTS)</f>
        <v>-43420</v>
      </c>
    </row>
    <row r="1935">
      <c r="A1935" s="5" t="n">
        <v>4</v>
      </c>
      <c r="B1935" s="5" t="n">
        <v>7</v>
      </c>
      <c r="C1935" s="5" t="n">
        <v>11</v>
      </c>
      <c r="D1935" s="18">
        <f>SEASON_HRS_TOM*B1935*(1+DIM_TOM)^B1935+SEASON_HRS_CAR*C1935*(1+DIM_CAR)^C1935</f>
        <v>1660.6803700744183</v>
      </c>
      <c r="E1935" s="18">
        <f>(FARMER_FIELD_HRS+A1935*TEMP_HRS)-D1935</f>
        <v>4819.3196299255815</v>
      </c>
      <c r="F1935" s="21">
        <f>IF(E1935&lt;0,0,MIN(COUNTIF(Labor!$C$59:$C$88,"&lt;="&amp;E1935),MAXBED_MES,TOTAL_BEDS-B1935-C1935))</f>
        <v>30</v>
      </c>
      <c r="G1935" s="21">
        <f>B1935+C1935+F1935</f>
        <v>48</v>
      </c>
      <c r="H1935" s="22">
        <f>IF(E1935&lt;0,-999999999,B1935*(PRICE_TOM-FERT_TOM)+C1935*(PRICE_CAR-FERT_CAR)+F1935*(PRICE_MES-FERT_MES)-(FARMER_SALARY+A1935*TEMP_COST)-FIXED_COSTS)</f>
        <v>-41766</v>
      </c>
    </row>
    <row r="1936">
      <c r="A1936" s="5" t="n">
        <v>4</v>
      </c>
      <c r="B1936" s="5" t="n">
        <v>7</v>
      </c>
      <c r="C1936" s="5" t="n">
        <v>12</v>
      </c>
      <c r="D1936" s="18">
        <f>SEASON_HRS_TOM*B1936*(1+DIM_TOM)^B1936+SEASON_HRS_CAR*C1936*(1+DIM_CAR)^C1936</f>
        <v>1711.8517497286675</v>
      </c>
      <c r="E1936" s="18">
        <f>(FARMER_FIELD_HRS+A1936*TEMP_HRS)-D1936</f>
        <v>4768.1482502713325</v>
      </c>
      <c r="F1936" s="21">
        <f>IF(E1936&lt;0,0,MIN(COUNTIF(Labor!$C$59:$C$88,"&lt;="&amp;E1936),MAXBED_MES,TOTAL_BEDS-B1936-C1936))</f>
        <v>30</v>
      </c>
      <c r="G1936" s="21">
        <f>B1936+C1936+F1936</f>
        <v>49</v>
      </c>
      <c r="H1936" s="22">
        <f>IF(E1936&lt;0,-999999999,B1936*(PRICE_TOM-FERT_TOM)+C1936*(PRICE_CAR-FERT_CAR)+F1936*(PRICE_MES-FERT_MES)-(FARMER_SALARY+A1936*TEMP_COST)-FIXED_COSTS)</f>
        <v>-40112</v>
      </c>
    </row>
    <row r="1937">
      <c r="A1937" s="5" t="n">
        <v>4</v>
      </c>
      <c r="B1937" s="5" t="n">
        <v>7</v>
      </c>
      <c r="C1937" s="5" t="n">
        <v>13</v>
      </c>
      <c r="D1937" s="18">
        <f>SEASON_HRS_TOM*B1937*(1+DIM_TOM)^B1937+SEASON_HRS_CAR*C1937*(1+DIM_CAR)^C1937</f>
        <v>1765.3110804924577</v>
      </c>
      <c r="E1937" s="18">
        <f>(FARMER_FIELD_HRS+A1937*TEMP_HRS)-D1937</f>
        <v>4714.688919507542</v>
      </c>
      <c r="F1937" s="21">
        <f>IF(E1937&lt;0,0,MIN(COUNTIF(Labor!$C$59:$C$88,"&lt;="&amp;E1937),MAXBED_MES,TOTAL_BEDS-B1937-C1937))</f>
        <v>30</v>
      </c>
      <c r="G1937" s="21">
        <f>B1937+C1937+F1937</f>
        <v>50</v>
      </c>
      <c r="H1937" s="22">
        <f>IF(E1937&lt;0,-999999999,B1937*(PRICE_TOM-FERT_TOM)+C1937*(PRICE_CAR-FERT_CAR)+F1937*(PRICE_MES-FERT_MES)-(FARMER_SALARY+A1937*TEMP_COST)-FIXED_COSTS)</f>
        <v>-38458</v>
      </c>
    </row>
    <row r="1938">
      <c r="A1938" s="5" t="n">
        <v>4</v>
      </c>
      <c r="B1938" s="5" t="n">
        <v>7</v>
      </c>
      <c r="C1938" s="5" t="n">
        <v>14</v>
      </c>
      <c r="D1938" s="18">
        <f>SEASON_HRS_TOM*B1938*(1+DIM_TOM)^B1938+SEASON_HRS_CAR*C1938*(1+DIM_CAR)^C1938</f>
        <v>1821.1407778089824</v>
      </c>
      <c r="E1938" s="18">
        <f>(FARMER_FIELD_HRS+A1938*TEMP_HRS)-D1938</f>
        <v>4658.859222191018</v>
      </c>
      <c r="F1938" s="21">
        <f>IF(E1938&lt;0,0,MIN(COUNTIF(Labor!$C$59:$C$88,"&lt;="&amp;E1938),MAXBED_MES,TOTAL_BEDS-B1938-C1938))</f>
        <v>30</v>
      </c>
      <c r="G1938" s="21">
        <f>B1938+C1938+F1938</f>
        <v>51</v>
      </c>
      <c r="H1938" s="22">
        <f>IF(E1938&lt;0,-999999999,B1938*(PRICE_TOM-FERT_TOM)+C1938*(PRICE_CAR-FERT_CAR)+F1938*(PRICE_MES-FERT_MES)-(FARMER_SALARY+A1938*TEMP_COST)-FIXED_COSTS)</f>
        <v>-36804</v>
      </c>
    </row>
    <row r="1939">
      <c r="A1939" s="5" t="n">
        <v>4</v>
      </c>
      <c r="B1939" s="5" t="n">
        <v>7</v>
      </c>
      <c r="C1939" s="5" t="n">
        <v>15</v>
      </c>
      <c r="D1939" s="18">
        <f>SEASON_HRS_TOM*B1939*(1+DIM_TOM)^B1939+SEASON_HRS_CAR*C1939*(1+DIM_CAR)^C1939</f>
        <v>1879.42594792415</v>
      </c>
      <c r="E1939" s="18">
        <f>(FARMER_FIELD_HRS+A1939*TEMP_HRS)-D1939</f>
        <v>4600.57405207585</v>
      </c>
      <c r="F1939" s="21">
        <f>IF(E1939&lt;0,0,MIN(COUNTIF(Labor!$C$59:$C$88,"&lt;="&amp;E1939),MAXBED_MES,TOTAL_BEDS-B1939-C1939))</f>
        <v>30</v>
      </c>
      <c r="G1939" s="21">
        <f>B1939+C1939+F1939</f>
        <v>52</v>
      </c>
      <c r="H1939" s="22">
        <f>IF(E1939&lt;0,-999999999,B1939*(PRICE_TOM-FERT_TOM)+C1939*(PRICE_CAR-FERT_CAR)+F1939*(PRICE_MES-FERT_MES)-(FARMER_SALARY+A1939*TEMP_COST)-FIXED_COSTS)</f>
        <v>-35150</v>
      </c>
    </row>
    <row r="1940">
      <c r="A1940" s="5" t="n">
        <v>4</v>
      </c>
      <c r="B1940" s="5" t="n">
        <v>7</v>
      </c>
      <c r="C1940" s="5" t="n">
        <v>16</v>
      </c>
      <c r="D1940" s="18">
        <f>SEASON_HRS_TOM*B1940*(1+DIM_TOM)^B1940+SEASON_HRS_CAR*C1940*(1+DIM_CAR)^C1940</f>
        <v>1940.2544709170706</v>
      </c>
      <c r="E1940" s="18">
        <f>(FARMER_FIELD_HRS+A1940*TEMP_HRS)-D1940</f>
        <v>4539.745529082929</v>
      </c>
      <c r="F1940" s="21">
        <f>IF(E1940&lt;0,0,MIN(COUNTIF(Labor!$C$59:$C$88,"&lt;="&amp;E1940),MAXBED_MES,TOTAL_BEDS-B1940-C1940))</f>
        <v>30</v>
      </c>
      <c r="G1940" s="21">
        <f>B1940+C1940+F1940</f>
        <v>53</v>
      </c>
      <c r="H1940" s="22">
        <f>IF(E1940&lt;0,-999999999,B1940*(PRICE_TOM-FERT_TOM)+C1940*(PRICE_CAR-FERT_CAR)+F1940*(PRICE_MES-FERT_MES)-(FARMER_SALARY+A1940*TEMP_COST)-FIXED_COSTS)</f>
        <v>-33496</v>
      </c>
    </row>
    <row r="1941">
      <c r="A1941" s="5" t="n">
        <v>4</v>
      </c>
      <c r="B1941" s="5" t="n">
        <v>7</v>
      </c>
      <c r="C1941" s="5" t="n">
        <v>17</v>
      </c>
      <c r="D1941" s="18">
        <f>SEASON_HRS_TOM*B1941*(1+DIM_TOM)^B1941+SEASON_HRS_CAR*C1941*(1+DIM_CAR)^C1941</f>
        <v>2003.7170862003095</v>
      </c>
      <c r="E1941" s="18">
        <f>(FARMER_FIELD_HRS+A1941*TEMP_HRS)-D1941</f>
        <v>4476.2829137996905</v>
      </c>
      <c r="F1941" s="21">
        <f>IF(E1941&lt;0,0,MIN(COUNTIF(Labor!$C$59:$C$88,"&lt;="&amp;E1941),MAXBED_MES,TOTAL_BEDS-B1941-C1941))</f>
        <v>30</v>
      </c>
      <c r="G1941" s="21">
        <f>B1941+C1941+F1941</f>
        <v>54</v>
      </c>
      <c r="H1941" s="22">
        <f>IF(E1941&lt;0,-999999999,B1941*(PRICE_TOM-FERT_TOM)+C1941*(PRICE_CAR-FERT_CAR)+F1941*(PRICE_MES-FERT_MES)-(FARMER_SALARY+A1941*TEMP_COST)-FIXED_COSTS)</f>
        <v>-31842</v>
      </c>
    </row>
    <row r="1942">
      <c r="A1942" s="5" t="n">
        <v>4</v>
      </c>
      <c r="B1942" s="5" t="n">
        <v>7</v>
      </c>
      <c r="C1942" s="5" t="n">
        <v>18</v>
      </c>
      <c r="D1942" s="18">
        <f>SEASON_HRS_TOM*B1942*(1+DIM_TOM)^B1942+SEASON_HRS_CAR*C1942*(1+DIM_CAR)^C1942</f>
        <v>2069.9074805615123</v>
      </c>
      <c r="E1942" s="18">
        <f>(FARMER_FIELD_HRS+A1942*TEMP_HRS)-D1942</f>
        <v>4410.092519438487</v>
      </c>
      <c r="F1942" s="21">
        <f>IF(E1942&lt;0,0,MIN(COUNTIF(Labor!$C$59:$C$88,"&lt;="&amp;E1942),MAXBED_MES,TOTAL_BEDS-B1942-C1942))</f>
        <v>30</v>
      </c>
      <c r="G1942" s="21">
        <f>B1942+C1942+F1942</f>
        <v>55</v>
      </c>
      <c r="H1942" s="22">
        <f>IF(E1942&lt;0,-999999999,B1942*(PRICE_TOM-FERT_TOM)+C1942*(PRICE_CAR-FERT_CAR)+F1942*(PRICE_MES-FERT_MES)-(FARMER_SALARY+A1942*TEMP_COST)-FIXED_COSTS)</f>
        <v>-30188</v>
      </c>
    </row>
    <row r="1943">
      <c r="A1943" s="5" t="n">
        <v>4</v>
      </c>
      <c r="B1943" s="5" t="n">
        <v>7</v>
      </c>
      <c r="C1943" s="5" t="n">
        <v>19</v>
      </c>
      <c r="D1943" s="18">
        <f>SEASON_HRS_TOM*B1943*(1+DIM_TOM)^B1943+SEASON_HRS_CAR*C1943*(1+DIM_CAR)^C1943</f>
        <v>2138.9223788200247</v>
      </c>
      <c r="E1943" s="18">
        <f>(FARMER_FIELD_HRS+A1943*TEMP_HRS)-D1943</f>
        <v>4341.077621179975</v>
      </c>
      <c r="F1943" s="21">
        <f>IF(E1943&lt;0,0,MIN(COUNTIF(Labor!$C$59:$C$88,"&lt;="&amp;E1943),MAXBED_MES,TOTAL_BEDS-B1943-C1943))</f>
        <v>30</v>
      </c>
      <c r="G1943" s="21">
        <f>B1943+C1943+F1943</f>
        <v>56</v>
      </c>
      <c r="H1943" s="22">
        <f>IF(E1943&lt;0,-999999999,B1943*(PRICE_TOM-FERT_TOM)+C1943*(PRICE_CAR-FERT_CAR)+F1943*(PRICE_MES-FERT_MES)-(FARMER_SALARY+A1943*TEMP_COST)-FIXED_COSTS)</f>
        <v>-28534</v>
      </c>
    </row>
    <row r="1944">
      <c r="A1944" s="5" t="n">
        <v>4</v>
      </c>
      <c r="B1944" s="5" t="n">
        <v>7</v>
      </c>
      <c r="C1944" s="5" t="n">
        <v>20</v>
      </c>
      <c r="D1944" s="18">
        <f>SEASON_HRS_TOM*B1944*(1+DIM_TOM)^B1944+SEASON_HRS_CAR*C1944*(1+DIM_CAR)^C1944</f>
        <v>2210.8616371742373</v>
      </c>
      <c r="E1944" s="18">
        <f>(FARMER_FIELD_HRS+A1944*TEMP_HRS)-D1944</f>
        <v>4269.138362825763</v>
      </c>
      <c r="F1944" s="21">
        <f>IF(E1944&lt;0,0,MIN(COUNTIF(Labor!$C$59:$C$88,"&lt;="&amp;E1944),MAXBED_MES,TOTAL_BEDS-B1944-C1944))</f>
        <v>30</v>
      </c>
      <c r="G1944" s="21">
        <f>B1944+C1944+F1944</f>
        <v>57</v>
      </c>
      <c r="H1944" s="22">
        <f>IF(E1944&lt;0,-999999999,B1944*(PRICE_TOM-FERT_TOM)+C1944*(PRICE_CAR-FERT_CAR)+F1944*(PRICE_MES-FERT_MES)-(FARMER_SALARY+A1944*TEMP_COST)-FIXED_COSTS)</f>
        <v>-26880</v>
      </c>
    </row>
    <row r="1945">
      <c r="A1945" s="5" t="n">
        <v>4</v>
      </c>
      <c r="B1945" s="5" t="n">
        <v>8</v>
      </c>
      <c r="C1945" s="5" t="n">
        <v>0</v>
      </c>
      <c r="D1945" s="18">
        <f>SEASON_HRS_TOM*B1945*(1+DIM_TOM)^B1945+SEASON_HRS_CAR*C1945*(1+DIM_CAR)^C1945</f>
        <v>1543.383943200001</v>
      </c>
      <c r="E1945" s="18">
        <f>(FARMER_FIELD_HRS+A1945*TEMP_HRS)-D1945</f>
        <v>4936.616056799999</v>
      </c>
      <c r="F1945" s="21">
        <f>IF(E1945&lt;0,0,MIN(COUNTIF(Labor!$C$59:$C$88,"&lt;="&amp;E1945),MAXBED_MES,TOTAL_BEDS-B1945-C1945))</f>
        <v>30</v>
      </c>
      <c r="G1945" s="21">
        <f>B1945+C1945+F1945</f>
        <v>38</v>
      </c>
      <c r="H1945" s="22">
        <f>IF(E1945&lt;0,-999999999,B1945*(PRICE_TOM-FERT_TOM)+C1945*(PRICE_CAR-FERT_CAR)+F1945*(PRICE_MES-FERT_MES)-(FARMER_SALARY+A1945*TEMP_COST)-FIXED_COSTS)</f>
        <v>-52040</v>
      </c>
    </row>
    <row r="1946">
      <c r="A1946" s="5" t="n">
        <v>4</v>
      </c>
      <c r="B1946" s="5" t="n">
        <v>8</v>
      </c>
      <c r="C1946" s="5" t="n">
        <v>1</v>
      </c>
      <c r="D1946" s="18">
        <f>SEASON_HRS_TOM*B1946*(1+DIM_TOM)^B1946+SEASON_HRS_CAR*C1946*(1+DIM_CAR)^C1946</f>
        <v>1574.133943200001</v>
      </c>
      <c r="E1946" s="18">
        <f>(FARMER_FIELD_HRS+A1946*TEMP_HRS)-D1946</f>
        <v>4905.866056799999</v>
      </c>
      <c r="F1946" s="21">
        <f>IF(E1946&lt;0,0,MIN(COUNTIF(Labor!$C$59:$C$88,"&lt;="&amp;E1946),MAXBED_MES,TOTAL_BEDS-B1946-C1946))</f>
        <v>30</v>
      </c>
      <c r="G1946" s="21">
        <f>B1946+C1946+F1946</f>
        <v>39</v>
      </c>
      <c r="H1946" s="22">
        <f>IF(E1946&lt;0,-999999999,B1946*(PRICE_TOM-FERT_TOM)+C1946*(PRICE_CAR-FERT_CAR)+F1946*(PRICE_MES-FERT_MES)-(FARMER_SALARY+A1946*TEMP_COST)-FIXED_COSTS)</f>
        <v>-50386</v>
      </c>
    </row>
    <row r="1947">
      <c r="A1947" s="5" t="n">
        <v>4</v>
      </c>
      <c r="B1947" s="5" t="n">
        <v>8</v>
      </c>
      <c r="C1947" s="5" t="n">
        <v>2</v>
      </c>
      <c r="D1947" s="18">
        <f>SEASON_HRS_TOM*B1947*(1+DIM_TOM)^B1947+SEASON_HRS_CAR*C1947*(1+DIM_CAR)^C1947</f>
        <v>1606.421443200001</v>
      </c>
      <c r="E1947" s="18">
        <f>(FARMER_FIELD_HRS+A1947*TEMP_HRS)-D1947</f>
        <v>4873.578556799999</v>
      </c>
      <c r="F1947" s="21">
        <f>IF(E1947&lt;0,0,MIN(COUNTIF(Labor!$C$59:$C$88,"&lt;="&amp;E1947),MAXBED_MES,TOTAL_BEDS-B1947-C1947))</f>
        <v>30</v>
      </c>
      <c r="G1947" s="21">
        <f>B1947+C1947+F1947</f>
        <v>40</v>
      </c>
      <c r="H1947" s="22">
        <f>IF(E1947&lt;0,-999999999,B1947*(PRICE_TOM-FERT_TOM)+C1947*(PRICE_CAR-FERT_CAR)+F1947*(PRICE_MES-FERT_MES)-(FARMER_SALARY+A1947*TEMP_COST)-FIXED_COSTS)</f>
        <v>-48732</v>
      </c>
    </row>
    <row r="1948">
      <c r="A1948" s="5" t="n">
        <v>4</v>
      </c>
      <c r="B1948" s="5" t="n">
        <v>8</v>
      </c>
      <c r="C1948" s="5" t="n">
        <v>3</v>
      </c>
      <c r="D1948" s="18">
        <f>SEASON_HRS_TOM*B1948*(1+DIM_TOM)^B1948+SEASON_HRS_CAR*C1948*(1+DIM_CAR)^C1948</f>
        <v>1640.304099450001</v>
      </c>
      <c r="E1948" s="18">
        <f>(FARMER_FIELD_HRS+A1948*TEMP_HRS)-D1948</f>
        <v>4839.695900549999</v>
      </c>
      <c r="F1948" s="21">
        <f>IF(E1948&lt;0,0,MIN(COUNTIF(Labor!$C$59:$C$88,"&lt;="&amp;E1948),MAXBED_MES,TOTAL_BEDS-B1948-C1948))</f>
        <v>30</v>
      </c>
      <c r="G1948" s="21">
        <f>B1948+C1948+F1948</f>
        <v>41</v>
      </c>
      <c r="H1948" s="22">
        <f>IF(E1948&lt;0,-999999999,B1948*(PRICE_TOM-FERT_TOM)+C1948*(PRICE_CAR-FERT_CAR)+F1948*(PRICE_MES-FERT_MES)-(FARMER_SALARY+A1948*TEMP_COST)-FIXED_COSTS)</f>
        <v>-47078</v>
      </c>
    </row>
    <row r="1949">
      <c r="A1949" s="5" t="n">
        <v>4</v>
      </c>
      <c r="B1949" s="5" t="n">
        <v>8</v>
      </c>
      <c r="C1949" s="5" t="n">
        <v>4</v>
      </c>
      <c r="D1949" s="18">
        <f>SEASON_HRS_TOM*B1949*(1+DIM_TOM)^B1949+SEASON_HRS_CAR*C1949*(1+DIM_CAR)^C1949</f>
        <v>1675.841490075001</v>
      </c>
      <c r="E1949" s="18">
        <f>(FARMER_FIELD_HRS+A1949*TEMP_HRS)-D1949</f>
        <v>4804.158509924999</v>
      </c>
      <c r="F1949" s="21">
        <f>IF(E1949&lt;0,0,MIN(COUNTIF(Labor!$C$59:$C$88,"&lt;="&amp;E1949),MAXBED_MES,TOTAL_BEDS-B1949-C1949))</f>
        <v>30</v>
      </c>
      <c r="G1949" s="21">
        <f>B1949+C1949+F1949</f>
        <v>42</v>
      </c>
      <c r="H1949" s="22">
        <f>IF(E1949&lt;0,-999999999,B1949*(PRICE_TOM-FERT_TOM)+C1949*(PRICE_CAR-FERT_CAR)+F1949*(PRICE_MES-FERT_MES)-(FARMER_SALARY+A1949*TEMP_COST)-FIXED_COSTS)</f>
        <v>-45424</v>
      </c>
    </row>
    <row r="1950">
      <c r="A1950" s="5" t="n">
        <v>4</v>
      </c>
      <c r="B1950" s="5" t="n">
        <v>8</v>
      </c>
      <c r="C1950" s="5" t="n">
        <v>5</v>
      </c>
      <c r="D1950" s="18">
        <f>SEASON_HRS_TOM*B1950*(1+DIM_TOM)^B1950+SEASON_HRS_CAR*C1950*(1+DIM_CAR)^C1950</f>
        <v>1713.0951751335947</v>
      </c>
      <c r="E1950" s="18">
        <f>(FARMER_FIELD_HRS+A1950*TEMP_HRS)-D1950</f>
        <v>4766.904824866406</v>
      </c>
      <c r="F1950" s="21">
        <f>IF(E1950&lt;0,0,MIN(COUNTIF(Labor!$C$59:$C$88,"&lt;="&amp;E1950),MAXBED_MES,TOTAL_BEDS-B1950-C1950))</f>
        <v>30</v>
      </c>
      <c r="G1950" s="21">
        <f>B1950+C1950+F1950</f>
        <v>43</v>
      </c>
      <c r="H1950" s="22">
        <f>IF(E1950&lt;0,-999999999,B1950*(PRICE_TOM-FERT_TOM)+C1950*(PRICE_CAR-FERT_CAR)+F1950*(PRICE_MES-FERT_MES)-(FARMER_SALARY+A1950*TEMP_COST)-FIXED_COSTS)</f>
        <v>-43770</v>
      </c>
    </row>
    <row r="1951">
      <c r="A1951" s="5" t="n">
        <v>4</v>
      </c>
      <c r="B1951" s="5" t="n">
        <v>8</v>
      </c>
      <c r="C1951" s="5" t="n">
        <v>6</v>
      </c>
      <c r="D1951" s="18">
        <f>SEASON_HRS_TOM*B1951*(1+DIM_TOM)^B1951+SEASON_HRS_CAR*C1951*(1+DIM_CAR)^C1951</f>
        <v>1752.1287584783213</v>
      </c>
      <c r="E1951" s="18">
        <f>(FARMER_FIELD_HRS+A1951*TEMP_HRS)-D1951</f>
        <v>4727.871241521679</v>
      </c>
      <c r="F1951" s="21">
        <f>IF(E1951&lt;0,0,MIN(COUNTIF(Labor!$C$59:$C$88,"&lt;="&amp;E1951),MAXBED_MES,TOTAL_BEDS-B1951-C1951))</f>
        <v>30</v>
      </c>
      <c r="G1951" s="21">
        <f>B1951+C1951+F1951</f>
        <v>44</v>
      </c>
      <c r="H1951" s="22">
        <f>IF(E1951&lt;0,-999999999,B1951*(PRICE_TOM-FERT_TOM)+C1951*(PRICE_CAR-FERT_CAR)+F1951*(PRICE_MES-FERT_MES)-(FARMER_SALARY+A1951*TEMP_COST)-FIXED_COSTS)</f>
        <v>-42116</v>
      </c>
    </row>
    <row r="1952">
      <c r="A1952" s="5" t="n">
        <v>4</v>
      </c>
      <c r="B1952" s="5" t="n">
        <v>8</v>
      </c>
      <c r="C1952" s="5" t="n">
        <v>7</v>
      </c>
      <c r="D1952" s="18">
        <f>SEASON_HRS_TOM*B1952*(1+DIM_TOM)^B1952+SEASON_HRS_CAR*C1952*(1+DIM_CAR)^C1952</f>
        <v>1793.0079514703257</v>
      </c>
      <c r="E1952" s="18">
        <f>(FARMER_FIELD_HRS+A1952*TEMP_HRS)-D1952</f>
        <v>4686.992048529674</v>
      </c>
      <c r="F1952" s="21">
        <f>IF(E1952&lt;0,0,MIN(COUNTIF(Labor!$C$59:$C$88,"&lt;="&amp;E1952),MAXBED_MES,TOTAL_BEDS-B1952-C1952))</f>
        <v>30</v>
      </c>
      <c r="G1952" s="21">
        <f>B1952+C1952+F1952</f>
        <v>45</v>
      </c>
      <c r="H1952" s="22">
        <f>IF(E1952&lt;0,-999999999,B1952*(PRICE_TOM-FERT_TOM)+C1952*(PRICE_CAR-FERT_CAR)+F1952*(PRICE_MES-FERT_MES)-(FARMER_SALARY+A1952*TEMP_COST)-FIXED_COSTS)</f>
        <v>-40462</v>
      </c>
    </row>
    <row r="1953">
      <c r="A1953" s="5" t="n">
        <v>4</v>
      </c>
      <c r="B1953" s="5" t="n">
        <v>8</v>
      </c>
      <c r="C1953" s="5" t="n">
        <v>8</v>
      </c>
      <c r="D1953" s="18">
        <f>SEASON_HRS_TOM*B1953*(1+DIM_TOM)^B1953+SEASON_HRS_CAR*C1953*(1+DIM_CAR)^C1953</f>
        <v>1835.8006386023812</v>
      </c>
      <c r="E1953" s="18">
        <f>(FARMER_FIELD_HRS+A1953*TEMP_HRS)-D1953</f>
        <v>4644.199361397619</v>
      </c>
      <c r="F1953" s="21">
        <f>IF(E1953&lt;0,0,MIN(COUNTIF(Labor!$C$59:$C$88,"&lt;="&amp;E1953),MAXBED_MES,TOTAL_BEDS-B1953-C1953))</f>
        <v>30</v>
      </c>
      <c r="G1953" s="21">
        <f>B1953+C1953+F1953</f>
        <v>46</v>
      </c>
      <c r="H1953" s="22">
        <f>IF(E1953&lt;0,-999999999,B1953*(PRICE_TOM-FERT_TOM)+C1953*(PRICE_CAR-FERT_CAR)+F1953*(PRICE_MES-FERT_MES)-(FARMER_SALARY+A1953*TEMP_COST)-FIXED_COSTS)</f>
        <v>-38808</v>
      </c>
    </row>
    <row r="1954">
      <c r="A1954" s="5" t="n">
        <v>4</v>
      </c>
      <c r="B1954" s="5" t="n">
        <v>8</v>
      </c>
      <c r="C1954" s="5" t="n">
        <v>9</v>
      </c>
      <c r="D1954" s="18">
        <f>SEASON_HRS_TOM*B1954*(1+DIM_TOM)^B1954+SEASON_HRS_CAR*C1954*(1+DIM_CAR)^C1954</f>
        <v>1880.5769450858706</v>
      </c>
      <c r="E1954" s="18">
        <f>(FARMER_FIELD_HRS+A1954*TEMP_HRS)-D1954</f>
        <v>4599.423054914129</v>
      </c>
      <c r="F1954" s="21">
        <f>IF(E1954&lt;0,0,MIN(COUNTIF(Labor!$C$59:$C$88,"&lt;="&amp;E1954),MAXBED_MES,TOTAL_BEDS-B1954-C1954))</f>
        <v>30</v>
      </c>
      <c r="G1954" s="21">
        <f>B1954+C1954+F1954</f>
        <v>47</v>
      </c>
      <c r="H1954" s="22">
        <f>IF(E1954&lt;0,-999999999,B1954*(PRICE_TOM-FERT_TOM)+C1954*(PRICE_CAR-FERT_CAR)+F1954*(PRICE_MES-FERT_MES)-(FARMER_SALARY+A1954*TEMP_COST)-FIXED_COSTS)</f>
        <v>-37154</v>
      </c>
    </row>
    <row r="1955">
      <c r="A1955" s="5" t="n">
        <v>4</v>
      </c>
      <c r="B1955" s="5" t="n">
        <v>8</v>
      </c>
      <c r="C1955" s="5" t="n">
        <v>10</v>
      </c>
      <c r="D1955" s="18">
        <f>SEASON_HRS_TOM*B1955*(1+DIM_TOM)^B1955+SEASON_HRS_CAR*C1955*(1+DIM_CAR)^C1955</f>
        <v>1927.409306458908</v>
      </c>
      <c r="E1955" s="18">
        <f>(FARMER_FIELD_HRS+A1955*TEMP_HRS)-D1955</f>
        <v>4552.590693541092</v>
      </c>
      <c r="F1955" s="21">
        <f>IF(E1955&lt;0,0,MIN(COUNTIF(Labor!$C$59:$C$88,"&lt;="&amp;E1955),MAXBED_MES,TOTAL_BEDS-B1955-C1955))</f>
        <v>30</v>
      </c>
      <c r="G1955" s="21">
        <f>B1955+C1955+F1955</f>
        <v>48</v>
      </c>
      <c r="H1955" s="22">
        <f>IF(E1955&lt;0,-999999999,B1955*(PRICE_TOM-FERT_TOM)+C1955*(PRICE_CAR-FERT_CAR)+F1955*(PRICE_MES-FERT_MES)-(FARMER_SALARY+A1955*TEMP_COST)-FIXED_COSTS)</f>
        <v>-35500</v>
      </c>
    </row>
    <row r="1956">
      <c r="A1956" s="5" t="n">
        <v>4</v>
      </c>
      <c r="B1956" s="5" t="n">
        <v>8</v>
      </c>
      <c r="C1956" s="5" t="n">
        <v>11</v>
      </c>
      <c r="D1956" s="18">
        <f>SEASON_HRS_TOM*B1956*(1+DIM_TOM)^B1956+SEASON_HRS_CAR*C1956*(1+DIM_CAR)^C1956</f>
        <v>1976.3725402744187</v>
      </c>
      <c r="E1956" s="18">
        <f>(FARMER_FIELD_HRS+A1956*TEMP_HRS)-D1956</f>
        <v>4503.6274597255815</v>
      </c>
      <c r="F1956" s="21">
        <f>IF(E1956&lt;0,0,MIN(COUNTIF(Labor!$C$59:$C$88,"&lt;="&amp;E1956),MAXBED_MES,TOTAL_BEDS-B1956-C1956))</f>
        <v>30</v>
      </c>
      <c r="G1956" s="21">
        <f>B1956+C1956+F1956</f>
        <v>49</v>
      </c>
      <c r="H1956" s="22">
        <f>IF(E1956&lt;0,-999999999,B1956*(PRICE_TOM-FERT_TOM)+C1956*(PRICE_CAR-FERT_CAR)+F1956*(PRICE_MES-FERT_MES)-(FARMER_SALARY+A1956*TEMP_COST)-FIXED_COSTS)</f>
        <v>-33846</v>
      </c>
    </row>
    <row r="1957">
      <c r="A1957" s="5" t="n">
        <v>4</v>
      </c>
      <c r="B1957" s="5" t="n">
        <v>8</v>
      </c>
      <c r="C1957" s="5" t="n">
        <v>12</v>
      </c>
      <c r="D1957" s="18">
        <f>SEASON_HRS_TOM*B1957*(1+DIM_TOM)^B1957+SEASON_HRS_CAR*C1957*(1+DIM_CAR)^C1957</f>
        <v>2027.543919928668</v>
      </c>
      <c r="E1957" s="18">
        <f>(FARMER_FIELD_HRS+A1957*TEMP_HRS)-D1957</f>
        <v>4452.456080071332</v>
      </c>
      <c r="F1957" s="21">
        <f>IF(E1957&lt;0,0,MIN(COUNTIF(Labor!$C$59:$C$88,"&lt;="&amp;E1957),MAXBED_MES,TOTAL_BEDS-B1957-C1957))</f>
        <v>30</v>
      </c>
      <c r="G1957" s="21">
        <f>B1957+C1957+F1957</f>
        <v>50</v>
      </c>
      <c r="H1957" s="22">
        <f>IF(E1957&lt;0,-999999999,B1957*(PRICE_TOM-FERT_TOM)+C1957*(PRICE_CAR-FERT_CAR)+F1957*(PRICE_MES-FERT_MES)-(FARMER_SALARY+A1957*TEMP_COST)-FIXED_COSTS)</f>
        <v>-32192</v>
      </c>
    </row>
    <row r="1958">
      <c r="A1958" s="5" t="n">
        <v>4</v>
      </c>
      <c r="B1958" s="5" t="n">
        <v>8</v>
      </c>
      <c r="C1958" s="5" t="n">
        <v>13</v>
      </c>
      <c r="D1958" s="18">
        <f>SEASON_HRS_TOM*B1958*(1+DIM_TOM)^B1958+SEASON_HRS_CAR*C1958*(1+DIM_CAR)^C1958</f>
        <v>2081.003250692458</v>
      </c>
      <c r="E1958" s="18">
        <f>(FARMER_FIELD_HRS+A1958*TEMP_HRS)-D1958</f>
        <v>4398.996749307542</v>
      </c>
      <c r="F1958" s="21">
        <f>IF(E1958&lt;0,0,MIN(COUNTIF(Labor!$C$59:$C$88,"&lt;="&amp;E1958),MAXBED_MES,TOTAL_BEDS-B1958-C1958))</f>
        <v>30</v>
      </c>
      <c r="G1958" s="21">
        <f>B1958+C1958+F1958</f>
        <v>51</v>
      </c>
      <c r="H1958" s="22">
        <f>IF(E1958&lt;0,-999999999,B1958*(PRICE_TOM-FERT_TOM)+C1958*(PRICE_CAR-FERT_CAR)+F1958*(PRICE_MES-FERT_MES)-(FARMER_SALARY+A1958*TEMP_COST)-FIXED_COSTS)</f>
        <v>-30538</v>
      </c>
    </row>
    <row r="1959">
      <c r="A1959" s="5" t="n">
        <v>4</v>
      </c>
      <c r="B1959" s="5" t="n">
        <v>8</v>
      </c>
      <c r="C1959" s="5" t="n">
        <v>14</v>
      </c>
      <c r="D1959" s="18">
        <f>SEASON_HRS_TOM*B1959*(1+DIM_TOM)^B1959+SEASON_HRS_CAR*C1959*(1+DIM_CAR)^C1959</f>
        <v>2136.832948008983</v>
      </c>
      <c r="E1959" s="18">
        <f>(FARMER_FIELD_HRS+A1959*TEMP_HRS)-D1959</f>
        <v>4343.167051991017</v>
      </c>
      <c r="F1959" s="21">
        <f>IF(E1959&lt;0,0,MIN(COUNTIF(Labor!$C$59:$C$88,"&lt;="&amp;E1959),MAXBED_MES,TOTAL_BEDS-B1959-C1959))</f>
        <v>30</v>
      </c>
      <c r="G1959" s="21">
        <f>B1959+C1959+F1959</f>
        <v>52</v>
      </c>
      <c r="H1959" s="22">
        <f>IF(E1959&lt;0,-999999999,B1959*(PRICE_TOM-FERT_TOM)+C1959*(PRICE_CAR-FERT_CAR)+F1959*(PRICE_MES-FERT_MES)-(FARMER_SALARY+A1959*TEMP_COST)-FIXED_COSTS)</f>
        <v>-28884</v>
      </c>
    </row>
    <row r="1960">
      <c r="A1960" s="5" t="n">
        <v>4</v>
      </c>
      <c r="B1960" s="5" t="n">
        <v>8</v>
      </c>
      <c r="C1960" s="5" t="n">
        <v>15</v>
      </c>
      <c r="D1960" s="18">
        <f>SEASON_HRS_TOM*B1960*(1+DIM_TOM)^B1960+SEASON_HRS_CAR*C1960*(1+DIM_CAR)^C1960</f>
        <v>2195.1181181241504</v>
      </c>
      <c r="E1960" s="18">
        <f>(FARMER_FIELD_HRS+A1960*TEMP_HRS)-D1960</f>
        <v>4284.88188187585</v>
      </c>
      <c r="F1960" s="21">
        <f>IF(E1960&lt;0,0,MIN(COUNTIF(Labor!$C$59:$C$88,"&lt;="&amp;E1960),MAXBED_MES,TOTAL_BEDS-B1960-C1960))</f>
        <v>30</v>
      </c>
      <c r="G1960" s="21">
        <f>B1960+C1960+F1960</f>
        <v>53</v>
      </c>
      <c r="H1960" s="22">
        <f>IF(E1960&lt;0,-999999999,B1960*(PRICE_TOM-FERT_TOM)+C1960*(PRICE_CAR-FERT_CAR)+F1960*(PRICE_MES-FERT_MES)-(FARMER_SALARY+A1960*TEMP_COST)-FIXED_COSTS)</f>
        <v>-27230</v>
      </c>
    </row>
    <row r="1961">
      <c r="A1961" s="5" t="n">
        <v>4</v>
      </c>
      <c r="B1961" s="5" t="n">
        <v>8</v>
      </c>
      <c r="C1961" s="5" t="n">
        <v>16</v>
      </c>
      <c r="D1961" s="18">
        <f>SEASON_HRS_TOM*B1961*(1+DIM_TOM)^B1961+SEASON_HRS_CAR*C1961*(1+DIM_CAR)^C1961</f>
        <v>2255.946641117071</v>
      </c>
      <c r="E1961" s="18">
        <f>(FARMER_FIELD_HRS+A1961*TEMP_HRS)-D1961</f>
        <v>4224.053358882929</v>
      </c>
      <c r="F1961" s="21">
        <f>IF(E1961&lt;0,0,MIN(COUNTIF(Labor!$C$59:$C$88,"&lt;="&amp;E1961),MAXBED_MES,TOTAL_BEDS-B1961-C1961))</f>
        <v>30</v>
      </c>
      <c r="G1961" s="21">
        <f>B1961+C1961+F1961</f>
        <v>54</v>
      </c>
      <c r="H1961" s="22">
        <f>IF(E1961&lt;0,-999999999,B1961*(PRICE_TOM-FERT_TOM)+C1961*(PRICE_CAR-FERT_CAR)+F1961*(PRICE_MES-FERT_MES)-(FARMER_SALARY+A1961*TEMP_COST)-FIXED_COSTS)</f>
        <v>-25576</v>
      </c>
    </row>
    <row r="1962">
      <c r="A1962" s="5" t="n">
        <v>4</v>
      </c>
      <c r="B1962" s="5" t="n">
        <v>8</v>
      </c>
      <c r="C1962" s="5" t="n">
        <v>17</v>
      </c>
      <c r="D1962" s="18">
        <f>SEASON_HRS_TOM*B1962*(1+DIM_TOM)^B1962+SEASON_HRS_CAR*C1962*(1+DIM_CAR)^C1962</f>
        <v>2319.40925640031</v>
      </c>
      <c r="E1962" s="18">
        <f>(FARMER_FIELD_HRS+A1962*TEMP_HRS)-D1962</f>
        <v>4160.5907435996905</v>
      </c>
      <c r="F1962" s="21">
        <f>IF(E1962&lt;0,0,MIN(COUNTIF(Labor!$C$59:$C$88,"&lt;="&amp;E1962),MAXBED_MES,TOTAL_BEDS-B1962-C1962))</f>
        <v>30</v>
      </c>
      <c r="G1962" s="21">
        <f>B1962+C1962+F1962</f>
        <v>55</v>
      </c>
      <c r="H1962" s="22">
        <f>IF(E1962&lt;0,-999999999,B1962*(PRICE_TOM-FERT_TOM)+C1962*(PRICE_CAR-FERT_CAR)+F1962*(PRICE_MES-FERT_MES)-(FARMER_SALARY+A1962*TEMP_COST)-FIXED_COSTS)</f>
        <v>-23922</v>
      </c>
    </row>
    <row r="1963">
      <c r="A1963" s="5" t="n">
        <v>4</v>
      </c>
      <c r="B1963" s="5" t="n">
        <v>8</v>
      </c>
      <c r="C1963" s="5" t="n">
        <v>18</v>
      </c>
      <c r="D1963" s="18">
        <f>SEASON_HRS_TOM*B1963*(1+DIM_TOM)^B1963+SEASON_HRS_CAR*C1963*(1+DIM_CAR)^C1963</f>
        <v>2385.5996507615127</v>
      </c>
      <c r="E1963" s="18">
        <f>(FARMER_FIELD_HRS+A1963*TEMP_HRS)-D1963</f>
        <v>4094.4003492384873</v>
      </c>
      <c r="F1963" s="21">
        <f>IF(E1963&lt;0,0,MIN(COUNTIF(Labor!$C$59:$C$88,"&lt;="&amp;E1963),MAXBED_MES,TOTAL_BEDS-B1963-C1963))</f>
        <v>30</v>
      </c>
      <c r="G1963" s="21">
        <f>B1963+C1963+F1963</f>
        <v>56</v>
      </c>
      <c r="H1963" s="22">
        <f>IF(E1963&lt;0,-999999999,B1963*(PRICE_TOM-FERT_TOM)+C1963*(PRICE_CAR-FERT_CAR)+F1963*(PRICE_MES-FERT_MES)-(FARMER_SALARY+A1963*TEMP_COST)-FIXED_COSTS)</f>
        <v>-22268</v>
      </c>
    </row>
    <row r="1964">
      <c r="A1964" s="5" t="n">
        <v>4</v>
      </c>
      <c r="B1964" s="5" t="n">
        <v>8</v>
      </c>
      <c r="C1964" s="5" t="n">
        <v>19</v>
      </c>
      <c r="D1964" s="18">
        <f>SEASON_HRS_TOM*B1964*(1+DIM_TOM)^B1964+SEASON_HRS_CAR*C1964*(1+DIM_CAR)^C1964</f>
        <v>2454.614549020025</v>
      </c>
      <c r="E1964" s="18">
        <f>(FARMER_FIELD_HRS+A1964*TEMP_HRS)-D1964</f>
        <v>4025.385450979975</v>
      </c>
      <c r="F1964" s="21">
        <f>IF(E1964&lt;0,0,MIN(COUNTIF(Labor!$C$59:$C$88,"&lt;="&amp;E1964),MAXBED_MES,TOTAL_BEDS-B1964-C1964))</f>
        <v>30</v>
      </c>
      <c r="G1964" s="21">
        <f>B1964+C1964+F1964</f>
        <v>57</v>
      </c>
      <c r="H1964" s="22">
        <f>IF(E1964&lt;0,-999999999,B1964*(PRICE_TOM-FERT_TOM)+C1964*(PRICE_CAR-FERT_CAR)+F1964*(PRICE_MES-FERT_MES)-(FARMER_SALARY+A1964*TEMP_COST)-FIXED_COSTS)</f>
        <v>-20614</v>
      </c>
    </row>
    <row r="1965">
      <c r="A1965" s="5" t="n">
        <v>4</v>
      </c>
      <c r="B1965" s="5" t="n">
        <v>8</v>
      </c>
      <c r="C1965" s="5" t="n">
        <v>20</v>
      </c>
      <c r="D1965" s="18">
        <f>SEASON_HRS_TOM*B1965*(1+DIM_TOM)^B1965+SEASON_HRS_CAR*C1965*(1+DIM_CAR)^C1965</f>
        <v>2526.5538073742377</v>
      </c>
      <c r="E1965" s="18">
        <f>(FARMER_FIELD_HRS+A1965*TEMP_HRS)-D1965</f>
        <v>3953.4461926257623</v>
      </c>
      <c r="F1965" s="21">
        <f>IF(E1965&lt;0,0,MIN(COUNTIF(Labor!$C$59:$C$88,"&lt;="&amp;E1965),MAXBED_MES,TOTAL_BEDS-B1965-C1965))</f>
        <v>30</v>
      </c>
      <c r="G1965" s="21">
        <f>B1965+C1965+F1965</f>
        <v>58</v>
      </c>
      <c r="H1965" s="22">
        <f>IF(E1965&lt;0,-999999999,B1965*(PRICE_TOM-FERT_TOM)+C1965*(PRICE_CAR-FERT_CAR)+F1965*(PRICE_MES-FERT_MES)-(FARMER_SALARY+A1965*TEMP_COST)-FIXED_COSTS)</f>
        <v>-18960</v>
      </c>
    </row>
    <row r="1966">
      <c r="A1966" s="5" t="n">
        <v>4</v>
      </c>
      <c r="B1966" s="5" t="n">
        <v>9</v>
      </c>
      <c r="C1966" s="5" t="n">
        <v>0</v>
      </c>
      <c r="D1966" s="18">
        <f>SEASON_HRS_TOM*B1966*(1+DIM_TOM)^B1966+SEASON_HRS_CAR*C1966*(1+DIM_CAR)^C1966</f>
        <v>1909.9376297100016</v>
      </c>
      <c r="E1966" s="18">
        <f>(FARMER_FIELD_HRS+A1966*TEMP_HRS)-D1966</f>
        <v>4570.062370289998</v>
      </c>
      <c r="F1966" s="21">
        <f>IF(E1966&lt;0,0,MIN(COUNTIF(Labor!$C$59:$C$88,"&lt;="&amp;E1966),MAXBED_MES,TOTAL_BEDS-B1966-C1966))</f>
        <v>30</v>
      </c>
      <c r="G1966" s="21">
        <f>B1966+C1966+F1966</f>
        <v>39</v>
      </c>
      <c r="H1966" s="22">
        <f>IF(E1966&lt;0,-999999999,B1966*(PRICE_TOM-FERT_TOM)+C1966*(PRICE_CAR-FERT_CAR)+F1966*(PRICE_MES-FERT_MES)-(FARMER_SALARY+A1966*TEMP_COST)-FIXED_COSTS)</f>
        <v>-44120</v>
      </c>
    </row>
    <row r="1967">
      <c r="A1967" s="5" t="n">
        <v>4</v>
      </c>
      <c r="B1967" s="5" t="n">
        <v>9</v>
      </c>
      <c r="C1967" s="5" t="n">
        <v>1</v>
      </c>
      <c r="D1967" s="18">
        <f>SEASON_HRS_TOM*B1967*(1+DIM_TOM)^B1967+SEASON_HRS_CAR*C1967*(1+DIM_CAR)^C1967</f>
        <v>1940.6876297100016</v>
      </c>
      <c r="E1967" s="18">
        <f>(FARMER_FIELD_HRS+A1967*TEMP_HRS)-D1967</f>
        <v>4539.312370289998</v>
      </c>
      <c r="F1967" s="21">
        <f>IF(E1967&lt;0,0,MIN(COUNTIF(Labor!$C$59:$C$88,"&lt;="&amp;E1967),MAXBED_MES,TOTAL_BEDS-B1967-C1967))</f>
        <v>30</v>
      </c>
      <c r="G1967" s="21">
        <f>B1967+C1967+F1967</f>
        <v>40</v>
      </c>
      <c r="H1967" s="22">
        <f>IF(E1967&lt;0,-999999999,B1967*(PRICE_TOM-FERT_TOM)+C1967*(PRICE_CAR-FERT_CAR)+F1967*(PRICE_MES-FERT_MES)-(FARMER_SALARY+A1967*TEMP_COST)-FIXED_COSTS)</f>
        <v>-42466</v>
      </c>
    </row>
    <row r="1968">
      <c r="A1968" s="5" t="n">
        <v>4</v>
      </c>
      <c r="B1968" s="5" t="n">
        <v>9</v>
      </c>
      <c r="C1968" s="5" t="n">
        <v>2</v>
      </c>
      <c r="D1968" s="18">
        <f>SEASON_HRS_TOM*B1968*(1+DIM_TOM)^B1968+SEASON_HRS_CAR*C1968*(1+DIM_CAR)^C1968</f>
        <v>1972.9751297100015</v>
      </c>
      <c r="E1968" s="18">
        <f>(FARMER_FIELD_HRS+A1968*TEMP_HRS)-D1968</f>
        <v>4507.024870289999</v>
      </c>
      <c r="F1968" s="21">
        <f>IF(E1968&lt;0,0,MIN(COUNTIF(Labor!$C$59:$C$88,"&lt;="&amp;E1968),MAXBED_MES,TOTAL_BEDS-B1968-C1968))</f>
        <v>30</v>
      </c>
      <c r="G1968" s="21">
        <f>B1968+C1968+F1968</f>
        <v>41</v>
      </c>
      <c r="H1968" s="22">
        <f>IF(E1968&lt;0,-999999999,B1968*(PRICE_TOM-FERT_TOM)+C1968*(PRICE_CAR-FERT_CAR)+F1968*(PRICE_MES-FERT_MES)-(FARMER_SALARY+A1968*TEMP_COST)-FIXED_COSTS)</f>
        <v>-40812</v>
      </c>
    </row>
    <row r="1969">
      <c r="A1969" s="5" t="n">
        <v>4</v>
      </c>
      <c r="B1969" s="5" t="n">
        <v>9</v>
      </c>
      <c r="C1969" s="5" t="n">
        <v>3</v>
      </c>
      <c r="D1969" s="18">
        <f>SEASON_HRS_TOM*B1969*(1+DIM_TOM)^B1969+SEASON_HRS_CAR*C1969*(1+DIM_CAR)^C1969</f>
        <v>2006.8577859600016</v>
      </c>
      <c r="E1969" s="18">
        <f>(FARMER_FIELD_HRS+A1969*TEMP_HRS)-D1969</f>
        <v>4473.142214039998</v>
      </c>
      <c r="F1969" s="21">
        <f>IF(E1969&lt;0,0,MIN(COUNTIF(Labor!$C$59:$C$88,"&lt;="&amp;E1969),MAXBED_MES,TOTAL_BEDS-B1969-C1969))</f>
        <v>30</v>
      </c>
      <c r="G1969" s="21">
        <f>B1969+C1969+F1969</f>
        <v>42</v>
      </c>
      <c r="H1969" s="22">
        <f>IF(E1969&lt;0,-999999999,B1969*(PRICE_TOM-FERT_TOM)+C1969*(PRICE_CAR-FERT_CAR)+F1969*(PRICE_MES-FERT_MES)-(FARMER_SALARY+A1969*TEMP_COST)-FIXED_COSTS)</f>
        <v>-39158</v>
      </c>
    </row>
    <row r="1970">
      <c r="A1970" s="5" t="n">
        <v>4</v>
      </c>
      <c r="B1970" s="5" t="n">
        <v>9</v>
      </c>
      <c r="C1970" s="5" t="n">
        <v>4</v>
      </c>
      <c r="D1970" s="18">
        <f>SEASON_HRS_TOM*B1970*(1+DIM_TOM)^B1970+SEASON_HRS_CAR*C1970*(1+DIM_CAR)^C1970</f>
        <v>2042.3951765850015</v>
      </c>
      <c r="E1970" s="18">
        <f>(FARMER_FIELD_HRS+A1970*TEMP_HRS)-D1970</f>
        <v>4437.6048234149985</v>
      </c>
      <c r="F1970" s="21">
        <f>IF(E1970&lt;0,0,MIN(COUNTIF(Labor!$C$59:$C$88,"&lt;="&amp;E1970),MAXBED_MES,TOTAL_BEDS-B1970-C1970))</f>
        <v>30</v>
      </c>
      <c r="G1970" s="21">
        <f>B1970+C1970+F1970</f>
        <v>43</v>
      </c>
      <c r="H1970" s="22">
        <f>IF(E1970&lt;0,-999999999,B1970*(PRICE_TOM-FERT_TOM)+C1970*(PRICE_CAR-FERT_CAR)+F1970*(PRICE_MES-FERT_MES)-(FARMER_SALARY+A1970*TEMP_COST)-FIXED_COSTS)</f>
        <v>-37504</v>
      </c>
    </row>
    <row r="1971">
      <c r="A1971" s="5" t="n">
        <v>4</v>
      </c>
      <c r="B1971" s="5" t="n">
        <v>9</v>
      </c>
      <c r="C1971" s="5" t="n">
        <v>5</v>
      </c>
      <c r="D1971" s="18">
        <f>SEASON_HRS_TOM*B1971*(1+DIM_TOM)^B1971+SEASON_HRS_CAR*C1971*(1+DIM_CAR)^C1971</f>
        <v>2079.6488616435954</v>
      </c>
      <c r="E1971" s="18">
        <f>(FARMER_FIELD_HRS+A1971*TEMP_HRS)-D1971</f>
        <v>4400.351138356405</v>
      </c>
      <c r="F1971" s="21">
        <f>IF(E1971&lt;0,0,MIN(COUNTIF(Labor!$C$59:$C$88,"&lt;="&amp;E1971),MAXBED_MES,TOTAL_BEDS-B1971-C1971))</f>
        <v>30</v>
      </c>
      <c r="G1971" s="21">
        <f>B1971+C1971+F1971</f>
        <v>44</v>
      </c>
      <c r="H1971" s="22">
        <f>IF(E1971&lt;0,-999999999,B1971*(PRICE_TOM-FERT_TOM)+C1971*(PRICE_CAR-FERT_CAR)+F1971*(PRICE_MES-FERT_MES)-(FARMER_SALARY+A1971*TEMP_COST)-FIXED_COSTS)</f>
        <v>-35850</v>
      </c>
    </row>
    <row r="1972">
      <c r="A1972" s="5" t="n">
        <v>4</v>
      </c>
      <c r="B1972" s="5" t="n">
        <v>9</v>
      </c>
      <c r="C1972" s="5" t="n">
        <v>6</v>
      </c>
      <c r="D1972" s="18">
        <f>SEASON_HRS_TOM*B1972*(1+DIM_TOM)^B1972+SEASON_HRS_CAR*C1972*(1+DIM_CAR)^C1972</f>
        <v>2118.682444988322</v>
      </c>
      <c r="E1972" s="18">
        <f>(FARMER_FIELD_HRS+A1972*TEMP_HRS)-D1972</f>
        <v>4361.3175550116775</v>
      </c>
      <c r="F1972" s="21">
        <f>IF(E1972&lt;0,0,MIN(COUNTIF(Labor!$C$59:$C$88,"&lt;="&amp;E1972),MAXBED_MES,TOTAL_BEDS-B1972-C1972))</f>
        <v>30</v>
      </c>
      <c r="G1972" s="21">
        <f>B1972+C1972+F1972</f>
        <v>45</v>
      </c>
      <c r="H1972" s="22">
        <f>IF(E1972&lt;0,-999999999,B1972*(PRICE_TOM-FERT_TOM)+C1972*(PRICE_CAR-FERT_CAR)+F1972*(PRICE_MES-FERT_MES)-(FARMER_SALARY+A1972*TEMP_COST)-FIXED_COSTS)</f>
        <v>-34196</v>
      </c>
    </row>
    <row r="1973">
      <c r="A1973" s="5" t="n">
        <v>4</v>
      </c>
      <c r="B1973" s="5" t="n">
        <v>9</v>
      </c>
      <c r="C1973" s="5" t="n">
        <v>7</v>
      </c>
      <c r="D1973" s="18">
        <f>SEASON_HRS_TOM*B1973*(1+DIM_TOM)^B1973+SEASON_HRS_CAR*C1973*(1+DIM_CAR)^C1973</f>
        <v>2159.561637980326</v>
      </c>
      <c r="E1973" s="18">
        <f>(FARMER_FIELD_HRS+A1973*TEMP_HRS)-D1973</f>
        <v>4320.438362019674</v>
      </c>
      <c r="F1973" s="21">
        <f>IF(E1973&lt;0,0,MIN(COUNTIF(Labor!$C$59:$C$88,"&lt;="&amp;E1973),MAXBED_MES,TOTAL_BEDS-B1973-C1973))</f>
        <v>30</v>
      </c>
      <c r="G1973" s="21">
        <f>B1973+C1973+F1973</f>
        <v>46</v>
      </c>
      <c r="H1973" s="22">
        <f>IF(E1973&lt;0,-999999999,B1973*(PRICE_TOM-FERT_TOM)+C1973*(PRICE_CAR-FERT_CAR)+F1973*(PRICE_MES-FERT_MES)-(FARMER_SALARY+A1973*TEMP_COST)-FIXED_COSTS)</f>
        <v>-32542</v>
      </c>
    </row>
    <row r="1974">
      <c r="A1974" s="5" t="n">
        <v>4</v>
      </c>
      <c r="B1974" s="5" t="n">
        <v>9</v>
      </c>
      <c r="C1974" s="5" t="n">
        <v>8</v>
      </c>
      <c r="D1974" s="18">
        <f>SEASON_HRS_TOM*B1974*(1+DIM_TOM)^B1974+SEASON_HRS_CAR*C1974*(1+DIM_CAR)^C1974</f>
        <v>2202.354325112382</v>
      </c>
      <c r="E1974" s="18">
        <f>(FARMER_FIELD_HRS+A1974*TEMP_HRS)-D1974</f>
        <v>4277.645674887618</v>
      </c>
      <c r="F1974" s="21">
        <f>IF(E1974&lt;0,0,MIN(COUNTIF(Labor!$C$59:$C$88,"&lt;="&amp;E1974),MAXBED_MES,TOTAL_BEDS-B1974-C1974))</f>
        <v>30</v>
      </c>
      <c r="G1974" s="21">
        <f>B1974+C1974+F1974</f>
        <v>47</v>
      </c>
      <c r="H1974" s="22">
        <f>IF(E1974&lt;0,-999999999,B1974*(PRICE_TOM-FERT_TOM)+C1974*(PRICE_CAR-FERT_CAR)+F1974*(PRICE_MES-FERT_MES)-(FARMER_SALARY+A1974*TEMP_COST)-FIXED_COSTS)</f>
        <v>-30888</v>
      </c>
    </row>
    <row r="1975">
      <c r="A1975" s="5" t="n">
        <v>4</v>
      </c>
      <c r="B1975" s="5" t="n">
        <v>9</v>
      </c>
      <c r="C1975" s="5" t="n">
        <v>9</v>
      </c>
      <c r="D1975" s="18">
        <f>SEASON_HRS_TOM*B1975*(1+DIM_TOM)^B1975+SEASON_HRS_CAR*C1975*(1+DIM_CAR)^C1975</f>
        <v>2247.1306315958714</v>
      </c>
      <c r="E1975" s="18">
        <f>(FARMER_FIELD_HRS+A1975*TEMP_HRS)-D1975</f>
        <v>4232.869368404128</v>
      </c>
      <c r="F1975" s="21">
        <f>IF(E1975&lt;0,0,MIN(COUNTIF(Labor!$C$59:$C$88,"&lt;="&amp;E1975),MAXBED_MES,TOTAL_BEDS-B1975-C1975))</f>
        <v>30</v>
      </c>
      <c r="G1975" s="21">
        <f>B1975+C1975+F1975</f>
        <v>48</v>
      </c>
      <c r="H1975" s="22">
        <f>IF(E1975&lt;0,-999999999,B1975*(PRICE_TOM-FERT_TOM)+C1975*(PRICE_CAR-FERT_CAR)+F1975*(PRICE_MES-FERT_MES)-(FARMER_SALARY+A1975*TEMP_COST)-FIXED_COSTS)</f>
        <v>-29234</v>
      </c>
    </row>
    <row r="1976">
      <c r="A1976" s="5" t="n">
        <v>4</v>
      </c>
      <c r="B1976" s="5" t="n">
        <v>9</v>
      </c>
      <c r="C1976" s="5" t="n">
        <v>10</v>
      </c>
      <c r="D1976" s="18">
        <f>SEASON_HRS_TOM*B1976*(1+DIM_TOM)^B1976+SEASON_HRS_CAR*C1976*(1+DIM_CAR)^C1976</f>
        <v>2293.9629929689086</v>
      </c>
      <c r="E1976" s="18">
        <f>(FARMER_FIELD_HRS+A1976*TEMP_HRS)-D1976</f>
        <v>4186.037007031091</v>
      </c>
      <c r="F1976" s="21">
        <f>IF(E1976&lt;0,0,MIN(COUNTIF(Labor!$C$59:$C$88,"&lt;="&amp;E1976),MAXBED_MES,TOTAL_BEDS-B1976-C1976))</f>
        <v>30</v>
      </c>
      <c r="G1976" s="21">
        <f>B1976+C1976+F1976</f>
        <v>49</v>
      </c>
      <c r="H1976" s="22">
        <f>IF(E1976&lt;0,-999999999,B1976*(PRICE_TOM-FERT_TOM)+C1976*(PRICE_CAR-FERT_CAR)+F1976*(PRICE_MES-FERT_MES)-(FARMER_SALARY+A1976*TEMP_COST)-FIXED_COSTS)</f>
        <v>-27580</v>
      </c>
    </row>
    <row r="1977">
      <c r="A1977" s="5" t="n">
        <v>4</v>
      </c>
      <c r="B1977" s="5" t="n">
        <v>9</v>
      </c>
      <c r="C1977" s="5" t="n">
        <v>11</v>
      </c>
      <c r="D1977" s="18">
        <f>SEASON_HRS_TOM*B1977*(1+DIM_TOM)^B1977+SEASON_HRS_CAR*C1977*(1+DIM_CAR)^C1977</f>
        <v>2342.926226784419</v>
      </c>
      <c r="E1977" s="18">
        <f>(FARMER_FIELD_HRS+A1977*TEMP_HRS)-D1977</f>
        <v>4137.073773215581</v>
      </c>
      <c r="F1977" s="21">
        <f>IF(E1977&lt;0,0,MIN(COUNTIF(Labor!$C$59:$C$88,"&lt;="&amp;E1977),MAXBED_MES,TOTAL_BEDS-B1977-C1977))</f>
        <v>30</v>
      </c>
      <c r="G1977" s="21">
        <f>B1977+C1977+F1977</f>
        <v>50</v>
      </c>
      <c r="H1977" s="22">
        <f>IF(E1977&lt;0,-999999999,B1977*(PRICE_TOM-FERT_TOM)+C1977*(PRICE_CAR-FERT_CAR)+F1977*(PRICE_MES-FERT_MES)-(FARMER_SALARY+A1977*TEMP_COST)-FIXED_COSTS)</f>
        <v>-25926</v>
      </c>
    </row>
    <row r="1978">
      <c r="A1978" s="5" t="n">
        <v>4</v>
      </c>
      <c r="B1978" s="5" t="n">
        <v>9</v>
      </c>
      <c r="C1978" s="5" t="n">
        <v>12</v>
      </c>
      <c r="D1978" s="18">
        <f>SEASON_HRS_TOM*B1978*(1+DIM_TOM)^B1978+SEASON_HRS_CAR*C1978*(1+DIM_CAR)^C1978</f>
        <v>2394.0976064386687</v>
      </c>
      <c r="E1978" s="18">
        <f>(FARMER_FIELD_HRS+A1978*TEMP_HRS)-D1978</f>
        <v>4085.9023935613313</v>
      </c>
      <c r="F1978" s="21">
        <f>IF(E1978&lt;0,0,MIN(COUNTIF(Labor!$C$59:$C$88,"&lt;="&amp;E1978),MAXBED_MES,TOTAL_BEDS-B1978-C1978))</f>
        <v>30</v>
      </c>
      <c r="G1978" s="21">
        <f>B1978+C1978+F1978</f>
        <v>51</v>
      </c>
      <c r="H1978" s="22">
        <f>IF(E1978&lt;0,-999999999,B1978*(PRICE_TOM-FERT_TOM)+C1978*(PRICE_CAR-FERT_CAR)+F1978*(PRICE_MES-FERT_MES)-(FARMER_SALARY+A1978*TEMP_COST)-FIXED_COSTS)</f>
        <v>-24272</v>
      </c>
    </row>
    <row r="1979">
      <c r="A1979" s="5" t="n">
        <v>4</v>
      </c>
      <c r="B1979" s="5" t="n">
        <v>9</v>
      </c>
      <c r="C1979" s="5" t="n">
        <v>13</v>
      </c>
      <c r="D1979" s="18">
        <f>SEASON_HRS_TOM*B1979*(1+DIM_TOM)^B1979+SEASON_HRS_CAR*C1979*(1+DIM_CAR)^C1979</f>
        <v>2447.556937202459</v>
      </c>
      <c r="E1979" s="18">
        <f>(FARMER_FIELD_HRS+A1979*TEMP_HRS)-D1979</f>
        <v>4032.443062797541</v>
      </c>
      <c r="F1979" s="21">
        <f>IF(E1979&lt;0,0,MIN(COUNTIF(Labor!$C$59:$C$88,"&lt;="&amp;E1979),MAXBED_MES,TOTAL_BEDS-B1979-C1979))</f>
        <v>30</v>
      </c>
      <c r="G1979" s="21">
        <f>B1979+C1979+F1979</f>
        <v>52</v>
      </c>
      <c r="H1979" s="22">
        <f>IF(E1979&lt;0,-999999999,B1979*(PRICE_TOM-FERT_TOM)+C1979*(PRICE_CAR-FERT_CAR)+F1979*(PRICE_MES-FERT_MES)-(FARMER_SALARY+A1979*TEMP_COST)-FIXED_COSTS)</f>
        <v>-22618</v>
      </c>
    </row>
    <row r="1980">
      <c r="A1980" s="5" t="n">
        <v>4</v>
      </c>
      <c r="B1980" s="5" t="n">
        <v>9</v>
      </c>
      <c r="C1980" s="5" t="n">
        <v>14</v>
      </c>
      <c r="D1980" s="18">
        <f>SEASON_HRS_TOM*B1980*(1+DIM_TOM)^B1980+SEASON_HRS_CAR*C1980*(1+DIM_CAR)^C1980</f>
        <v>2503.386634518983</v>
      </c>
      <c r="E1980" s="18">
        <f>(FARMER_FIELD_HRS+A1980*TEMP_HRS)-D1980</f>
        <v>3976.613365481017</v>
      </c>
      <c r="F1980" s="21">
        <f>IF(E1980&lt;0,0,MIN(COUNTIF(Labor!$C$59:$C$88,"&lt;="&amp;E1980),MAXBED_MES,TOTAL_BEDS-B1980-C1980))</f>
        <v>30</v>
      </c>
      <c r="G1980" s="21">
        <f>B1980+C1980+F1980</f>
        <v>53</v>
      </c>
      <c r="H1980" s="22">
        <f>IF(E1980&lt;0,-999999999,B1980*(PRICE_TOM-FERT_TOM)+C1980*(PRICE_CAR-FERT_CAR)+F1980*(PRICE_MES-FERT_MES)-(FARMER_SALARY+A1980*TEMP_COST)-FIXED_COSTS)</f>
        <v>-20964</v>
      </c>
    </row>
    <row r="1981">
      <c r="A1981" s="5" t="n">
        <v>4</v>
      </c>
      <c r="B1981" s="5" t="n">
        <v>9</v>
      </c>
      <c r="C1981" s="5" t="n">
        <v>15</v>
      </c>
      <c r="D1981" s="18">
        <f>SEASON_HRS_TOM*B1981*(1+DIM_TOM)^B1981+SEASON_HRS_CAR*C1981*(1+DIM_CAR)^C1981</f>
        <v>2561.671804634151</v>
      </c>
      <c r="E1981" s="18">
        <f>(FARMER_FIELD_HRS+A1981*TEMP_HRS)-D1981</f>
        <v>3918.328195365849</v>
      </c>
      <c r="F1981" s="21">
        <f>IF(E1981&lt;0,0,MIN(COUNTIF(Labor!$C$59:$C$88,"&lt;="&amp;E1981),MAXBED_MES,TOTAL_BEDS-B1981-C1981))</f>
        <v>30</v>
      </c>
      <c r="G1981" s="21">
        <f>B1981+C1981+F1981</f>
        <v>54</v>
      </c>
      <c r="H1981" s="22">
        <f>IF(E1981&lt;0,-999999999,B1981*(PRICE_TOM-FERT_TOM)+C1981*(PRICE_CAR-FERT_CAR)+F1981*(PRICE_MES-FERT_MES)-(FARMER_SALARY+A1981*TEMP_COST)-FIXED_COSTS)</f>
        <v>-19310</v>
      </c>
    </row>
    <row r="1982">
      <c r="A1982" s="5" t="n">
        <v>4</v>
      </c>
      <c r="B1982" s="5" t="n">
        <v>9</v>
      </c>
      <c r="C1982" s="5" t="n">
        <v>16</v>
      </c>
      <c r="D1982" s="18">
        <f>SEASON_HRS_TOM*B1982*(1+DIM_TOM)^B1982+SEASON_HRS_CAR*C1982*(1+DIM_CAR)^C1982</f>
        <v>2622.5003276270713</v>
      </c>
      <c r="E1982" s="18">
        <f>(FARMER_FIELD_HRS+A1982*TEMP_HRS)-D1982</f>
        <v>3857.4996723729287</v>
      </c>
      <c r="F1982" s="21">
        <f>IF(E1982&lt;0,0,MIN(COUNTIF(Labor!$C$59:$C$88,"&lt;="&amp;E1982),MAXBED_MES,TOTAL_BEDS-B1982-C1982))</f>
        <v>30</v>
      </c>
      <c r="G1982" s="21">
        <f>B1982+C1982+F1982</f>
        <v>55</v>
      </c>
      <c r="H1982" s="22">
        <f>IF(E1982&lt;0,-999999999,B1982*(PRICE_TOM-FERT_TOM)+C1982*(PRICE_CAR-FERT_CAR)+F1982*(PRICE_MES-FERT_MES)-(FARMER_SALARY+A1982*TEMP_COST)-FIXED_COSTS)</f>
        <v>-17656</v>
      </c>
    </row>
    <row r="1983">
      <c r="A1983" s="5" t="n">
        <v>4</v>
      </c>
      <c r="B1983" s="5" t="n">
        <v>9</v>
      </c>
      <c r="C1983" s="5" t="n">
        <v>17</v>
      </c>
      <c r="D1983" s="18">
        <f>SEASON_HRS_TOM*B1983*(1+DIM_TOM)^B1983+SEASON_HRS_CAR*C1983*(1+DIM_CAR)^C1983</f>
        <v>2685.9629429103106</v>
      </c>
      <c r="E1983" s="18">
        <f>(FARMER_FIELD_HRS+A1983*TEMP_HRS)-D1983</f>
        <v>3794.0370570896894</v>
      </c>
      <c r="F1983" s="21">
        <f>IF(E1983&lt;0,0,MIN(COUNTIF(Labor!$C$59:$C$88,"&lt;="&amp;E1983),MAXBED_MES,TOTAL_BEDS-B1983-C1983))</f>
        <v>30</v>
      </c>
      <c r="G1983" s="21">
        <f>B1983+C1983+F1983</f>
        <v>56</v>
      </c>
      <c r="H1983" s="22">
        <f>IF(E1983&lt;0,-999999999,B1983*(PRICE_TOM-FERT_TOM)+C1983*(PRICE_CAR-FERT_CAR)+F1983*(PRICE_MES-FERT_MES)-(FARMER_SALARY+A1983*TEMP_COST)-FIXED_COSTS)</f>
        <v>-16002</v>
      </c>
    </row>
    <row r="1984">
      <c r="A1984" s="5" t="n">
        <v>4</v>
      </c>
      <c r="B1984" s="5" t="n">
        <v>9</v>
      </c>
      <c r="C1984" s="5" t="n">
        <v>18</v>
      </c>
      <c r="D1984" s="18">
        <f>SEASON_HRS_TOM*B1984*(1+DIM_TOM)^B1984+SEASON_HRS_CAR*C1984*(1+DIM_CAR)^C1984</f>
        <v>2752.153337271513</v>
      </c>
      <c r="E1984" s="18">
        <f>(FARMER_FIELD_HRS+A1984*TEMP_HRS)-D1984</f>
        <v>3727.846662728487</v>
      </c>
      <c r="F1984" s="21">
        <f>IF(E1984&lt;0,0,MIN(COUNTIF(Labor!$C$59:$C$88,"&lt;="&amp;E1984),MAXBED_MES,TOTAL_BEDS-B1984-C1984))</f>
        <v>30</v>
      </c>
      <c r="G1984" s="21">
        <f>B1984+C1984+F1984</f>
        <v>57</v>
      </c>
      <c r="H1984" s="22">
        <f>IF(E1984&lt;0,-999999999,B1984*(PRICE_TOM-FERT_TOM)+C1984*(PRICE_CAR-FERT_CAR)+F1984*(PRICE_MES-FERT_MES)-(FARMER_SALARY+A1984*TEMP_COST)-FIXED_COSTS)</f>
        <v>-14348</v>
      </c>
    </row>
    <row r="1985">
      <c r="A1985" s="5" t="n">
        <v>4</v>
      </c>
      <c r="B1985" s="5" t="n">
        <v>9</v>
      </c>
      <c r="C1985" s="5" t="n">
        <v>19</v>
      </c>
      <c r="D1985" s="18">
        <f>SEASON_HRS_TOM*B1985*(1+DIM_TOM)^B1985+SEASON_HRS_CAR*C1985*(1+DIM_CAR)^C1985</f>
        <v>2821.168235530026</v>
      </c>
      <c r="E1985" s="18">
        <f>(FARMER_FIELD_HRS+A1985*TEMP_HRS)-D1985</f>
        <v>3658.831764469974</v>
      </c>
      <c r="F1985" s="21">
        <f>IF(E1985&lt;0,0,MIN(COUNTIF(Labor!$C$59:$C$88,"&lt;="&amp;E1985),MAXBED_MES,TOTAL_BEDS-B1985-C1985))</f>
        <v>30</v>
      </c>
      <c r="G1985" s="21">
        <f>B1985+C1985+F1985</f>
        <v>58</v>
      </c>
      <c r="H1985" s="22">
        <f>IF(E1985&lt;0,-999999999,B1985*(PRICE_TOM-FERT_TOM)+C1985*(PRICE_CAR-FERT_CAR)+F1985*(PRICE_MES-FERT_MES)-(FARMER_SALARY+A1985*TEMP_COST)-FIXED_COSTS)</f>
        <v>-12694</v>
      </c>
    </row>
    <row r="1986">
      <c r="A1986" s="5" t="n">
        <v>4</v>
      </c>
      <c r="B1986" s="5" t="n">
        <v>9</v>
      </c>
      <c r="C1986" s="5" t="n">
        <v>20</v>
      </c>
      <c r="D1986" s="18">
        <f>SEASON_HRS_TOM*B1986*(1+DIM_TOM)^B1986+SEASON_HRS_CAR*C1986*(1+DIM_CAR)^C1986</f>
        <v>2893.107493884238</v>
      </c>
      <c r="E1986" s="18">
        <f>(FARMER_FIELD_HRS+A1986*TEMP_HRS)-D1986</f>
        <v>3586.892506115762</v>
      </c>
      <c r="F1986" s="21">
        <f>IF(E1986&lt;0,0,MIN(COUNTIF(Labor!$C$59:$C$88,"&lt;="&amp;E1986),MAXBED_MES,TOTAL_BEDS-B1986-C1986))</f>
        <v>30</v>
      </c>
      <c r="G1986" s="21">
        <f>B1986+C1986+F1986</f>
        <v>59</v>
      </c>
      <c r="H1986" s="22">
        <f>IF(E1986&lt;0,-999999999,B1986*(PRICE_TOM-FERT_TOM)+C1986*(PRICE_CAR-FERT_CAR)+F1986*(PRICE_MES-FERT_MES)-(FARMER_SALARY+A1986*TEMP_COST)-FIXED_COSTS)</f>
        <v>-11040</v>
      </c>
    </row>
    <row r="1987">
      <c r="A1987" s="5" t="n">
        <v>4</v>
      </c>
      <c r="B1987" s="5" t="n">
        <v>10</v>
      </c>
      <c r="C1987" s="5" t="n">
        <v>0</v>
      </c>
      <c r="D1987" s="18">
        <f>SEASON_HRS_TOM*B1987*(1+DIM_TOM)^B1987+SEASON_HRS_CAR*C1987*(1+DIM_CAR)^C1987</f>
        <v>2334.368214090002</v>
      </c>
      <c r="E1987" s="18">
        <f>(FARMER_FIELD_HRS+A1987*TEMP_HRS)-D1987</f>
        <v>4145.631785909998</v>
      </c>
      <c r="F1987" s="21">
        <f>IF(E1987&lt;0,0,MIN(COUNTIF(Labor!$C$59:$C$88,"&lt;="&amp;E1987),MAXBED_MES,TOTAL_BEDS-B1987-C1987))</f>
        <v>30</v>
      </c>
      <c r="G1987" s="21">
        <f>B1987+C1987+F1987</f>
        <v>40</v>
      </c>
      <c r="H1987" s="22">
        <f>IF(E1987&lt;0,-999999999,B1987*(PRICE_TOM-FERT_TOM)+C1987*(PRICE_CAR-FERT_CAR)+F1987*(PRICE_MES-FERT_MES)-(FARMER_SALARY+A1987*TEMP_COST)-FIXED_COSTS)</f>
        <v>-36200</v>
      </c>
    </row>
    <row r="1988">
      <c r="A1988" s="5" t="n">
        <v>4</v>
      </c>
      <c r="B1988" s="5" t="n">
        <v>10</v>
      </c>
      <c r="C1988" s="5" t="n">
        <v>1</v>
      </c>
      <c r="D1988" s="18">
        <f>SEASON_HRS_TOM*B1988*(1+DIM_TOM)^B1988+SEASON_HRS_CAR*C1988*(1+DIM_CAR)^C1988</f>
        <v>2365.118214090002</v>
      </c>
      <c r="E1988" s="18">
        <f>(FARMER_FIELD_HRS+A1988*TEMP_HRS)-D1988</f>
        <v>4114.881785909998</v>
      </c>
      <c r="F1988" s="21">
        <f>IF(E1988&lt;0,0,MIN(COUNTIF(Labor!$C$59:$C$88,"&lt;="&amp;E1988),MAXBED_MES,TOTAL_BEDS-B1988-C1988))</f>
        <v>30</v>
      </c>
      <c r="G1988" s="21">
        <f>B1988+C1988+F1988</f>
        <v>41</v>
      </c>
      <c r="H1988" s="22">
        <f>IF(E1988&lt;0,-999999999,B1988*(PRICE_TOM-FERT_TOM)+C1988*(PRICE_CAR-FERT_CAR)+F1988*(PRICE_MES-FERT_MES)-(FARMER_SALARY+A1988*TEMP_COST)-FIXED_COSTS)</f>
        <v>-34546</v>
      </c>
    </row>
    <row r="1989">
      <c r="A1989" s="5" t="n">
        <v>4</v>
      </c>
      <c r="B1989" s="5" t="n">
        <v>10</v>
      </c>
      <c r="C1989" s="5" t="n">
        <v>2</v>
      </c>
      <c r="D1989" s="18">
        <f>SEASON_HRS_TOM*B1989*(1+DIM_TOM)^B1989+SEASON_HRS_CAR*C1989*(1+DIM_CAR)^C1989</f>
        <v>2397.4057140900018</v>
      </c>
      <c r="E1989" s="18">
        <f>(FARMER_FIELD_HRS+A1989*TEMP_HRS)-D1989</f>
        <v>4082.5942859099982</v>
      </c>
      <c r="F1989" s="21">
        <f>IF(E1989&lt;0,0,MIN(COUNTIF(Labor!$C$59:$C$88,"&lt;="&amp;E1989),MAXBED_MES,TOTAL_BEDS-B1989-C1989))</f>
        <v>30</v>
      </c>
      <c r="G1989" s="21">
        <f>B1989+C1989+F1989</f>
        <v>42</v>
      </c>
      <c r="H1989" s="22">
        <f>IF(E1989&lt;0,-999999999,B1989*(PRICE_TOM-FERT_TOM)+C1989*(PRICE_CAR-FERT_CAR)+F1989*(PRICE_MES-FERT_MES)-(FARMER_SALARY+A1989*TEMP_COST)-FIXED_COSTS)</f>
        <v>-32892</v>
      </c>
    </row>
    <row r="1990">
      <c r="A1990" s="5" t="n">
        <v>4</v>
      </c>
      <c r="B1990" s="5" t="n">
        <v>10</v>
      </c>
      <c r="C1990" s="5" t="n">
        <v>3</v>
      </c>
      <c r="D1990" s="18">
        <f>SEASON_HRS_TOM*B1990*(1+DIM_TOM)^B1990+SEASON_HRS_CAR*C1990*(1+DIM_CAR)^C1990</f>
        <v>2431.2883703400016</v>
      </c>
      <c r="E1990" s="18">
        <f>(FARMER_FIELD_HRS+A1990*TEMP_HRS)-D1990</f>
        <v>4048.7116296599984</v>
      </c>
      <c r="F1990" s="21">
        <f>IF(E1990&lt;0,0,MIN(COUNTIF(Labor!$C$59:$C$88,"&lt;="&amp;E1990),MAXBED_MES,TOTAL_BEDS-B1990-C1990))</f>
        <v>30</v>
      </c>
      <c r="G1990" s="21">
        <f>B1990+C1990+F1990</f>
        <v>43</v>
      </c>
      <c r="H1990" s="22">
        <f>IF(E1990&lt;0,-999999999,B1990*(PRICE_TOM-FERT_TOM)+C1990*(PRICE_CAR-FERT_CAR)+F1990*(PRICE_MES-FERT_MES)-(FARMER_SALARY+A1990*TEMP_COST)-FIXED_COSTS)</f>
        <v>-31238</v>
      </c>
    </row>
    <row r="1991">
      <c r="A1991" s="5" t="n">
        <v>4</v>
      </c>
      <c r="B1991" s="5" t="n">
        <v>10</v>
      </c>
      <c r="C1991" s="5" t="n">
        <v>4</v>
      </c>
      <c r="D1991" s="18">
        <f>SEASON_HRS_TOM*B1991*(1+DIM_TOM)^B1991+SEASON_HRS_CAR*C1991*(1+DIM_CAR)^C1991</f>
        <v>2466.825760965002</v>
      </c>
      <c r="E1991" s="18">
        <f>(FARMER_FIELD_HRS+A1991*TEMP_HRS)-D1991</f>
        <v>4013.174239034998</v>
      </c>
      <c r="F1991" s="21">
        <f>IF(E1991&lt;0,0,MIN(COUNTIF(Labor!$C$59:$C$88,"&lt;="&amp;E1991),MAXBED_MES,TOTAL_BEDS-B1991-C1991))</f>
        <v>30</v>
      </c>
      <c r="G1991" s="21">
        <f>B1991+C1991+F1991</f>
        <v>44</v>
      </c>
      <c r="H1991" s="22">
        <f>IF(E1991&lt;0,-999999999,B1991*(PRICE_TOM-FERT_TOM)+C1991*(PRICE_CAR-FERT_CAR)+F1991*(PRICE_MES-FERT_MES)-(FARMER_SALARY+A1991*TEMP_COST)-FIXED_COSTS)</f>
        <v>-29584</v>
      </c>
    </row>
    <row r="1992">
      <c r="A1992" s="5" t="n">
        <v>4</v>
      </c>
      <c r="B1992" s="5" t="n">
        <v>10</v>
      </c>
      <c r="C1992" s="5" t="n">
        <v>5</v>
      </c>
      <c r="D1992" s="18">
        <f>SEASON_HRS_TOM*B1992*(1+DIM_TOM)^B1992+SEASON_HRS_CAR*C1992*(1+DIM_CAR)^C1992</f>
        <v>2504.0794460235957</v>
      </c>
      <c r="E1992" s="18">
        <f>(FARMER_FIELD_HRS+A1992*TEMP_HRS)-D1992</f>
        <v>3975.9205539764043</v>
      </c>
      <c r="F1992" s="21">
        <f>IF(E1992&lt;0,0,MIN(COUNTIF(Labor!$C$59:$C$88,"&lt;="&amp;E1992),MAXBED_MES,TOTAL_BEDS-B1992-C1992))</f>
        <v>30</v>
      </c>
      <c r="G1992" s="21">
        <f>B1992+C1992+F1992</f>
        <v>45</v>
      </c>
      <c r="H1992" s="22">
        <f>IF(E1992&lt;0,-999999999,B1992*(PRICE_TOM-FERT_TOM)+C1992*(PRICE_CAR-FERT_CAR)+F1992*(PRICE_MES-FERT_MES)-(FARMER_SALARY+A1992*TEMP_COST)-FIXED_COSTS)</f>
        <v>-27930</v>
      </c>
    </row>
    <row r="1993">
      <c r="A1993" s="5" t="n">
        <v>4</v>
      </c>
      <c r="B1993" s="5" t="n">
        <v>10</v>
      </c>
      <c r="C1993" s="5" t="n">
        <v>6</v>
      </c>
      <c r="D1993" s="18">
        <f>SEASON_HRS_TOM*B1993*(1+DIM_TOM)^B1993+SEASON_HRS_CAR*C1993*(1+DIM_CAR)^C1993</f>
        <v>2543.1130293683223</v>
      </c>
      <c r="E1993" s="18">
        <f>(FARMER_FIELD_HRS+A1993*TEMP_HRS)-D1993</f>
        <v>3936.8869706316777</v>
      </c>
      <c r="F1993" s="21">
        <f>IF(E1993&lt;0,0,MIN(COUNTIF(Labor!$C$59:$C$88,"&lt;="&amp;E1993),MAXBED_MES,TOTAL_BEDS-B1993-C1993))</f>
        <v>30</v>
      </c>
      <c r="G1993" s="21">
        <f>B1993+C1993+F1993</f>
        <v>46</v>
      </c>
      <c r="H1993" s="22">
        <f>IF(E1993&lt;0,-999999999,B1993*(PRICE_TOM-FERT_TOM)+C1993*(PRICE_CAR-FERT_CAR)+F1993*(PRICE_MES-FERT_MES)-(FARMER_SALARY+A1993*TEMP_COST)-FIXED_COSTS)</f>
        <v>-26276</v>
      </c>
    </row>
    <row r="1994">
      <c r="A1994" s="5" t="n">
        <v>4</v>
      </c>
      <c r="B1994" s="5" t="n">
        <v>10</v>
      </c>
      <c r="C1994" s="5" t="n">
        <v>7</v>
      </c>
      <c r="D1994" s="18">
        <f>SEASON_HRS_TOM*B1994*(1+DIM_TOM)^B1994+SEASON_HRS_CAR*C1994*(1+DIM_CAR)^C1994</f>
        <v>2583.992222360326</v>
      </c>
      <c r="E1994" s="18">
        <f>(FARMER_FIELD_HRS+A1994*TEMP_HRS)-D1994</f>
        <v>3896.007777639674</v>
      </c>
      <c r="F1994" s="21">
        <f>IF(E1994&lt;0,0,MIN(COUNTIF(Labor!$C$59:$C$88,"&lt;="&amp;E1994),MAXBED_MES,TOTAL_BEDS-B1994-C1994))</f>
        <v>30</v>
      </c>
      <c r="G1994" s="21">
        <f>B1994+C1994+F1994</f>
        <v>47</v>
      </c>
      <c r="H1994" s="22">
        <f>IF(E1994&lt;0,-999999999,B1994*(PRICE_TOM-FERT_TOM)+C1994*(PRICE_CAR-FERT_CAR)+F1994*(PRICE_MES-FERT_MES)-(FARMER_SALARY+A1994*TEMP_COST)-FIXED_COSTS)</f>
        <v>-24622</v>
      </c>
    </row>
    <row r="1995">
      <c r="A1995" s="5" t="n">
        <v>4</v>
      </c>
      <c r="B1995" s="5" t="n">
        <v>10</v>
      </c>
      <c r="C1995" s="5" t="n">
        <v>8</v>
      </c>
      <c r="D1995" s="18">
        <f>SEASON_HRS_TOM*B1995*(1+DIM_TOM)^B1995+SEASON_HRS_CAR*C1995*(1+DIM_CAR)^C1995</f>
        <v>2626.784909492382</v>
      </c>
      <c r="E1995" s="18">
        <f>(FARMER_FIELD_HRS+A1995*TEMP_HRS)-D1995</f>
        <v>3853.215090507618</v>
      </c>
      <c r="F1995" s="21">
        <f>IF(E1995&lt;0,0,MIN(COUNTIF(Labor!$C$59:$C$88,"&lt;="&amp;E1995),MAXBED_MES,TOTAL_BEDS-B1995-C1995))</f>
        <v>30</v>
      </c>
      <c r="G1995" s="21">
        <f>B1995+C1995+F1995</f>
        <v>48</v>
      </c>
      <c r="H1995" s="22">
        <f>IF(E1995&lt;0,-999999999,B1995*(PRICE_TOM-FERT_TOM)+C1995*(PRICE_CAR-FERT_CAR)+F1995*(PRICE_MES-FERT_MES)-(FARMER_SALARY+A1995*TEMP_COST)-FIXED_COSTS)</f>
        <v>-22968</v>
      </c>
    </row>
    <row r="1996">
      <c r="A1996" s="5" t="n">
        <v>4</v>
      </c>
      <c r="B1996" s="5" t="n">
        <v>10</v>
      </c>
      <c r="C1996" s="5" t="n">
        <v>9</v>
      </c>
      <c r="D1996" s="18">
        <f>SEASON_HRS_TOM*B1996*(1+DIM_TOM)^B1996+SEASON_HRS_CAR*C1996*(1+DIM_CAR)^C1996</f>
        <v>2671.5612159758716</v>
      </c>
      <c r="E1996" s="18">
        <f>(FARMER_FIELD_HRS+A1996*TEMP_HRS)-D1996</f>
        <v>3808.4387840241284</v>
      </c>
      <c r="F1996" s="21">
        <f>IF(E1996&lt;0,0,MIN(COUNTIF(Labor!$C$59:$C$88,"&lt;="&amp;E1996),MAXBED_MES,TOTAL_BEDS-B1996-C1996))</f>
        <v>30</v>
      </c>
      <c r="G1996" s="21">
        <f>B1996+C1996+F1996</f>
        <v>49</v>
      </c>
      <c r="H1996" s="22">
        <f>IF(E1996&lt;0,-999999999,B1996*(PRICE_TOM-FERT_TOM)+C1996*(PRICE_CAR-FERT_CAR)+F1996*(PRICE_MES-FERT_MES)-(FARMER_SALARY+A1996*TEMP_COST)-FIXED_COSTS)</f>
        <v>-21314</v>
      </c>
    </row>
    <row r="1997">
      <c r="A1997" s="5" t="n">
        <v>4</v>
      </c>
      <c r="B1997" s="5" t="n">
        <v>10</v>
      </c>
      <c r="C1997" s="5" t="n">
        <v>10</v>
      </c>
      <c r="D1997" s="18">
        <f>SEASON_HRS_TOM*B1997*(1+DIM_TOM)^B1997+SEASON_HRS_CAR*C1997*(1+DIM_CAR)^C1997</f>
        <v>2718.393577348909</v>
      </c>
      <c r="E1997" s="18">
        <f>(FARMER_FIELD_HRS+A1997*TEMP_HRS)-D1997</f>
        <v>3761.606422651091</v>
      </c>
      <c r="F1997" s="21">
        <f>IF(E1997&lt;0,0,MIN(COUNTIF(Labor!$C$59:$C$88,"&lt;="&amp;E1997),MAXBED_MES,TOTAL_BEDS-B1997-C1997))</f>
        <v>30</v>
      </c>
      <c r="G1997" s="21">
        <f>B1997+C1997+F1997</f>
        <v>50</v>
      </c>
      <c r="H1997" s="22">
        <f>IF(E1997&lt;0,-999999999,B1997*(PRICE_TOM-FERT_TOM)+C1997*(PRICE_CAR-FERT_CAR)+F1997*(PRICE_MES-FERT_MES)-(FARMER_SALARY+A1997*TEMP_COST)-FIXED_COSTS)</f>
        <v>-19660</v>
      </c>
    </row>
    <row r="1998">
      <c r="A1998" s="5" t="n">
        <v>4</v>
      </c>
      <c r="B1998" s="5" t="n">
        <v>10</v>
      </c>
      <c r="C1998" s="5" t="n">
        <v>11</v>
      </c>
      <c r="D1998" s="18">
        <f>SEASON_HRS_TOM*B1998*(1+DIM_TOM)^B1998+SEASON_HRS_CAR*C1998*(1+DIM_CAR)^C1998</f>
        <v>2767.3568111644195</v>
      </c>
      <c r="E1998" s="18">
        <f>(FARMER_FIELD_HRS+A1998*TEMP_HRS)-D1998</f>
        <v>3712.6431888355805</v>
      </c>
      <c r="F1998" s="21">
        <f>IF(E1998&lt;0,0,MIN(COUNTIF(Labor!$C$59:$C$88,"&lt;="&amp;E1998),MAXBED_MES,TOTAL_BEDS-B1998-C1998))</f>
        <v>30</v>
      </c>
      <c r="G1998" s="21">
        <f>B1998+C1998+F1998</f>
        <v>51</v>
      </c>
      <c r="H1998" s="22">
        <f>IF(E1998&lt;0,-999999999,B1998*(PRICE_TOM-FERT_TOM)+C1998*(PRICE_CAR-FERT_CAR)+F1998*(PRICE_MES-FERT_MES)-(FARMER_SALARY+A1998*TEMP_COST)-FIXED_COSTS)</f>
        <v>-18006</v>
      </c>
    </row>
    <row r="1999">
      <c r="A1999" s="5" t="n">
        <v>4</v>
      </c>
      <c r="B1999" s="5" t="n">
        <v>10</v>
      </c>
      <c r="C1999" s="5" t="n">
        <v>12</v>
      </c>
      <c r="D1999" s="18">
        <f>SEASON_HRS_TOM*B1999*(1+DIM_TOM)^B1999+SEASON_HRS_CAR*C1999*(1+DIM_CAR)^C1999</f>
        <v>2818.528190818669</v>
      </c>
      <c r="E1999" s="18">
        <f>(FARMER_FIELD_HRS+A1999*TEMP_HRS)-D1999</f>
        <v>3661.471809181331</v>
      </c>
      <c r="F1999" s="21">
        <f>IF(E1999&lt;0,0,MIN(COUNTIF(Labor!$C$59:$C$88,"&lt;="&amp;E1999),MAXBED_MES,TOTAL_BEDS-B1999-C1999))</f>
        <v>30</v>
      </c>
      <c r="G1999" s="21">
        <f>B1999+C1999+F1999</f>
        <v>52</v>
      </c>
      <c r="H1999" s="22">
        <f>IF(E1999&lt;0,-999999999,B1999*(PRICE_TOM-FERT_TOM)+C1999*(PRICE_CAR-FERT_CAR)+F1999*(PRICE_MES-FERT_MES)-(FARMER_SALARY+A1999*TEMP_COST)-FIXED_COSTS)</f>
        <v>-16352</v>
      </c>
    </row>
    <row r="2000">
      <c r="A2000" s="5" t="n">
        <v>4</v>
      </c>
      <c r="B2000" s="5" t="n">
        <v>10</v>
      </c>
      <c r="C2000" s="5" t="n">
        <v>13</v>
      </c>
      <c r="D2000" s="18">
        <f>SEASON_HRS_TOM*B2000*(1+DIM_TOM)^B2000+SEASON_HRS_CAR*C2000*(1+DIM_CAR)^C2000</f>
        <v>2871.987521582459</v>
      </c>
      <c r="E2000" s="18">
        <f>(FARMER_FIELD_HRS+A2000*TEMP_HRS)-D2000</f>
        <v>3608.012478417541</v>
      </c>
      <c r="F2000" s="21">
        <f>IF(E2000&lt;0,0,MIN(COUNTIF(Labor!$C$59:$C$88,"&lt;="&amp;E2000),MAXBED_MES,TOTAL_BEDS-B2000-C2000))</f>
        <v>30</v>
      </c>
      <c r="G2000" s="21">
        <f>B2000+C2000+F2000</f>
        <v>53</v>
      </c>
      <c r="H2000" s="22">
        <f>IF(E2000&lt;0,-999999999,B2000*(PRICE_TOM-FERT_TOM)+C2000*(PRICE_CAR-FERT_CAR)+F2000*(PRICE_MES-FERT_MES)-(FARMER_SALARY+A2000*TEMP_COST)-FIXED_COSTS)</f>
        <v>-14698</v>
      </c>
    </row>
    <row r="2001">
      <c r="A2001" s="5" t="n">
        <v>4</v>
      </c>
      <c r="B2001" s="5" t="n">
        <v>10</v>
      </c>
      <c r="C2001" s="5" t="n">
        <v>14</v>
      </c>
      <c r="D2001" s="18">
        <f>SEASON_HRS_TOM*B2001*(1+DIM_TOM)^B2001+SEASON_HRS_CAR*C2001*(1+DIM_CAR)^C2001</f>
        <v>2927.8172188989834</v>
      </c>
      <c r="E2001" s="18">
        <f>(FARMER_FIELD_HRS+A2001*TEMP_HRS)-D2001</f>
        <v>3552.1827811010166</v>
      </c>
      <c r="F2001" s="21">
        <f>IF(E2001&lt;0,0,MIN(COUNTIF(Labor!$C$59:$C$88,"&lt;="&amp;E2001),MAXBED_MES,TOTAL_BEDS-B2001-C2001))</f>
        <v>30</v>
      </c>
      <c r="G2001" s="21">
        <f>B2001+C2001+F2001</f>
        <v>54</v>
      </c>
      <c r="H2001" s="22">
        <f>IF(E2001&lt;0,-999999999,B2001*(PRICE_TOM-FERT_TOM)+C2001*(PRICE_CAR-FERT_CAR)+F2001*(PRICE_MES-FERT_MES)-(FARMER_SALARY+A2001*TEMP_COST)-FIXED_COSTS)</f>
        <v>-13044</v>
      </c>
    </row>
    <row r="2002">
      <c r="A2002" s="5" t="n">
        <v>4</v>
      </c>
      <c r="B2002" s="5" t="n">
        <v>10</v>
      </c>
      <c r="C2002" s="5" t="n">
        <v>15</v>
      </c>
      <c r="D2002" s="18">
        <f>SEASON_HRS_TOM*B2002*(1+DIM_TOM)^B2002+SEASON_HRS_CAR*C2002*(1+DIM_CAR)^C2002</f>
        <v>2986.1023890141514</v>
      </c>
      <c r="E2002" s="18">
        <f>(FARMER_FIELD_HRS+A2002*TEMP_HRS)-D2002</f>
        <v>3493.8976109858486</v>
      </c>
      <c r="F2002" s="21">
        <f>IF(E2002&lt;0,0,MIN(COUNTIF(Labor!$C$59:$C$88,"&lt;="&amp;E2002),MAXBED_MES,TOTAL_BEDS-B2002-C2002))</f>
        <v>30</v>
      </c>
      <c r="G2002" s="21">
        <f>B2002+C2002+F2002</f>
        <v>55</v>
      </c>
      <c r="H2002" s="22">
        <f>IF(E2002&lt;0,-999999999,B2002*(PRICE_TOM-FERT_TOM)+C2002*(PRICE_CAR-FERT_CAR)+F2002*(PRICE_MES-FERT_MES)-(FARMER_SALARY+A2002*TEMP_COST)-FIXED_COSTS)</f>
        <v>-11390</v>
      </c>
    </row>
    <row r="2003">
      <c r="A2003" s="5" t="n">
        <v>4</v>
      </c>
      <c r="B2003" s="5" t="n">
        <v>10</v>
      </c>
      <c r="C2003" s="5" t="n">
        <v>16</v>
      </c>
      <c r="D2003" s="18">
        <f>SEASON_HRS_TOM*B2003*(1+DIM_TOM)^B2003+SEASON_HRS_CAR*C2003*(1+DIM_CAR)^C2003</f>
        <v>3046.9309120070716</v>
      </c>
      <c r="E2003" s="18">
        <f>(FARMER_FIELD_HRS+A2003*TEMP_HRS)-D2003</f>
        <v>3433.0690879929284</v>
      </c>
      <c r="F2003" s="21">
        <f>IF(E2003&lt;0,0,MIN(COUNTIF(Labor!$C$59:$C$88,"&lt;="&amp;E2003),MAXBED_MES,TOTAL_BEDS-B2003-C2003))</f>
        <v>30</v>
      </c>
      <c r="G2003" s="21">
        <f>B2003+C2003+F2003</f>
        <v>56</v>
      </c>
      <c r="H2003" s="22">
        <f>IF(E2003&lt;0,-999999999,B2003*(PRICE_TOM-FERT_TOM)+C2003*(PRICE_CAR-FERT_CAR)+F2003*(PRICE_MES-FERT_MES)-(FARMER_SALARY+A2003*TEMP_COST)-FIXED_COSTS)</f>
        <v>-9736</v>
      </c>
    </row>
    <row r="2004">
      <c r="A2004" s="5" t="n">
        <v>4</v>
      </c>
      <c r="B2004" s="5" t="n">
        <v>10</v>
      </c>
      <c r="C2004" s="5" t="n">
        <v>17</v>
      </c>
      <c r="D2004" s="18">
        <f>SEASON_HRS_TOM*B2004*(1+DIM_TOM)^B2004+SEASON_HRS_CAR*C2004*(1+DIM_CAR)^C2004</f>
        <v>3110.393527290311</v>
      </c>
      <c r="E2004" s="18">
        <f>(FARMER_FIELD_HRS+A2004*TEMP_HRS)-D2004</f>
        <v>3369.606472709689</v>
      </c>
      <c r="F2004" s="21">
        <f>IF(E2004&lt;0,0,MIN(COUNTIF(Labor!$C$59:$C$88,"&lt;="&amp;E2004),MAXBED_MES,TOTAL_BEDS-B2004-C2004))</f>
        <v>30</v>
      </c>
      <c r="G2004" s="21">
        <f>B2004+C2004+F2004</f>
        <v>57</v>
      </c>
      <c r="H2004" s="22">
        <f>IF(E2004&lt;0,-999999999,B2004*(PRICE_TOM-FERT_TOM)+C2004*(PRICE_CAR-FERT_CAR)+F2004*(PRICE_MES-FERT_MES)-(FARMER_SALARY+A2004*TEMP_COST)-FIXED_COSTS)</f>
        <v>-8082</v>
      </c>
    </row>
    <row r="2005">
      <c r="A2005" s="5" t="n">
        <v>4</v>
      </c>
      <c r="B2005" s="5" t="n">
        <v>10</v>
      </c>
      <c r="C2005" s="5" t="n">
        <v>18</v>
      </c>
      <c r="D2005" s="18">
        <f>SEASON_HRS_TOM*B2005*(1+DIM_TOM)^B2005+SEASON_HRS_CAR*C2005*(1+DIM_CAR)^C2005</f>
        <v>3176.5839216515133</v>
      </c>
      <c r="E2005" s="18">
        <f>(FARMER_FIELD_HRS+A2005*TEMP_HRS)-D2005</f>
        <v>3303.4160783484867</v>
      </c>
      <c r="F2005" s="21">
        <f>IF(E2005&lt;0,0,MIN(COUNTIF(Labor!$C$59:$C$88,"&lt;="&amp;E2005),MAXBED_MES,TOTAL_BEDS-B2005-C2005))</f>
        <v>30</v>
      </c>
      <c r="G2005" s="21">
        <f>B2005+C2005+F2005</f>
        <v>58</v>
      </c>
      <c r="H2005" s="22">
        <f>IF(E2005&lt;0,-999999999,B2005*(PRICE_TOM-FERT_TOM)+C2005*(PRICE_CAR-FERT_CAR)+F2005*(PRICE_MES-FERT_MES)-(FARMER_SALARY+A2005*TEMP_COST)-FIXED_COSTS)</f>
        <v>-6428</v>
      </c>
    </row>
    <row r="2006">
      <c r="A2006" s="5" t="n">
        <v>4</v>
      </c>
      <c r="B2006" s="5" t="n">
        <v>10</v>
      </c>
      <c r="C2006" s="5" t="n">
        <v>19</v>
      </c>
      <c r="D2006" s="18">
        <f>SEASON_HRS_TOM*B2006*(1+DIM_TOM)^B2006+SEASON_HRS_CAR*C2006*(1+DIM_CAR)^C2006</f>
        <v>3245.598819910026</v>
      </c>
      <c r="E2006" s="18">
        <f>(FARMER_FIELD_HRS+A2006*TEMP_HRS)-D2006</f>
        <v>3234.401180089974</v>
      </c>
      <c r="F2006" s="21">
        <f>IF(E2006&lt;0,0,MIN(COUNTIF(Labor!$C$59:$C$88,"&lt;="&amp;E2006),MAXBED_MES,TOTAL_BEDS-B2006-C2006))</f>
        <v>30</v>
      </c>
      <c r="G2006" s="21">
        <f>B2006+C2006+F2006</f>
        <v>59</v>
      </c>
      <c r="H2006" s="22">
        <f>IF(E2006&lt;0,-999999999,B2006*(PRICE_TOM-FERT_TOM)+C2006*(PRICE_CAR-FERT_CAR)+F2006*(PRICE_MES-FERT_MES)-(FARMER_SALARY+A2006*TEMP_COST)-FIXED_COSTS)</f>
        <v>-4774</v>
      </c>
    </row>
    <row r="2007">
      <c r="A2007" s="5" t="n">
        <v>4</v>
      </c>
      <c r="B2007" s="5" t="n">
        <v>10</v>
      </c>
      <c r="C2007" s="5" t="n">
        <v>20</v>
      </c>
      <c r="D2007" s="18">
        <f>SEASON_HRS_TOM*B2007*(1+DIM_TOM)^B2007+SEASON_HRS_CAR*C2007*(1+DIM_CAR)^C2007</f>
        <v>3317.5380782642383</v>
      </c>
      <c r="E2007" s="18">
        <f>(FARMER_FIELD_HRS+A2007*TEMP_HRS)-D2007</f>
        <v>3162.4619217357617</v>
      </c>
      <c r="F2007" s="21">
        <f>IF(E2007&lt;0,0,MIN(COUNTIF(Labor!$C$59:$C$88,"&lt;="&amp;E2007),MAXBED_MES,TOTAL_BEDS-B2007-C2007))</f>
        <v>30</v>
      </c>
      <c r="G2007" s="21">
        <f>B2007+C2007+F2007</f>
        <v>60</v>
      </c>
      <c r="H2007" s="22">
        <f>IF(E2007&lt;0,-999999999,B2007*(PRICE_TOM-FERT_TOM)+C2007*(PRICE_CAR-FERT_CAR)+F2007*(PRICE_MES-FERT_MES)-(FARMER_SALARY+A2007*TEMP_COST)-FIXED_COSTS)</f>
        <v>-3120</v>
      </c>
    </row>
    <row r="2008">
      <c r="A2008" s="5" t="n">
        <v>4</v>
      </c>
      <c r="B2008" s="5" t="n">
        <v>11</v>
      </c>
      <c r="C2008" s="5" t="n">
        <v>0</v>
      </c>
      <c r="D2008" s="18">
        <f>SEASON_HRS_TOM*B2008*(1+DIM_TOM)^B2008+SEASON_HRS_CAR*C2008*(1+DIM_CAR)^C2008</f>
        <v>2824.5855390489023</v>
      </c>
      <c r="E2008" s="18">
        <f>(FARMER_FIELD_HRS+A2008*TEMP_HRS)-D2008</f>
        <v>3655.4144609510977</v>
      </c>
      <c r="F2008" s="21">
        <f>IF(E2008&lt;0,0,MIN(COUNTIF(Labor!$C$59:$C$88,"&lt;="&amp;E2008),MAXBED_MES,TOTAL_BEDS-B2008-C2008))</f>
        <v>30</v>
      </c>
      <c r="G2008" s="21">
        <f>B2008+C2008+F2008</f>
        <v>41</v>
      </c>
      <c r="H2008" s="22">
        <f>IF(E2008&lt;0,-999999999,B2008*(PRICE_TOM-FERT_TOM)+C2008*(PRICE_CAR-FERT_CAR)+F2008*(PRICE_MES-FERT_MES)-(FARMER_SALARY+A2008*TEMP_COST)-FIXED_COSTS)</f>
        <v>-28280</v>
      </c>
    </row>
    <row r="2009">
      <c r="A2009" s="5" t="n">
        <v>4</v>
      </c>
      <c r="B2009" s="5" t="n">
        <v>11</v>
      </c>
      <c r="C2009" s="5" t="n">
        <v>1</v>
      </c>
      <c r="D2009" s="18">
        <f>SEASON_HRS_TOM*B2009*(1+DIM_TOM)^B2009+SEASON_HRS_CAR*C2009*(1+DIM_CAR)^C2009</f>
        <v>2855.3355390489023</v>
      </c>
      <c r="E2009" s="18">
        <f>(FARMER_FIELD_HRS+A2009*TEMP_HRS)-D2009</f>
        <v>3624.6644609510977</v>
      </c>
      <c r="F2009" s="21">
        <f>IF(E2009&lt;0,0,MIN(COUNTIF(Labor!$C$59:$C$88,"&lt;="&amp;E2009),MAXBED_MES,TOTAL_BEDS-B2009-C2009))</f>
        <v>30</v>
      </c>
      <c r="G2009" s="21">
        <f>B2009+C2009+F2009</f>
        <v>42</v>
      </c>
      <c r="H2009" s="22">
        <f>IF(E2009&lt;0,-999999999,B2009*(PRICE_TOM-FERT_TOM)+C2009*(PRICE_CAR-FERT_CAR)+F2009*(PRICE_MES-FERT_MES)-(FARMER_SALARY+A2009*TEMP_COST)-FIXED_COSTS)</f>
        <v>-26626</v>
      </c>
    </row>
    <row r="2010">
      <c r="A2010" s="5" t="n">
        <v>4</v>
      </c>
      <c r="B2010" s="5" t="n">
        <v>11</v>
      </c>
      <c r="C2010" s="5" t="n">
        <v>2</v>
      </c>
      <c r="D2010" s="18">
        <f>SEASON_HRS_TOM*B2010*(1+DIM_TOM)^B2010+SEASON_HRS_CAR*C2010*(1+DIM_CAR)^C2010</f>
        <v>2887.6230390489022</v>
      </c>
      <c r="E2010" s="18">
        <f>(FARMER_FIELD_HRS+A2010*TEMP_HRS)-D2010</f>
        <v>3592.3769609510978</v>
      </c>
      <c r="F2010" s="21">
        <f>IF(E2010&lt;0,0,MIN(COUNTIF(Labor!$C$59:$C$88,"&lt;="&amp;E2010),MAXBED_MES,TOTAL_BEDS-B2010-C2010))</f>
        <v>30</v>
      </c>
      <c r="G2010" s="21">
        <f>B2010+C2010+F2010</f>
        <v>43</v>
      </c>
      <c r="H2010" s="22">
        <f>IF(E2010&lt;0,-999999999,B2010*(PRICE_TOM-FERT_TOM)+C2010*(PRICE_CAR-FERT_CAR)+F2010*(PRICE_MES-FERT_MES)-(FARMER_SALARY+A2010*TEMP_COST)-FIXED_COSTS)</f>
        <v>-24972</v>
      </c>
    </row>
    <row r="2011">
      <c r="A2011" s="5" t="n">
        <v>4</v>
      </c>
      <c r="B2011" s="5" t="n">
        <v>11</v>
      </c>
      <c r="C2011" s="5" t="n">
        <v>3</v>
      </c>
      <c r="D2011" s="18">
        <f>SEASON_HRS_TOM*B2011*(1+DIM_TOM)^B2011+SEASON_HRS_CAR*C2011*(1+DIM_CAR)^C2011</f>
        <v>2921.505695298902</v>
      </c>
      <c r="E2011" s="18">
        <f>(FARMER_FIELD_HRS+A2011*TEMP_HRS)-D2011</f>
        <v>3558.494304701098</v>
      </c>
      <c r="F2011" s="21">
        <f>IF(E2011&lt;0,0,MIN(COUNTIF(Labor!$C$59:$C$88,"&lt;="&amp;E2011),MAXBED_MES,TOTAL_BEDS-B2011-C2011))</f>
        <v>30</v>
      </c>
      <c r="G2011" s="21">
        <f>B2011+C2011+F2011</f>
        <v>44</v>
      </c>
      <c r="H2011" s="22">
        <f>IF(E2011&lt;0,-999999999,B2011*(PRICE_TOM-FERT_TOM)+C2011*(PRICE_CAR-FERT_CAR)+F2011*(PRICE_MES-FERT_MES)-(FARMER_SALARY+A2011*TEMP_COST)-FIXED_COSTS)</f>
        <v>-23318</v>
      </c>
    </row>
    <row r="2012">
      <c r="A2012" s="5" t="n">
        <v>4</v>
      </c>
      <c r="B2012" s="5" t="n">
        <v>11</v>
      </c>
      <c r="C2012" s="5" t="n">
        <v>4</v>
      </c>
      <c r="D2012" s="18">
        <f>SEASON_HRS_TOM*B2012*(1+DIM_TOM)^B2012+SEASON_HRS_CAR*C2012*(1+DIM_CAR)^C2012</f>
        <v>2957.0430859239023</v>
      </c>
      <c r="E2012" s="18">
        <f>(FARMER_FIELD_HRS+A2012*TEMP_HRS)-D2012</f>
        <v>3522.9569140760977</v>
      </c>
      <c r="F2012" s="21">
        <f>IF(E2012&lt;0,0,MIN(COUNTIF(Labor!$C$59:$C$88,"&lt;="&amp;E2012),MAXBED_MES,TOTAL_BEDS-B2012-C2012))</f>
        <v>30</v>
      </c>
      <c r="G2012" s="21">
        <f>B2012+C2012+F2012</f>
        <v>45</v>
      </c>
      <c r="H2012" s="22">
        <f>IF(E2012&lt;0,-999999999,B2012*(PRICE_TOM-FERT_TOM)+C2012*(PRICE_CAR-FERT_CAR)+F2012*(PRICE_MES-FERT_MES)-(FARMER_SALARY+A2012*TEMP_COST)-FIXED_COSTS)</f>
        <v>-21664</v>
      </c>
    </row>
    <row r="2013">
      <c r="A2013" s="5" t="n">
        <v>4</v>
      </c>
      <c r="B2013" s="5" t="n">
        <v>11</v>
      </c>
      <c r="C2013" s="5" t="n">
        <v>5</v>
      </c>
      <c r="D2013" s="18">
        <f>SEASON_HRS_TOM*B2013*(1+DIM_TOM)^B2013+SEASON_HRS_CAR*C2013*(1+DIM_CAR)^C2013</f>
        <v>2994.296770982496</v>
      </c>
      <c r="E2013" s="18">
        <f>(FARMER_FIELD_HRS+A2013*TEMP_HRS)-D2013</f>
        <v>3485.703229017504</v>
      </c>
      <c r="F2013" s="21">
        <f>IF(E2013&lt;0,0,MIN(COUNTIF(Labor!$C$59:$C$88,"&lt;="&amp;E2013),MAXBED_MES,TOTAL_BEDS-B2013-C2013))</f>
        <v>30</v>
      </c>
      <c r="G2013" s="21">
        <f>B2013+C2013+F2013</f>
        <v>46</v>
      </c>
      <c r="H2013" s="22">
        <f>IF(E2013&lt;0,-999999999,B2013*(PRICE_TOM-FERT_TOM)+C2013*(PRICE_CAR-FERT_CAR)+F2013*(PRICE_MES-FERT_MES)-(FARMER_SALARY+A2013*TEMP_COST)-FIXED_COSTS)</f>
        <v>-20010</v>
      </c>
    </row>
    <row r="2014">
      <c r="A2014" s="5" t="n">
        <v>4</v>
      </c>
      <c r="B2014" s="5" t="n">
        <v>11</v>
      </c>
      <c r="C2014" s="5" t="n">
        <v>6</v>
      </c>
      <c r="D2014" s="18">
        <f>SEASON_HRS_TOM*B2014*(1+DIM_TOM)^B2014+SEASON_HRS_CAR*C2014*(1+DIM_CAR)^C2014</f>
        <v>3033.3303543272227</v>
      </c>
      <c r="E2014" s="18">
        <f>(FARMER_FIELD_HRS+A2014*TEMP_HRS)-D2014</f>
        <v>3446.6696456727773</v>
      </c>
      <c r="F2014" s="21">
        <f>IF(E2014&lt;0,0,MIN(COUNTIF(Labor!$C$59:$C$88,"&lt;="&amp;E2014),MAXBED_MES,TOTAL_BEDS-B2014-C2014))</f>
        <v>30</v>
      </c>
      <c r="G2014" s="21">
        <f>B2014+C2014+F2014</f>
        <v>47</v>
      </c>
      <c r="H2014" s="22">
        <f>IF(E2014&lt;0,-999999999,B2014*(PRICE_TOM-FERT_TOM)+C2014*(PRICE_CAR-FERT_CAR)+F2014*(PRICE_MES-FERT_MES)-(FARMER_SALARY+A2014*TEMP_COST)-FIXED_COSTS)</f>
        <v>-18356</v>
      </c>
    </row>
    <row r="2015">
      <c r="A2015" s="5" t="n">
        <v>4</v>
      </c>
      <c r="B2015" s="5" t="n">
        <v>11</v>
      </c>
      <c r="C2015" s="5" t="n">
        <v>7</v>
      </c>
      <c r="D2015" s="18">
        <f>SEASON_HRS_TOM*B2015*(1+DIM_TOM)^B2015+SEASON_HRS_CAR*C2015*(1+DIM_CAR)^C2015</f>
        <v>3074.2095473192267</v>
      </c>
      <c r="E2015" s="18">
        <f>(FARMER_FIELD_HRS+A2015*TEMP_HRS)-D2015</f>
        <v>3405.7904526807733</v>
      </c>
      <c r="F2015" s="21">
        <f>IF(E2015&lt;0,0,MIN(COUNTIF(Labor!$C$59:$C$88,"&lt;="&amp;E2015),MAXBED_MES,TOTAL_BEDS-B2015-C2015))</f>
        <v>30</v>
      </c>
      <c r="G2015" s="21">
        <f>B2015+C2015+F2015</f>
        <v>48</v>
      </c>
      <c r="H2015" s="22">
        <f>IF(E2015&lt;0,-999999999,B2015*(PRICE_TOM-FERT_TOM)+C2015*(PRICE_CAR-FERT_CAR)+F2015*(PRICE_MES-FERT_MES)-(FARMER_SALARY+A2015*TEMP_COST)-FIXED_COSTS)</f>
        <v>-16702</v>
      </c>
    </row>
    <row r="2016">
      <c r="A2016" s="5" t="n">
        <v>4</v>
      </c>
      <c r="B2016" s="5" t="n">
        <v>11</v>
      </c>
      <c r="C2016" s="5" t="n">
        <v>8</v>
      </c>
      <c r="D2016" s="18">
        <f>SEASON_HRS_TOM*B2016*(1+DIM_TOM)^B2016+SEASON_HRS_CAR*C2016*(1+DIM_CAR)^C2016</f>
        <v>3117.0022344512827</v>
      </c>
      <c r="E2016" s="18">
        <f>(FARMER_FIELD_HRS+A2016*TEMP_HRS)-D2016</f>
        <v>3362.9977655487173</v>
      </c>
      <c r="F2016" s="21">
        <f>IF(E2016&lt;0,0,MIN(COUNTIF(Labor!$C$59:$C$88,"&lt;="&amp;E2016),MAXBED_MES,TOTAL_BEDS-B2016-C2016))</f>
        <v>30</v>
      </c>
      <c r="G2016" s="21">
        <f>B2016+C2016+F2016</f>
        <v>49</v>
      </c>
      <c r="H2016" s="22">
        <f>IF(E2016&lt;0,-999999999,B2016*(PRICE_TOM-FERT_TOM)+C2016*(PRICE_CAR-FERT_CAR)+F2016*(PRICE_MES-FERT_MES)-(FARMER_SALARY+A2016*TEMP_COST)-FIXED_COSTS)</f>
        <v>-15048</v>
      </c>
    </row>
    <row r="2017">
      <c r="A2017" s="5" t="n">
        <v>4</v>
      </c>
      <c r="B2017" s="5" t="n">
        <v>11</v>
      </c>
      <c r="C2017" s="5" t="n">
        <v>9</v>
      </c>
      <c r="D2017" s="18">
        <f>SEASON_HRS_TOM*B2017*(1+DIM_TOM)^B2017+SEASON_HRS_CAR*C2017*(1+DIM_CAR)^C2017</f>
        <v>3161.778540934772</v>
      </c>
      <c r="E2017" s="18">
        <f>(FARMER_FIELD_HRS+A2017*TEMP_HRS)-D2017</f>
        <v>3318.221459065228</v>
      </c>
      <c r="F2017" s="21">
        <f>IF(E2017&lt;0,0,MIN(COUNTIF(Labor!$C$59:$C$88,"&lt;="&amp;E2017),MAXBED_MES,TOTAL_BEDS-B2017-C2017))</f>
        <v>30</v>
      </c>
      <c r="G2017" s="21">
        <f>B2017+C2017+F2017</f>
        <v>50</v>
      </c>
      <c r="H2017" s="22">
        <f>IF(E2017&lt;0,-999999999,B2017*(PRICE_TOM-FERT_TOM)+C2017*(PRICE_CAR-FERT_CAR)+F2017*(PRICE_MES-FERT_MES)-(FARMER_SALARY+A2017*TEMP_COST)-FIXED_COSTS)</f>
        <v>-13394</v>
      </c>
    </row>
    <row r="2018">
      <c r="A2018" s="5" t="n">
        <v>4</v>
      </c>
      <c r="B2018" s="5" t="n">
        <v>11</v>
      </c>
      <c r="C2018" s="5" t="n">
        <v>10</v>
      </c>
      <c r="D2018" s="18">
        <f>SEASON_HRS_TOM*B2018*(1+DIM_TOM)^B2018+SEASON_HRS_CAR*C2018*(1+DIM_CAR)^C2018</f>
        <v>3208.6109023078093</v>
      </c>
      <c r="E2018" s="18">
        <f>(FARMER_FIELD_HRS+A2018*TEMP_HRS)-D2018</f>
        <v>3271.3890976921907</v>
      </c>
      <c r="F2018" s="21">
        <f>IF(E2018&lt;0,0,MIN(COUNTIF(Labor!$C$59:$C$88,"&lt;="&amp;E2018),MAXBED_MES,TOTAL_BEDS-B2018-C2018))</f>
        <v>30</v>
      </c>
      <c r="G2018" s="21">
        <f>B2018+C2018+F2018</f>
        <v>51</v>
      </c>
      <c r="H2018" s="22">
        <f>IF(E2018&lt;0,-999999999,B2018*(PRICE_TOM-FERT_TOM)+C2018*(PRICE_CAR-FERT_CAR)+F2018*(PRICE_MES-FERT_MES)-(FARMER_SALARY+A2018*TEMP_COST)-FIXED_COSTS)</f>
        <v>-11740</v>
      </c>
    </row>
    <row r="2019">
      <c r="A2019" s="5" t="n">
        <v>4</v>
      </c>
      <c r="B2019" s="5" t="n">
        <v>11</v>
      </c>
      <c r="C2019" s="5" t="n">
        <v>11</v>
      </c>
      <c r="D2019" s="18">
        <f>SEASON_HRS_TOM*B2019*(1+DIM_TOM)^B2019+SEASON_HRS_CAR*C2019*(1+DIM_CAR)^C2019</f>
        <v>3257.57413612332</v>
      </c>
      <c r="E2019" s="18">
        <f>(FARMER_FIELD_HRS+A2019*TEMP_HRS)-D2019</f>
        <v>3222.42586387668</v>
      </c>
      <c r="F2019" s="21">
        <f>IF(E2019&lt;0,0,MIN(COUNTIF(Labor!$C$59:$C$88,"&lt;="&amp;E2019),MAXBED_MES,TOTAL_BEDS-B2019-C2019))</f>
        <v>30</v>
      </c>
      <c r="G2019" s="21">
        <f>B2019+C2019+F2019</f>
        <v>52</v>
      </c>
      <c r="H2019" s="22">
        <f>IF(E2019&lt;0,-999999999,B2019*(PRICE_TOM-FERT_TOM)+C2019*(PRICE_CAR-FERT_CAR)+F2019*(PRICE_MES-FERT_MES)-(FARMER_SALARY+A2019*TEMP_COST)-FIXED_COSTS)</f>
        <v>-10086</v>
      </c>
    </row>
    <row r="2020">
      <c r="A2020" s="5" t="n">
        <v>4</v>
      </c>
      <c r="B2020" s="5" t="n">
        <v>11</v>
      </c>
      <c r="C2020" s="5" t="n">
        <v>12</v>
      </c>
      <c r="D2020" s="18">
        <f>SEASON_HRS_TOM*B2020*(1+DIM_TOM)^B2020+SEASON_HRS_CAR*C2020*(1+DIM_CAR)^C2020</f>
        <v>3308.7455157775694</v>
      </c>
      <c r="E2020" s="18">
        <f>(FARMER_FIELD_HRS+A2020*TEMP_HRS)-D2020</f>
        <v>3171.2544842224306</v>
      </c>
      <c r="F2020" s="21">
        <f>IF(E2020&lt;0,0,MIN(COUNTIF(Labor!$C$59:$C$88,"&lt;="&amp;E2020),MAXBED_MES,TOTAL_BEDS-B2020-C2020))</f>
        <v>30</v>
      </c>
      <c r="G2020" s="21">
        <f>B2020+C2020+F2020</f>
        <v>53</v>
      </c>
      <c r="H2020" s="22">
        <f>IF(E2020&lt;0,-999999999,B2020*(PRICE_TOM-FERT_TOM)+C2020*(PRICE_CAR-FERT_CAR)+F2020*(PRICE_MES-FERT_MES)-(FARMER_SALARY+A2020*TEMP_COST)-FIXED_COSTS)</f>
        <v>-8432</v>
      </c>
    </row>
    <row r="2021">
      <c r="A2021" s="5" t="n">
        <v>4</v>
      </c>
      <c r="B2021" s="5" t="n">
        <v>11</v>
      </c>
      <c r="C2021" s="5" t="n">
        <v>13</v>
      </c>
      <c r="D2021" s="18">
        <f>SEASON_HRS_TOM*B2021*(1+DIM_TOM)^B2021+SEASON_HRS_CAR*C2021*(1+DIM_CAR)^C2021</f>
        <v>3362.2048465413595</v>
      </c>
      <c r="E2021" s="18">
        <f>(FARMER_FIELD_HRS+A2021*TEMP_HRS)-D2021</f>
        <v>3117.7951534586405</v>
      </c>
      <c r="F2021" s="21">
        <f>IF(E2021&lt;0,0,MIN(COUNTIF(Labor!$C$59:$C$88,"&lt;="&amp;E2021),MAXBED_MES,TOTAL_BEDS-B2021-C2021))</f>
        <v>30</v>
      </c>
      <c r="G2021" s="21">
        <f>B2021+C2021+F2021</f>
        <v>54</v>
      </c>
      <c r="H2021" s="22">
        <f>IF(E2021&lt;0,-999999999,B2021*(PRICE_TOM-FERT_TOM)+C2021*(PRICE_CAR-FERT_CAR)+F2021*(PRICE_MES-FERT_MES)-(FARMER_SALARY+A2021*TEMP_COST)-FIXED_COSTS)</f>
        <v>-6778</v>
      </c>
    </row>
    <row r="2022">
      <c r="A2022" s="5" t="n">
        <v>4</v>
      </c>
      <c r="B2022" s="5" t="n">
        <v>11</v>
      </c>
      <c r="C2022" s="5" t="n">
        <v>14</v>
      </c>
      <c r="D2022" s="18">
        <f>SEASON_HRS_TOM*B2022*(1+DIM_TOM)^B2022+SEASON_HRS_CAR*C2022*(1+DIM_CAR)^C2022</f>
        <v>3418.034543857884</v>
      </c>
      <c r="E2022" s="18">
        <f>(FARMER_FIELD_HRS+A2022*TEMP_HRS)-D2022</f>
        <v>3061.965456142116</v>
      </c>
      <c r="F2022" s="21">
        <f>IF(E2022&lt;0,0,MIN(COUNTIF(Labor!$C$59:$C$88,"&lt;="&amp;E2022),MAXBED_MES,TOTAL_BEDS-B2022-C2022))</f>
        <v>30</v>
      </c>
      <c r="G2022" s="21">
        <f>B2022+C2022+F2022</f>
        <v>55</v>
      </c>
      <c r="H2022" s="22">
        <f>IF(E2022&lt;0,-999999999,B2022*(PRICE_TOM-FERT_TOM)+C2022*(PRICE_CAR-FERT_CAR)+F2022*(PRICE_MES-FERT_MES)-(FARMER_SALARY+A2022*TEMP_COST)-FIXED_COSTS)</f>
        <v>-5124</v>
      </c>
    </row>
    <row r="2023">
      <c r="A2023" s="5" t="n">
        <v>4</v>
      </c>
      <c r="B2023" s="5" t="n">
        <v>11</v>
      </c>
      <c r="C2023" s="5" t="n">
        <v>15</v>
      </c>
      <c r="D2023" s="18">
        <f>SEASON_HRS_TOM*B2023*(1+DIM_TOM)^B2023+SEASON_HRS_CAR*C2023*(1+DIM_CAR)^C2023</f>
        <v>3476.319713973052</v>
      </c>
      <c r="E2023" s="18">
        <f>(FARMER_FIELD_HRS+A2023*TEMP_HRS)-D2023</f>
        <v>3003.680286026948</v>
      </c>
      <c r="F2023" s="21">
        <f>IF(E2023&lt;0,0,MIN(COUNTIF(Labor!$C$59:$C$88,"&lt;="&amp;E2023),MAXBED_MES,TOTAL_BEDS-B2023-C2023))</f>
        <v>30</v>
      </c>
      <c r="G2023" s="21">
        <f>B2023+C2023+F2023</f>
        <v>56</v>
      </c>
      <c r="H2023" s="22">
        <f>IF(E2023&lt;0,-999999999,B2023*(PRICE_TOM-FERT_TOM)+C2023*(PRICE_CAR-FERT_CAR)+F2023*(PRICE_MES-FERT_MES)-(FARMER_SALARY+A2023*TEMP_COST)-FIXED_COSTS)</f>
        <v>-3470</v>
      </c>
    </row>
    <row r="2024">
      <c r="A2024" s="5" t="n">
        <v>4</v>
      </c>
      <c r="B2024" s="5" t="n">
        <v>11</v>
      </c>
      <c r="C2024" s="5" t="n">
        <v>16</v>
      </c>
      <c r="D2024" s="18">
        <f>SEASON_HRS_TOM*B2024*(1+DIM_TOM)^B2024+SEASON_HRS_CAR*C2024*(1+DIM_CAR)^C2024</f>
        <v>3537.148236965972</v>
      </c>
      <c r="E2024" s="18">
        <f>(FARMER_FIELD_HRS+A2024*TEMP_HRS)-D2024</f>
        <v>2942.851763034028</v>
      </c>
      <c r="F2024" s="21">
        <f>IF(E2024&lt;0,0,MIN(COUNTIF(Labor!$C$59:$C$88,"&lt;="&amp;E2024),MAXBED_MES,TOTAL_BEDS-B2024-C2024))</f>
        <v>30</v>
      </c>
      <c r="G2024" s="21">
        <f>B2024+C2024+F2024</f>
        <v>57</v>
      </c>
      <c r="H2024" s="22">
        <f>IF(E2024&lt;0,-999999999,B2024*(PRICE_TOM-FERT_TOM)+C2024*(PRICE_CAR-FERT_CAR)+F2024*(PRICE_MES-FERT_MES)-(FARMER_SALARY+A2024*TEMP_COST)-FIXED_COSTS)</f>
        <v>-1816</v>
      </c>
    </row>
    <row r="2025">
      <c r="A2025" s="5" t="n">
        <v>4</v>
      </c>
      <c r="B2025" s="5" t="n">
        <v>11</v>
      </c>
      <c r="C2025" s="5" t="n">
        <v>17</v>
      </c>
      <c r="D2025" s="18">
        <f>SEASON_HRS_TOM*B2025*(1+DIM_TOM)^B2025+SEASON_HRS_CAR*C2025*(1+DIM_CAR)^C2025</f>
        <v>3600.6108522492113</v>
      </c>
      <c r="E2025" s="18">
        <f>(FARMER_FIELD_HRS+A2025*TEMP_HRS)-D2025</f>
        <v>2879.3891477507887</v>
      </c>
      <c r="F2025" s="21">
        <f>IF(E2025&lt;0,0,MIN(COUNTIF(Labor!$C$59:$C$88,"&lt;="&amp;E2025),MAXBED_MES,TOTAL_BEDS-B2025-C2025))</f>
        <v>30</v>
      </c>
      <c r="G2025" s="21">
        <f>B2025+C2025+F2025</f>
        <v>58</v>
      </c>
      <c r="H2025" s="22">
        <f>IF(E2025&lt;0,-999999999,B2025*(PRICE_TOM-FERT_TOM)+C2025*(PRICE_CAR-FERT_CAR)+F2025*(PRICE_MES-FERT_MES)-(FARMER_SALARY+A2025*TEMP_COST)-FIXED_COSTS)</f>
        <v>-162</v>
      </c>
    </row>
    <row r="2026">
      <c r="A2026" s="5" t="n">
        <v>4</v>
      </c>
      <c r="B2026" s="5" t="n">
        <v>11</v>
      </c>
      <c r="C2026" s="5" t="n">
        <v>18</v>
      </c>
      <c r="D2026" s="18">
        <f>SEASON_HRS_TOM*B2026*(1+DIM_TOM)^B2026+SEASON_HRS_CAR*C2026*(1+DIM_CAR)^C2026</f>
        <v>3666.8012466104137</v>
      </c>
      <c r="E2026" s="18">
        <f>(FARMER_FIELD_HRS+A2026*TEMP_HRS)-D2026</f>
        <v>2813.1987533895863</v>
      </c>
      <c r="F2026" s="21">
        <f>IF(E2026&lt;0,0,MIN(COUNTIF(Labor!$C$59:$C$88,"&lt;="&amp;E2026),MAXBED_MES,TOTAL_BEDS-B2026-C2026))</f>
        <v>30</v>
      </c>
      <c r="G2026" s="21">
        <f>B2026+C2026+F2026</f>
        <v>59</v>
      </c>
      <c r="H2026" s="22">
        <f>IF(E2026&lt;0,-999999999,B2026*(PRICE_TOM-FERT_TOM)+C2026*(PRICE_CAR-FERT_CAR)+F2026*(PRICE_MES-FERT_MES)-(FARMER_SALARY+A2026*TEMP_COST)-FIXED_COSTS)</f>
        <v>1492</v>
      </c>
    </row>
    <row r="2027">
      <c r="A2027" s="5" t="n">
        <v>4</v>
      </c>
      <c r="B2027" s="5" t="n">
        <v>11</v>
      </c>
      <c r="C2027" s="5" t="n">
        <v>19</v>
      </c>
      <c r="D2027" s="18">
        <f>SEASON_HRS_TOM*B2027*(1+DIM_TOM)^B2027+SEASON_HRS_CAR*C2027*(1+DIM_CAR)^C2027</f>
        <v>3735.8161448689266</v>
      </c>
      <c r="E2027" s="18">
        <f>(FARMER_FIELD_HRS+A2027*TEMP_HRS)-D2027</f>
        <v>2744.1838551310734</v>
      </c>
      <c r="F2027" s="21">
        <f>IF(E2027&lt;0,0,MIN(COUNTIF(Labor!$C$59:$C$88,"&lt;="&amp;E2027),MAXBED_MES,TOTAL_BEDS-B2027-C2027))</f>
        <v>30</v>
      </c>
      <c r="G2027" s="21">
        <f>B2027+C2027+F2027</f>
        <v>60</v>
      </c>
      <c r="H2027" s="22">
        <f>IF(E2027&lt;0,-999999999,B2027*(PRICE_TOM-FERT_TOM)+C2027*(PRICE_CAR-FERT_CAR)+F2027*(PRICE_MES-FERT_MES)-(FARMER_SALARY+A2027*TEMP_COST)-FIXED_COSTS)</f>
        <v>3146</v>
      </c>
    </row>
    <row r="2028">
      <c r="A2028" s="5" t="n">
        <v>4</v>
      </c>
      <c r="B2028" s="5" t="n">
        <v>11</v>
      </c>
      <c r="C2028" s="5" t="n">
        <v>20</v>
      </c>
      <c r="D2028" s="18">
        <f>SEASON_HRS_TOM*B2028*(1+DIM_TOM)^B2028+SEASON_HRS_CAR*C2028*(1+DIM_CAR)^C2028</f>
        <v>3807.7554032231387</v>
      </c>
      <c r="E2028" s="18">
        <f>(FARMER_FIELD_HRS+A2028*TEMP_HRS)-D2028</f>
        <v>2672.2445967768613</v>
      </c>
      <c r="F2028" s="21">
        <f>IF(E2028&lt;0,0,MIN(COUNTIF(Labor!$C$59:$C$88,"&lt;="&amp;E2028),MAXBED_MES,TOTAL_BEDS-B2028-C2028))</f>
        <v>30</v>
      </c>
      <c r="G2028" s="21">
        <f>B2028+C2028+F2028</f>
        <v>61</v>
      </c>
      <c r="H2028" s="22">
        <f>IF(E2028&lt;0,-999999999,B2028*(PRICE_TOM-FERT_TOM)+C2028*(PRICE_CAR-FERT_CAR)+F2028*(PRICE_MES-FERT_MES)-(FARMER_SALARY+A2028*TEMP_COST)-FIXED_COSTS)</f>
        <v>4800</v>
      </c>
    </row>
    <row r="2029">
      <c r="A2029" s="5" t="n">
        <v>4</v>
      </c>
      <c r="B2029" s="5" t="n">
        <v>12</v>
      </c>
      <c r="C2029" s="5" t="n">
        <v>0</v>
      </c>
      <c r="D2029" s="18">
        <f>SEASON_HRS_TOM*B2029*(1+DIM_TOM)^B2029+SEASON_HRS_CAR*C2029*(1+DIM_CAR)^C2029</f>
        <v>3389.5026468586834</v>
      </c>
      <c r="E2029" s="18">
        <f>(FARMER_FIELD_HRS+A2029*TEMP_HRS)-D2029</f>
        <v>3090.4973531413166</v>
      </c>
      <c r="F2029" s="21">
        <f>IF(E2029&lt;0,0,MIN(COUNTIF(Labor!$C$59:$C$88,"&lt;="&amp;E2029),MAXBED_MES,TOTAL_BEDS-B2029-C2029))</f>
        <v>30</v>
      </c>
      <c r="G2029" s="21">
        <f>B2029+C2029+F2029</f>
        <v>42</v>
      </c>
      <c r="H2029" s="22">
        <f>IF(E2029&lt;0,-999999999,B2029*(PRICE_TOM-FERT_TOM)+C2029*(PRICE_CAR-FERT_CAR)+F2029*(PRICE_MES-FERT_MES)-(FARMER_SALARY+A2029*TEMP_COST)-FIXED_COSTS)</f>
        <v>-20360</v>
      </c>
    </row>
    <row r="2030">
      <c r="A2030" s="5" t="n">
        <v>4</v>
      </c>
      <c r="B2030" s="5" t="n">
        <v>12</v>
      </c>
      <c r="C2030" s="5" t="n">
        <v>1</v>
      </c>
      <c r="D2030" s="18">
        <f>SEASON_HRS_TOM*B2030*(1+DIM_TOM)^B2030+SEASON_HRS_CAR*C2030*(1+DIM_CAR)^C2030</f>
        <v>3420.2526468586834</v>
      </c>
      <c r="E2030" s="18">
        <f>(FARMER_FIELD_HRS+A2030*TEMP_HRS)-D2030</f>
        <v>3059.7473531413166</v>
      </c>
      <c r="F2030" s="21">
        <f>IF(E2030&lt;0,0,MIN(COUNTIF(Labor!$C$59:$C$88,"&lt;="&amp;E2030),MAXBED_MES,TOTAL_BEDS-B2030-C2030))</f>
        <v>30</v>
      </c>
      <c r="G2030" s="21">
        <f>B2030+C2030+F2030</f>
        <v>43</v>
      </c>
      <c r="H2030" s="22">
        <f>IF(E2030&lt;0,-999999999,B2030*(PRICE_TOM-FERT_TOM)+C2030*(PRICE_CAR-FERT_CAR)+F2030*(PRICE_MES-FERT_MES)-(FARMER_SALARY+A2030*TEMP_COST)-FIXED_COSTS)</f>
        <v>-18706</v>
      </c>
    </row>
    <row r="2031">
      <c r="A2031" s="5" t="n">
        <v>4</v>
      </c>
      <c r="B2031" s="5" t="n">
        <v>12</v>
      </c>
      <c r="C2031" s="5" t="n">
        <v>2</v>
      </c>
      <c r="D2031" s="18">
        <f>SEASON_HRS_TOM*B2031*(1+DIM_TOM)^B2031+SEASON_HRS_CAR*C2031*(1+DIM_CAR)^C2031</f>
        <v>3452.5401468586833</v>
      </c>
      <c r="E2031" s="18">
        <f>(FARMER_FIELD_HRS+A2031*TEMP_HRS)-D2031</f>
        <v>3027.4598531413167</v>
      </c>
      <c r="F2031" s="21">
        <f>IF(E2031&lt;0,0,MIN(COUNTIF(Labor!$C$59:$C$88,"&lt;="&amp;E2031),MAXBED_MES,TOTAL_BEDS-B2031-C2031))</f>
        <v>30</v>
      </c>
      <c r="G2031" s="21">
        <f>B2031+C2031+F2031</f>
        <v>44</v>
      </c>
      <c r="H2031" s="22">
        <f>IF(E2031&lt;0,-999999999,B2031*(PRICE_TOM-FERT_TOM)+C2031*(PRICE_CAR-FERT_CAR)+F2031*(PRICE_MES-FERT_MES)-(FARMER_SALARY+A2031*TEMP_COST)-FIXED_COSTS)</f>
        <v>-17052</v>
      </c>
    </row>
    <row r="2032">
      <c r="A2032" s="5" t="n">
        <v>4</v>
      </c>
      <c r="B2032" s="5" t="n">
        <v>12</v>
      </c>
      <c r="C2032" s="5" t="n">
        <v>3</v>
      </c>
      <c r="D2032" s="18">
        <f>SEASON_HRS_TOM*B2032*(1+DIM_TOM)^B2032+SEASON_HRS_CAR*C2032*(1+DIM_CAR)^C2032</f>
        <v>3486.422803108683</v>
      </c>
      <c r="E2032" s="18">
        <f>(FARMER_FIELD_HRS+A2032*TEMP_HRS)-D2032</f>
        <v>2993.577196891317</v>
      </c>
      <c r="F2032" s="21">
        <f>IF(E2032&lt;0,0,MIN(COUNTIF(Labor!$C$59:$C$88,"&lt;="&amp;E2032),MAXBED_MES,TOTAL_BEDS-B2032-C2032))</f>
        <v>30</v>
      </c>
      <c r="G2032" s="21">
        <f>B2032+C2032+F2032</f>
        <v>45</v>
      </c>
      <c r="H2032" s="22">
        <f>IF(E2032&lt;0,-999999999,B2032*(PRICE_TOM-FERT_TOM)+C2032*(PRICE_CAR-FERT_CAR)+F2032*(PRICE_MES-FERT_MES)-(FARMER_SALARY+A2032*TEMP_COST)-FIXED_COSTS)</f>
        <v>-15398</v>
      </c>
    </row>
    <row r="2033">
      <c r="A2033" s="5" t="n">
        <v>4</v>
      </c>
      <c r="B2033" s="5" t="n">
        <v>12</v>
      </c>
      <c r="C2033" s="5" t="n">
        <v>4</v>
      </c>
      <c r="D2033" s="18">
        <f>SEASON_HRS_TOM*B2033*(1+DIM_TOM)^B2033+SEASON_HRS_CAR*C2033*(1+DIM_CAR)^C2033</f>
        <v>3521.9601937336834</v>
      </c>
      <c r="E2033" s="18">
        <f>(FARMER_FIELD_HRS+A2033*TEMP_HRS)-D2033</f>
        <v>2958.0398062663166</v>
      </c>
      <c r="F2033" s="21">
        <f>IF(E2033&lt;0,0,MIN(COUNTIF(Labor!$C$59:$C$88,"&lt;="&amp;E2033),MAXBED_MES,TOTAL_BEDS-B2033-C2033))</f>
        <v>30</v>
      </c>
      <c r="G2033" s="21">
        <f>B2033+C2033+F2033</f>
        <v>46</v>
      </c>
      <c r="H2033" s="22">
        <f>IF(E2033&lt;0,-999999999,B2033*(PRICE_TOM-FERT_TOM)+C2033*(PRICE_CAR-FERT_CAR)+F2033*(PRICE_MES-FERT_MES)-(FARMER_SALARY+A2033*TEMP_COST)-FIXED_COSTS)</f>
        <v>-13744</v>
      </c>
    </row>
    <row r="2034">
      <c r="A2034" s="5" t="n">
        <v>4</v>
      </c>
      <c r="B2034" s="5" t="n">
        <v>12</v>
      </c>
      <c r="C2034" s="5" t="n">
        <v>5</v>
      </c>
      <c r="D2034" s="18">
        <f>SEASON_HRS_TOM*B2034*(1+DIM_TOM)^B2034+SEASON_HRS_CAR*C2034*(1+DIM_CAR)^C2034</f>
        <v>3559.2138787922772</v>
      </c>
      <c r="E2034" s="18">
        <f>(FARMER_FIELD_HRS+A2034*TEMP_HRS)-D2034</f>
        <v>2920.7861212077228</v>
      </c>
      <c r="F2034" s="21">
        <f>IF(E2034&lt;0,0,MIN(COUNTIF(Labor!$C$59:$C$88,"&lt;="&amp;E2034),MAXBED_MES,TOTAL_BEDS-B2034-C2034))</f>
        <v>30</v>
      </c>
      <c r="G2034" s="21">
        <f>B2034+C2034+F2034</f>
        <v>47</v>
      </c>
      <c r="H2034" s="22">
        <f>IF(E2034&lt;0,-999999999,B2034*(PRICE_TOM-FERT_TOM)+C2034*(PRICE_CAR-FERT_CAR)+F2034*(PRICE_MES-FERT_MES)-(FARMER_SALARY+A2034*TEMP_COST)-FIXED_COSTS)</f>
        <v>-12090</v>
      </c>
    </row>
    <row r="2035">
      <c r="A2035" s="5" t="n">
        <v>4</v>
      </c>
      <c r="B2035" s="5" t="n">
        <v>12</v>
      </c>
      <c r="C2035" s="5" t="n">
        <v>6</v>
      </c>
      <c r="D2035" s="18">
        <f>SEASON_HRS_TOM*B2035*(1+DIM_TOM)^B2035+SEASON_HRS_CAR*C2035*(1+DIM_CAR)^C2035</f>
        <v>3598.247462137004</v>
      </c>
      <c r="E2035" s="18">
        <f>(FARMER_FIELD_HRS+A2035*TEMP_HRS)-D2035</f>
        <v>2881.752537862996</v>
      </c>
      <c r="F2035" s="21">
        <f>IF(E2035&lt;0,0,MIN(COUNTIF(Labor!$C$59:$C$88,"&lt;="&amp;E2035),MAXBED_MES,TOTAL_BEDS-B2035-C2035))</f>
        <v>30</v>
      </c>
      <c r="G2035" s="21">
        <f>B2035+C2035+F2035</f>
        <v>48</v>
      </c>
      <c r="H2035" s="22">
        <f>IF(E2035&lt;0,-999999999,B2035*(PRICE_TOM-FERT_TOM)+C2035*(PRICE_CAR-FERT_CAR)+F2035*(PRICE_MES-FERT_MES)-(FARMER_SALARY+A2035*TEMP_COST)-FIXED_COSTS)</f>
        <v>-10436</v>
      </c>
    </row>
    <row r="2036">
      <c r="A2036" s="5" t="n">
        <v>4</v>
      </c>
      <c r="B2036" s="5" t="n">
        <v>12</v>
      </c>
      <c r="C2036" s="5" t="n">
        <v>7</v>
      </c>
      <c r="D2036" s="18">
        <f>SEASON_HRS_TOM*B2036*(1+DIM_TOM)^B2036+SEASON_HRS_CAR*C2036*(1+DIM_CAR)^C2036</f>
        <v>3639.126655129008</v>
      </c>
      <c r="E2036" s="18">
        <f>(FARMER_FIELD_HRS+A2036*TEMP_HRS)-D2036</f>
        <v>2840.873344870992</v>
      </c>
      <c r="F2036" s="21">
        <f>IF(E2036&lt;0,0,MIN(COUNTIF(Labor!$C$59:$C$88,"&lt;="&amp;E2036),MAXBED_MES,TOTAL_BEDS-B2036-C2036))</f>
        <v>30</v>
      </c>
      <c r="G2036" s="21">
        <f>B2036+C2036+F2036</f>
        <v>49</v>
      </c>
      <c r="H2036" s="22">
        <f>IF(E2036&lt;0,-999999999,B2036*(PRICE_TOM-FERT_TOM)+C2036*(PRICE_CAR-FERT_CAR)+F2036*(PRICE_MES-FERT_MES)-(FARMER_SALARY+A2036*TEMP_COST)-FIXED_COSTS)</f>
        <v>-8782</v>
      </c>
    </row>
    <row r="2037">
      <c r="A2037" s="5" t="n">
        <v>4</v>
      </c>
      <c r="B2037" s="5" t="n">
        <v>12</v>
      </c>
      <c r="C2037" s="5" t="n">
        <v>8</v>
      </c>
      <c r="D2037" s="18">
        <f>SEASON_HRS_TOM*B2037*(1+DIM_TOM)^B2037+SEASON_HRS_CAR*C2037*(1+DIM_CAR)^C2037</f>
        <v>3681.9193422610633</v>
      </c>
      <c r="E2037" s="18">
        <f>(FARMER_FIELD_HRS+A2037*TEMP_HRS)-D2037</f>
        <v>2798.0806577389367</v>
      </c>
      <c r="F2037" s="21">
        <f>IF(E2037&lt;0,0,MIN(COUNTIF(Labor!$C$59:$C$88,"&lt;="&amp;E2037),MAXBED_MES,TOTAL_BEDS-B2037-C2037))</f>
        <v>30</v>
      </c>
      <c r="G2037" s="21">
        <f>B2037+C2037+F2037</f>
        <v>50</v>
      </c>
      <c r="H2037" s="22">
        <f>IF(E2037&lt;0,-999999999,B2037*(PRICE_TOM-FERT_TOM)+C2037*(PRICE_CAR-FERT_CAR)+F2037*(PRICE_MES-FERT_MES)-(FARMER_SALARY+A2037*TEMP_COST)-FIXED_COSTS)</f>
        <v>-7128</v>
      </c>
    </row>
    <row r="2038">
      <c r="A2038" s="5" t="n">
        <v>4</v>
      </c>
      <c r="B2038" s="5" t="n">
        <v>12</v>
      </c>
      <c r="C2038" s="5" t="n">
        <v>9</v>
      </c>
      <c r="D2038" s="18">
        <f>SEASON_HRS_TOM*B2038*(1+DIM_TOM)^B2038+SEASON_HRS_CAR*C2038*(1+DIM_CAR)^C2038</f>
        <v>3726.695648744553</v>
      </c>
      <c r="E2038" s="18">
        <f>(FARMER_FIELD_HRS+A2038*TEMP_HRS)-D2038</f>
        <v>2753.304351255447</v>
      </c>
      <c r="F2038" s="21">
        <f>IF(E2038&lt;0,0,MIN(COUNTIF(Labor!$C$59:$C$88,"&lt;="&amp;E2038),MAXBED_MES,TOTAL_BEDS-B2038-C2038))</f>
        <v>30</v>
      </c>
      <c r="G2038" s="21">
        <f>B2038+C2038+F2038</f>
        <v>51</v>
      </c>
      <c r="H2038" s="22">
        <f>IF(E2038&lt;0,-999999999,B2038*(PRICE_TOM-FERT_TOM)+C2038*(PRICE_CAR-FERT_CAR)+F2038*(PRICE_MES-FERT_MES)-(FARMER_SALARY+A2038*TEMP_COST)-FIXED_COSTS)</f>
        <v>-5474</v>
      </c>
    </row>
    <row r="2039">
      <c r="A2039" s="5" t="n">
        <v>4</v>
      </c>
      <c r="B2039" s="5" t="n">
        <v>12</v>
      </c>
      <c r="C2039" s="5" t="n">
        <v>10</v>
      </c>
      <c r="D2039" s="18">
        <f>SEASON_HRS_TOM*B2039*(1+DIM_TOM)^B2039+SEASON_HRS_CAR*C2039*(1+DIM_CAR)^C2039</f>
        <v>3773.5280101175904</v>
      </c>
      <c r="E2039" s="18">
        <f>(FARMER_FIELD_HRS+A2039*TEMP_HRS)-D2039</f>
        <v>2706.4719898824096</v>
      </c>
      <c r="F2039" s="21">
        <f>IF(E2039&lt;0,0,MIN(COUNTIF(Labor!$C$59:$C$88,"&lt;="&amp;E2039),MAXBED_MES,TOTAL_BEDS-B2039-C2039))</f>
        <v>30</v>
      </c>
      <c r="G2039" s="21">
        <f>B2039+C2039+F2039</f>
        <v>52</v>
      </c>
      <c r="H2039" s="22">
        <f>IF(E2039&lt;0,-999999999,B2039*(PRICE_TOM-FERT_TOM)+C2039*(PRICE_CAR-FERT_CAR)+F2039*(PRICE_MES-FERT_MES)-(FARMER_SALARY+A2039*TEMP_COST)-FIXED_COSTS)</f>
        <v>-3820</v>
      </c>
    </row>
    <row r="2040">
      <c r="A2040" s="5" t="n">
        <v>4</v>
      </c>
      <c r="B2040" s="5" t="n">
        <v>12</v>
      </c>
      <c r="C2040" s="5" t="n">
        <v>11</v>
      </c>
      <c r="D2040" s="18">
        <f>SEASON_HRS_TOM*B2040*(1+DIM_TOM)^B2040+SEASON_HRS_CAR*C2040*(1+DIM_CAR)^C2040</f>
        <v>3822.491243933101</v>
      </c>
      <c r="E2040" s="18">
        <f>(FARMER_FIELD_HRS+A2040*TEMP_HRS)-D2040</f>
        <v>2657.508756066899</v>
      </c>
      <c r="F2040" s="21">
        <f>IF(E2040&lt;0,0,MIN(COUNTIF(Labor!$C$59:$C$88,"&lt;="&amp;E2040),MAXBED_MES,TOTAL_BEDS-B2040-C2040))</f>
        <v>30</v>
      </c>
      <c r="G2040" s="21">
        <f>B2040+C2040+F2040</f>
        <v>53</v>
      </c>
      <c r="H2040" s="22">
        <f>IF(E2040&lt;0,-999999999,B2040*(PRICE_TOM-FERT_TOM)+C2040*(PRICE_CAR-FERT_CAR)+F2040*(PRICE_MES-FERT_MES)-(FARMER_SALARY+A2040*TEMP_COST)-FIXED_COSTS)</f>
        <v>-2166</v>
      </c>
    </row>
    <row r="2041">
      <c r="A2041" s="5" t="n">
        <v>4</v>
      </c>
      <c r="B2041" s="5" t="n">
        <v>12</v>
      </c>
      <c r="C2041" s="5" t="n">
        <v>12</v>
      </c>
      <c r="D2041" s="18">
        <f>SEASON_HRS_TOM*B2041*(1+DIM_TOM)^B2041+SEASON_HRS_CAR*C2041*(1+DIM_CAR)^C2041</f>
        <v>3873.6626235873505</v>
      </c>
      <c r="E2041" s="18">
        <f>(FARMER_FIELD_HRS+A2041*TEMP_HRS)-D2041</f>
        <v>2606.3373764126495</v>
      </c>
      <c r="F2041" s="21">
        <f>IF(E2041&lt;0,0,MIN(COUNTIF(Labor!$C$59:$C$88,"&lt;="&amp;E2041),MAXBED_MES,TOTAL_BEDS-B2041-C2041))</f>
        <v>30</v>
      </c>
      <c r="G2041" s="21">
        <f>B2041+C2041+F2041</f>
        <v>54</v>
      </c>
      <c r="H2041" s="22">
        <f>IF(E2041&lt;0,-999999999,B2041*(PRICE_TOM-FERT_TOM)+C2041*(PRICE_CAR-FERT_CAR)+F2041*(PRICE_MES-FERT_MES)-(FARMER_SALARY+A2041*TEMP_COST)-FIXED_COSTS)</f>
        <v>-512</v>
      </c>
    </row>
    <row r="2042">
      <c r="A2042" s="5" t="n">
        <v>4</v>
      </c>
      <c r="B2042" s="5" t="n">
        <v>12</v>
      </c>
      <c r="C2042" s="5" t="n">
        <v>13</v>
      </c>
      <c r="D2042" s="18">
        <f>SEASON_HRS_TOM*B2042*(1+DIM_TOM)^B2042+SEASON_HRS_CAR*C2042*(1+DIM_CAR)^C2042</f>
        <v>3927.1219543511406</v>
      </c>
      <c r="E2042" s="18">
        <f>(FARMER_FIELD_HRS+A2042*TEMP_HRS)-D2042</f>
        <v>2552.8780456488594</v>
      </c>
      <c r="F2042" s="21">
        <f>IF(E2042&lt;0,0,MIN(COUNTIF(Labor!$C$59:$C$88,"&lt;="&amp;E2042),MAXBED_MES,TOTAL_BEDS-B2042-C2042))</f>
        <v>30</v>
      </c>
      <c r="G2042" s="21">
        <f>B2042+C2042+F2042</f>
        <v>55</v>
      </c>
      <c r="H2042" s="22">
        <f>IF(E2042&lt;0,-999999999,B2042*(PRICE_TOM-FERT_TOM)+C2042*(PRICE_CAR-FERT_CAR)+F2042*(PRICE_MES-FERT_MES)-(FARMER_SALARY+A2042*TEMP_COST)-FIXED_COSTS)</f>
        <v>1142</v>
      </c>
    </row>
    <row r="2043">
      <c r="A2043" s="5" t="n">
        <v>4</v>
      </c>
      <c r="B2043" s="5" t="n">
        <v>12</v>
      </c>
      <c r="C2043" s="5" t="n">
        <v>14</v>
      </c>
      <c r="D2043" s="18">
        <f>SEASON_HRS_TOM*B2043*(1+DIM_TOM)^B2043+SEASON_HRS_CAR*C2043*(1+DIM_CAR)^C2043</f>
        <v>3982.951651667665</v>
      </c>
      <c r="E2043" s="18">
        <f>(FARMER_FIELD_HRS+A2043*TEMP_HRS)-D2043</f>
        <v>2497.048348332335</v>
      </c>
      <c r="F2043" s="21">
        <f>IF(E2043&lt;0,0,MIN(COUNTIF(Labor!$C$59:$C$88,"&lt;="&amp;E2043),MAXBED_MES,TOTAL_BEDS-B2043-C2043))</f>
        <v>30</v>
      </c>
      <c r="G2043" s="21">
        <f>B2043+C2043+F2043</f>
        <v>56</v>
      </c>
      <c r="H2043" s="22">
        <f>IF(E2043&lt;0,-999999999,B2043*(PRICE_TOM-FERT_TOM)+C2043*(PRICE_CAR-FERT_CAR)+F2043*(PRICE_MES-FERT_MES)-(FARMER_SALARY+A2043*TEMP_COST)-FIXED_COSTS)</f>
        <v>2796</v>
      </c>
    </row>
    <row r="2044">
      <c r="A2044" s="5" t="n">
        <v>4</v>
      </c>
      <c r="B2044" s="5" t="n">
        <v>12</v>
      </c>
      <c r="C2044" s="5" t="n">
        <v>15</v>
      </c>
      <c r="D2044" s="18">
        <f>SEASON_HRS_TOM*B2044*(1+DIM_TOM)^B2044+SEASON_HRS_CAR*C2044*(1+DIM_CAR)^C2044</f>
        <v>4041.2368217828325</v>
      </c>
      <c r="E2044" s="18">
        <f>(FARMER_FIELD_HRS+A2044*TEMP_HRS)-D2044</f>
        <v>2438.7631782171675</v>
      </c>
      <c r="F2044" s="21">
        <f>IF(E2044&lt;0,0,MIN(COUNTIF(Labor!$C$59:$C$88,"&lt;="&amp;E2044),MAXBED_MES,TOTAL_BEDS-B2044-C2044))</f>
        <v>30</v>
      </c>
      <c r="G2044" s="21">
        <f>B2044+C2044+F2044</f>
        <v>57</v>
      </c>
      <c r="H2044" s="22">
        <f>IF(E2044&lt;0,-999999999,B2044*(PRICE_TOM-FERT_TOM)+C2044*(PRICE_CAR-FERT_CAR)+F2044*(PRICE_MES-FERT_MES)-(FARMER_SALARY+A2044*TEMP_COST)-FIXED_COSTS)</f>
        <v>4450</v>
      </c>
    </row>
    <row r="2045">
      <c r="A2045" s="5" t="n">
        <v>4</v>
      </c>
      <c r="B2045" s="5" t="n">
        <v>12</v>
      </c>
      <c r="C2045" s="5" t="n">
        <v>16</v>
      </c>
      <c r="D2045" s="18">
        <f>SEASON_HRS_TOM*B2045*(1+DIM_TOM)^B2045+SEASON_HRS_CAR*C2045*(1+DIM_CAR)^C2045</f>
        <v>4102.065344775753</v>
      </c>
      <c r="E2045" s="18">
        <f>(FARMER_FIELD_HRS+A2045*TEMP_HRS)-D2045</f>
        <v>2377.934655224247</v>
      </c>
      <c r="F2045" s="21">
        <f>IF(E2045&lt;0,0,MIN(COUNTIF(Labor!$C$59:$C$88,"&lt;="&amp;E2045),MAXBED_MES,TOTAL_BEDS-B2045-C2045))</f>
        <v>30</v>
      </c>
      <c r="G2045" s="21">
        <f>B2045+C2045+F2045</f>
        <v>58</v>
      </c>
      <c r="H2045" s="22">
        <f>IF(E2045&lt;0,-999999999,B2045*(PRICE_TOM-FERT_TOM)+C2045*(PRICE_CAR-FERT_CAR)+F2045*(PRICE_MES-FERT_MES)-(FARMER_SALARY+A2045*TEMP_COST)-FIXED_COSTS)</f>
        <v>6104</v>
      </c>
    </row>
    <row r="2046">
      <c r="A2046" s="5" t="n">
        <v>4</v>
      </c>
      <c r="B2046" s="5" t="n">
        <v>12</v>
      </c>
      <c r="C2046" s="5" t="n">
        <v>17</v>
      </c>
      <c r="D2046" s="18">
        <f>SEASON_HRS_TOM*B2046*(1+DIM_TOM)^B2046+SEASON_HRS_CAR*C2046*(1+DIM_CAR)^C2046</f>
        <v>4165.527960058992</v>
      </c>
      <c r="E2046" s="18">
        <f>(FARMER_FIELD_HRS+A2046*TEMP_HRS)-D2046</f>
        <v>2314.472039941008</v>
      </c>
      <c r="F2046" s="21">
        <f>IF(E2046&lt;0,0,MIN(COUNTIF(Labor!$C$59:$C$88,"&lt;="&amp;E2046),MAXBED_MES,TOTAL_BEDS-B2046-C2046))</f>
        <v>30</v>
      </c>
      <c r="G2046" s="21">
        <f>B2046+C2046+F2046</f>
        <v>59</v>
      </c>
      <c r="H2046" s="22">
        <f>IF(E2046&lt;0,-999999999,B2046*(PRICE_TOM-FERT_TOM)+C2046*(PRICE_CAR-FERT_CAR)+F2046*(PRICE_MES-FERT_MES)-(FARMER_SALARY+A2046*TEMP_COST)-FIXED_COSTS)</f>
        <v>7758</v>
      </c>
    </row>
    <row r="2047">
      <c r="A2047" s="5" t="n">
        <v>4</v>
      </c>
      <c r="B2047" s="5" t="n">
        <v>12</v>
      </c>
      <c r="C2047" s="5" t="n">
        <v>18</v>
      </c>
      <c r="D2047" s="18">
        <f>SEASON_HRS_TOM*B2047*(1+DIM_TOM)^B2047+SEASON_HRS_CAR*C2047*(1+DIM_CAR)^C2047</f>
        <v>4231.718354420195</v>
      </c>
      <c r="E2047" s="18">
        <f>(FARMER_FIELD_HRS+A2047*TEMP_HRS)-D2047</f>
        <v>2248.2816455798047</v>
      </c>
      <c r="F2047" s="21">
        <f>IF(E2047&lt;0,0,MIN(COUNTIF(Labor!$C$59:$C$88,"&lt;="&amp;E2047),MAXBED_MES,TOTAL_BEDS-B2047-C2047))</f>
        <v>30</v>
      </c>
      <c r="G2047" s="21">
        <f>B2047+C2047+F2047</f>
        <v>60</v>
      </c>
      <c r="H2047" s="22">
        <f>IF(E2047&lt;0,-999999999,B2047*(PRICE_TOM-FERT_TOM)+C2047*(PRICE_CAR-FERT_CAR)+F2047*(PRICE_MES-FERT_MES)-(FARMER_SALARY+A2047*TEMP_COST)-FIXED_COSTS)</f>
        <v>9412</v>
      </c>
    </row>
    <row r="2048">
      <c r="A2048" s="5" t="n">
        <v>4</v>
      </c>
      <c r="B2048" s="5" t="n">
        <v>12</v>
      </c>
      <c r="C2048" s="5" t="n">
        <v>19</v>
      </c>
      <c r="D2048" s="18">
        <f>SEASON_HRS_TOM*B2048*(1+DIM_TOM)^B2048+SEASON_HRS_CAR*C2048*(1+DIM_CAR)^C2048</f>
        <v>4300.733252678708</v>
      </c>
      <c r="E2048" s="18">
        <f>(FARMER_FIELD_HRS+A2048*TEMP_HRS)-D2048</f>
        <v>2179.2667473212923</v>
      </c>
      <c r="F2048" s="21">
        <f>IF(E2048&lt;0,0,MIN(COUNTIF(Labor!$C$59:$C$88,"&lt;="&amp;E2048),MAXBED_MES,TOTAL_BEDS-B2048-C2048))</f>
        <v>30</v>
      </c>
      <c r="G2048" s="21">
        <f>B2048+C2048+F2048</f>
        <v>61</v>
      </c>
      <c r="H2048" s="22">
        <f>IF(E2048&lt;0,-999999999,B2048*(PRICE_TOM-FERT_TOM)+C2048*(PRICE_CAR-FERT_CAR)+F2048*(PRICE_MES-FERT_MES)-(FARMER_SALARY+A2048*TEMP_COST)-FIXED_COSTS)</f>
        <v>11066</v>
      </c>
    </row>
    <row r="2049">
      <c r="A2049" s="5" t="n">
        <v>4</v>
      </c>
      <c r="B2049" s="5" t="n">
        <v>12</v>
      </c>
      <c r="C2049" s="5" t="n">
        <v>20</v>
      </c>
      <c r="D2049" s="18">
        <f>SEASON_HRS_TOM*B2049*(1+DIM_TOM)^B2049+SEASON_HRS_CAR*C2049*(1+DIM_CAR)^C2049</f>
        <v>4372.67251103292</v>
      </c>
      <c r="E2049" s="18">
        <f>(FARMER_FIELD_HRS+A2049*TEMP_HRS)-D2049</f>
        <v>2107.32748896708</v>
      </c>
      <c r="F2049" s="21">
        <f>IF(E2049&lt;0,0,MIN(COUNTIF(Labor!$C$59:$C$88,"&lt;="&amp;E2049),MAXBED_MES,TOTAL_BEDS-B2049-C2049))</f>
        <v>30</v>
      </c>
      <c r="G2049" s="21">
        <f>B2049+C2049+F2049</f>
        <v>62</v>
      </c>
      <c r="H2049" s="22">
        <f>IF(E2049&lt;0,-999999999,B2049*(PRICE_TOM-FERT_TOM)+C2049*(PRICE_CAR-FERT_CAR)+F2049*(PRICE_MES-FERT_MES)-(FARMER_SALARY+A2049*TEMP_COST)-FIXED_COSTS)</f>
        <v>12720</v>
      </c>
    </row>
    <row r="2050">
      <c r="A2050" s="5" t="n">
        <v>4</v>
      </c>
      <c r="B2050" s="5" t="n">
        <v>13</v>
      </c>
      <c r="C2050" s="5" t="n">
        <v>0</v>
      </c>
      <c r="D2050" s="18">
        <f>SEASON_HRS_TOM*B2050*(1+DIM_TOM)^B2050+SEASON_HRS_CAR*C2050*(1+DIM_CAR)^C2050</f>
        <v>4039.1573208399313</v>
      </c>
      <c r="E2050" s="18">
        <f>(FARMER_FIELD_HRS+A2050*TEMP_HRS)-D2050</f>
        <v>2440.8426791600687</v>
      </c>
      <c r="F2050" s="21">
        <f>IF(E2050&lt;0,0,MIN(COUNTIF(Labor!$C$59:$C$88,"&lt;="&amp;E2050),MAXBED_MES,TOTAL_BEDS-B2050-C2050))</f>
        <v>30</v>
      </c>
      <c r="G2050" s="21">
        <f>B2050+C2050+F2050</f>
        <v>43</v>
      </c>
      <c r="H2050" s="22">
        <f>IF(E2050&lt;0,-999999999,B2050*(PRICE_TOM-FERT_TOM)+C2050*(PRICE_CAR-FERT_CAR)+F2050*(PRICE_MES-FERT_MES)-(FARMER_SALARY+A2050*TEMP_COST)-FIXED_COSTS)</f>
        <v>-12440</v>
      </c>
    </row>
    <row r="2051">
      <c r="A2051" s="5" t="n">
        <v>4</v>
      </c>
      <c r="B2051" s="5" t="n">
        <v>13</v>
      </c>
      <c r="C2051" s="5" t="n">
        <v>1</v>
      </c>
      <c r="D2051" s="18">
        <f>SEASON_HRS_TOM*B2051*(1+DIM_TOM)^B2051+SEASON_HRS_CAR*C2051*(1+DIM_CAR)^C2051</f>
        <v>4069.9073208399313</v>
      </c>
      <c r="E2051" s="18">
        <f>(FARMER_FIELD_HRS+A2051*TEMP_HRS)-D2051</f>
        <v>2410.0926791600687</v>
      </c>
      <c r="F2051" s="21">
        <f>IF(E2051&lt;0,0,MIN(COUNTIF(Labor!$C$59:$C$88,"&lt;="&amp;E2051),MAXBED_MES,TOTAL_BEDS-B2051-C2051))</f>
        <v>30</v>
      </c>
      <c r="G2051" s="21">
        <f>B2051+C2051+F2051</f>
        <v>44</v>
      </c>
      <c r="H2051" s="22">
        <f>IF(E2051&lt;0,-999999999,B2051*(PRICE_TOM-FERT_TOM)+C2051*(PRICE_CAR-FERT_CAR)+F2051*(PRICE_MES-FERT_MES)-(FARMER_SALARY+A2051*TEMP_COST)-FIXED_COSTS)</f>
        <v>-10786</v>
      </c>
    </row>
    <row r="2052">
      <c r="A2052" s="5" t="n">
        <v>4</v>
      </c>
      <c r="B2052" s="5" t="n">
        <v>13</v>
      </c>
      <c r="C2052" s="5" t="n">
        <v>2</v>
      </c>
      <c r="D2052" s="18">
        <f>SEASON_HRS_TOM*B2052*(1+DIM_TOM)^B2052+SEASON_HRS_CAR*C2052*(1+DIM_CAR)^C2052</f>
        <v>4102.194820839932</v>
      </c>
      <c r="E2052" s="18">
        <f>(FARMER_FIELD_HRS+A2052*TEMP_HRS)-D2052</f>
        <v>2377.8051791600683</v>
      </c>
      <c r="F2052" s="21">
        <f>IF(E2052&lt;0,0,MIN(COUNTIF(Labor!$C$59:$C$88,"&lt;="&amp;E2052),MAXBED_MES,TOTAL_BEDS-B2052-C2052))</f>
        <v>30</v>
      </c>
      <c r="G2052" s="21">
        <f>B2052+C2052+F2052</f>
        <v>45</v>
      </c>
      <c r="H2052" s="22">
        <f>IF(E2052&lt;0,-999999999,B2052*(PRICE_TOM-FERT_TOM)+C2052*(PRICE_CAR-FERT_CAR)+F2052*(PRICE_MES-FERT_MES)-(FARMER_SALARY+A2052*TEMP_COST)-FIXED_COSTS)</f>
        <v>-9132</v>
      </c>
    </row>
    <row r="2053">
      <c r="A2053" s="5" t="n">
        <v>4</v>
      </c>
      <c r="B2053" s="5" t="n">
        <v>13</v>
      </c>
      <c r="C2053" s="5" t="n">
        <v>3</v>
      </c>
      <c r="D2053" s="18">
        <f>SEASON_HRS_TOM*B2053*(1+DIM_TOM)^B2053+SEASON_HRS_CAR*C2053*(1+DIM_CAR)^C2053</f>
        <v>4136.077477089932</v>
      </c>
      <c r="E2053" s="18">
        <f>(FARMER_FIELD_HRS+A2053*TEMP_HRS)-D2053</f>
        <v>2343.9225229100684</v>
      </c>
      <c r="F2053" s="21">
        <f>IF(E2053&lt;0,0,MIN(COUNTIF(Labor!$C$59:$C$88,"&lt;="&amp;E2053),MAXBED_MES,TOTAL_BEDS-B2053-C2053))</f>
        <v>30</v>
      </c>
      <c r="G2053" s="21">
        <f>B2053+C2053+F2053</f>
        <v>46</v>
      </c>
      <c r="H2053" s="22">
        <f>IF(E2053&lt;0,-999999999,B2053*(PRICE_TOM-FERT_TOM)+C2053*(PRICE_CAR-FERT_CAR)+F2053*(PRICE_MES-FERT_MES)-(FARMER_SALARY+A2053*TEMP_COST)-FIXED_COSTS)</f>
        <v>-7478</v>
      </c>
    </row>
    <row r="2054">
      <c r="A2054" s="5" t="n">
        <v>4</v>
      </c>
      <c r="B2054" s="5" t="n">
        <v>13</v>
      </c>
      <c r="C2054" s="5" t="n">
        <v>4</v>
      </c>
      <c r="D2054" s="18">
        <f>SEASON_HRS_TOM*B2054*(1+DIM_TOM)^B2054+SEASON_HRS_CAR*C2054*(1+DIM_CAR)^C2054</f>
        <v>4171.614867714931</v>
      </c>
      <c r="E2054" s="18">
        <f>(FARMER_FIELD_HRS+A2054*TEMP_HRS)-D2054</f>
        <v>2308.3851322850687</v>
      </c>
      <c r="F2054" s="21">
        <f>IF(E2054&lt;0,0,MIN(COUNTIF(Labor!$C$59:$C$88,"&lt;="&amp;E2054),MAXBED_MES,TOTAL_BEDS-B2054-C2054))</f>
        <v>30</v>
      </c>
      <c r="G2054" s="21">
        <f>B2054+C2054+F2054</f>
        <v>47</v>
      </c>
      <c r="H2054" s="22">
        <f>IF(E2054&lt;0,-999999999,B2054*(PRICE_TOM-FERT_TOM)+C2054*(PRICE_CAR-FERT_CAR)+F2054*(PRICE_MES-FERT_MES)-(FARMER_SALARY+A2054*TEMP_COST)-FIXED_COSTS)</f>
        <v>-5824</v>
      </c>
    </row>
    <row r="2055">
      <c r="A2055" s="5" t="n">
        <v>4</v>
      </c>
      <c r="B2055" s="5" t="n">
        <v>13</v>
      </c>
      <c r="C2055" s="5" t="n">
        <v>5</v>
      </c>
      <c r="D2055" s="18">
        <f>SEASON_HRS_TOM*B2055*(1+DIM_TOM)^B2055+SEASON_HRS_CAR*C2055*(1+DIM_CAR)^C2055</f>
        <v>4208.868552773525</v>
      </c>
      <c r="E2055" s="18">
        <f>(FARMER_FIELD_HRS+A2055*TEMP_HRS)-D2055</f>
        <v>2271.131447226475</v>
      </c>
      <c r="F2055" s="21">
        <f>IF(E2055&lt;0,0,MIN(COUNTIF(Labor!$C$59:$C$88,"&lt;="&amp;E2055),MAXBED_MES,TOTAL_BEDS-B2055-C2055))</f>
        <v>30</v>
      </c>
      <c r="G2055" s="21">
        <f>B2055+C2055+F2055</f>
        <v>48</v>
      </c>
      <c r="H2055" s="22">
        <f>IF(E2055&lt;0,-999999999,B2055*(PRICE_TOM-FERT_TOM)+C2055*(PRICE_CAR-FERT_CAR)+F2055*(PRICE_MES-FERT_MES)-(FARMER_SALARY+A2055*TEMP_COST)-FIXED_COSTS)</f>
        <v>-4170</v>
      </c>
    </row>
    <row r="2056">
      <c r="A2056" s="5" t="n">
        <v>4</v>
      </c>
      <c r="B2056" s="5" t="n">
        <v>13</v>
      </c>
      <c r="C2056" s="5" t="n">
        <v>6</v>
      </c>
      <c r="D2056" s="18">
        <f>SEASON_HRS_TOM*B2056*(1+DIM_TOM)^B2056+SEASON_HRS_CAR*C2056*(1+DIM_CAR)^C2056</f>
        <v>4247.902136118251</v>
      </c>
      <c r="E2056" s="18">
        <f>(FARMER_FIELD_HRS+A2056*TEMP_HRS)-D2056</f>
        <v>2232.0978638817487</v>
      </c>
      <c r="F2056" s="21">
        <f>IF(E2056&lt;0,0,MIN(COUNTIF(Labor!$C$59:$C$88,"&lt;="&amp;E2056),MAXBED_MES,TOTAL_BEDS-B2056-C2056))</f>
        <v>30</v>
      </c>
      <c r="G2056" s="21">
        <f>B2056+C2056+F2056</f>
        <v>49</v>
      </c>
      <c r="H2056" s="22">
        <f>IF(E2056&lt;0,-999999999,B2056*(PRICE_TOM-FERT_TOM)+C2056*(PRICE_CAR-FERT_CAR)+F2056*(PRICE_MES-FERT_MES)-(FARMER_SALARY+A2056*TEMP_COST)-FIXED_COSTS)</f>
        <v>-2516</v>
      </c>
    </row>
    <row r="2057">
      <c r="A2057" s="5" t="n">
        <v>4</v>
      </c>
      <c r="B2057" s="5" t="n">
        <v>13</v>
      </c>
      <c r="C2057" s="5" t="n">
        <v>7</v>
      </c>
      <c r="D2057" s="18">
        <f>SEASON_HRS_TOM*B2057*(1+DIM_TOM)^B2057+SEASON_HRS_CAR*C2057*(1+DIM_CAR)^C2057</f>
        <v>4288.781329110256</v>
      </c>
      <c r="E2057" s="18">
        <f>(FARMER_FIELD_HRS+A2057*TEMP_HRS)-D2057</f>
        <v>2191.2186708897443</v>
      </c>
      <c r="F2057" s="21">
        <f>IF(E2057&lt;0,0,MIN(COUNTIF(Labor!$C$59:$C$88,"&lt;="&amp;E2057),MAXBED_MES,TOTAL_BEDS-B2057-C2057))</f>
        <v>30</v>
      </c>
      <c r="G2057" s="21">
        <f>B2057+C2057+F2057</f>
        <v>50</v>
      </c>
      <c r="H2057" s="22">
        <f>IF(E2057&lt;0,-999999999,B2057*(PRICE_TOM-FERT_TOM)+C2057*(PRICE_CAR-FERT_CAR)+F2057*(PRICE_MES-FERT_MES)-(FARMER_SALARY+A2057*TEMP_COST)-FIXED_COSTS)</f>
        <v>-862</v>
      </c>
    </row>
    <row r="2058">
      <c r="A2058" s="5" t="n">
        <v>4</v>
      </c>
      <c r="B2058" s="5" t="n">
        <v>13</v>
      </c>
      <c r="C2058" s="5" t="n">
        <v>8</v>
      </c>
      <c r="D2058" s="18">
        <f>SEASON_HRS_TOM*B2058*(1+DIM_TOM)^B2058+SEASON_HRS_CAR*C2058*(1+DIM_CAR)^C2058</f>
        <v>4331.574016242312</v>
      </c>
      <c r="E2058" s="18">
        <f>(FARMER_FIELD_HRS+A2058*TEMP_HRS)-D2058</f>
        <v>2148.4259837576883</v>
      </c>
      <c r="F2058" s="21">
        <f>IF(E2058&lt;0,0,MIN(COUNTIF(Labor!$C$59:$C$88,"&lt;="&amp;E2058),MAXBED_MES,TOTAL_BEDS-B2058-C2058))</f>
        <v>30</v>
      </c>
      <c r="G2058" s="21">
        <f>B2058+C2058+F2058</f>
        <v>51</v>
      </c>
      <c r="H2058" s="22">
        <f>IF(E2058&lt;0,-999999999,B2058*(PRICE_TOM-FERT_TOM)+C2058*(PRICE_CAR-FERT_CAR)+F2058*(PRICE_MES-FERT_MES)-(FARMER_SALARY+A2058*TEMP_COST)-FIXED_COSTS)</f>
        <v>792</v>
      </c>
    </row>
    <row r="2059">
      <c r="A2059" s="5" t="n">
        <v>4</v>
      </c>
      <c r="B2059" s="5" t="n">
        <v>13</v>
      </c>
      <c r="C2059" s="5" t="n">
        <v>9</v>
      </c>
      <c r="D2059" s="18">
        <f>SEASON_HRS_TOM*B2059*(1+DIM_TOM)^B2059+SEASON_HRS_CAR*C2059*(1+DIM_CAR)^C2059</f>
        <v>4376.350322725801</v>
      </c>
      <c r="E2059" s="18">
        <f>(FARMER_FIELD_HRS+A2059*TEMP_HRS)-D2059</f>
        <v>2103.6496772741993</v>
      </c>
      <c r="F2059" s="21">
        <f>IF(E2059&lt;0,0,MIN(COUNTIF(Labor!$C$59:$C$88,"&lt;="&amp;E2059),MAXBED_MES,TOTAL_BEDS-B2059-C2059))</f>
        <v>30</v>
      </c>
      <c r="G2059" s="21">
        <f>B2059+C2059+F2059</f>
        <v>52</v>
      </c>
      <c r="H2059" s="22">
        <f>IF(E2059&lt;0,-999999999,B2059*(PRICE_TOM-FERT_TOM)+C2059*(PRICE_CAR-FERT_CAR)+F2059*(PRICE_MES-FERT_MES)-(FARMER_SALARY+A2059*TEMP_COST)-FIXED_COSTS)</f>
        <v>2446</v>
      </c>
    </row>
    <row r="2060">
      <c r="A2060" s="5" t="n">
        <v>4</v>
      </c>
      <c r="B2060" s="5" t="n">
        <v>13</v>
      </c>
      <c r="C2060" s="5" t="n">
        <v>10</v>
      </c>
      <c r="D2060" s="18">
        <f>SEASON_HRS_TOM*B2060*(1+DIM_TOM)^B2060+SEASON_HRS_CAR*C2060*(1+DIM_CAR)^C2060</f>
        <v>4423.182684098839</v>
      </c>
      <c r="E2060" s="18">
        <f>(FARMER_FIELD_HRS+A2060*TEMP_HRS)-D2060</f>
        <v>2056.8173159011612</v>
      </c>
      <c r="F2060" s="21">
        <f>IF(E2060&lt;0,0,MIN(COUNTIF(Labor!$C$59:$C$88,"&lt;="&amp;E2060),MAXBED_MES,TOTAL_BEDS-B2060-C2060))</f>
        <v>30</v>
      </c>
      <c r="G2060" s="21">
        <f>B2060+C2060+F2060</f>
        <v>53</v>
      </c>
      <c r="H2060" s="22">
        <f>IF(E2060&lt;0,-999999999,B2060*(PRICE_TOM-FERT_TOM)+C2060*(PRICE_CAR-FERT_CAR)+F2060*(PRICE_MES-FERT_MES)-(FARMER_SALARY+A2060*TEMP_COST)-FIXED_COSTS)</f>
        <v>4100</v>
      </c>
    </row>
    <row r="2061">
      <c r="A2061" s="5" t="n">
        <v>4</v>
      </c>
      <c r="B2061" s="5" t="n">
        <v>13</v>
      </c>
      <c r="C2061" s="5" t="n">
        <v>11</v>
      </c>
      <c r="D2061" s="18">
        <f>SEASON_HRS_TOM*B2061*(1+DIM_TOM)^B2061+SEASON_HRS_CAR*C2061*(1+DIM_CAR)^C2061</f>
        <v>4472.145917914349</v>
      </c>
      <c r="E2061" s="18">
        <f>(FARMER_FIELD_HRS+A2061*TEMP_HRS)-D2061</f>
        <v>2007.8540820856506</v>
      </c>
      <c r="F2061" s="21">
        <f>IF(E2061&lt;0,0,MIN(COUNTIF(Labor!$C$59:$C$88,"&lt;="&amp;E2061),MAXBED_MES,TOTAL_BEDS-B2061-C2061))</f>
        <v>30</v>
      </c>
      <c r="G2061" s="21">
        <f>B2061+C2061+F2061</f>
        <v>54</v>
      </c>
      <c r="H2061" s="22">
        <f>IF(E2061&lt;0,-999999999,B2061*(PRICE_TOM-FERT_TOM)+C2061*(PRICE_CAR-FERT_CAR)+F2061*(PRICE_MES-FERT_MES)-(FARMER_SALARY+A2061*TEMP_COST)-FIXED_COSTS)</f>
        <v>5754</v>
      </c>
    </row>
    <row r="2062">
      <c r="A2062" s="5" t="n">
        <v>4</v>
      </c>
      <c r="B2062" s="5" t="n">
        <v>13</v>
      </c>
      <c r="C2062" s="5" t="n">
        <v>12</v>
      </c>
      <c r="D2062" s="18">
        <f>SEASON_HRS_TOM*B2062*(1+DIM_TOM)^B2062+SEASON_HRS_CAR*C2062*(1+DIM_CAR)^C2062</f>
        <v>4523.317297568598</v>
      </c>
      <c r="E2062" s="18">
        <f>(FARMER_FIELD_HRS+A2062*TEMP_HRS)-D2062</f>
        <v>1956.6827024314016</v>
      </c>
      <c r="F2062" s="21">
        <f>IF(E2062&lt;0,0,MIN(COUNTIF(Labor!$C$59:$C$88,"&lt;="&amp;E2062),MAXBED_MES,TOTAL_BEDS-B2062-C2062))</f>
        <v>29</v>
      </c>
      <c r="G2062" s="21">
        <f>B2062+C2062+F2062</f>
        <v>54</v>
      </c>
      <c r="H2062" s="22">
        <f>IF(E2062&lt;0,-999999999,B2062*(PRICE_TOM-FERT_TOM)+C2062*(PRICE_CAR-FERT_CAR)+F2062*(PRICE_MES-FERT_MES)-(FARMER_SALARY+A2062*TEMP_COST)-FIXED_COSTS)</f>
        <v>5588</v>
      </c>
    </row>
    <row r="2063">
      <c r="A2063" s="5" t="n">
        <v>4</v>
      </c>
      <c r="B2063" s="5" t="n">
        <v>13</v>
      </c>
      <c r="C2063" s="5" t="n">
        <v>13</v>
      </c>
      <c r="D2063" s="18">
        <f>SEASON_HRS_TOM*B2063*(1+DIM_TOM)^B2063+SEASON_HRS_CAR*C2063*(1+DIM_CAR)^C2063</f>
        <v>4576.776628332388</v>
      </c>
      <c r="E2063" s="18">
        <f>(FARMER_FIELD_HRS+A2063*TEMP_HRS)-D2063</f>
        <v>1903.223371667612</v>
      </c>
      <c r="F2063" s="21">
        <f>IF(E2063&lt;0,0,MIN(COUNTIF(Labor!$C$59:$C$88,"&lt;="&amp;E2063),MAXBED_MES,TOTAL_BEDS-B2063-C2063))</f>
        <v>29</v>
      </c>
      <c r="G2063" s="21">
        <f>B2063+C2063+F2063</f>
        <v>55</v>
      </c>
      <c r="H2063" s="22">
        <f>IF(E2063&lt;0,-999999999,B2063*(PRICE_TOM-FERT_TOM)+C2063*(PRICE_CAR-FERT_CAR)+F2063*(PRICE_MES-FERT_MES)-(FARMER_SALARY+A2063*TEMP_COST)-FIXED_COSTS)</f>
        <v>7242</v>
      </c>
    </row>
    <row r="2064">
      <c r="A2064" s="5" t="n">
        <v>4</v>
      </c>
      <c r="B2064" s="5" t="n">
        <v>13</v>
      </c>
      <c r="C2064" s="5" t="n">
        <v>14</v>
      </c>
      <c r="D2064" s="18">
        <f>SEASON_HRS_TOM*B2064*(1+DIM_TOM)^B2064+SEASON_HRS_CAR*C2064*(1+DIM_CAR)^C2064</f>
        <v>4632.606325648913</v>
      </c>
      <c r="E2064" s="18">
        <f>(FARMER_FIELD_HRS+A2064*TEMP_HRS)-D2064</f>
        <v>1847.3936743510867</v>
      </c>
      <c r="F2064" s="21">
        <f>IF(E2064&lt;0,0,MIN(COUNTIF(Labor!$C$59:$C$88,"&lt;="&amp;E2064),MAXBED_MES,TOTAL_BEDS-B2064-C2064))</f>
        <v>28</v>
      </c>
      <c r="G2064" s="21">
        <f>B2064+C2064+F2064</f>
        <v>55</v>
      </c>
      <c r="H2064" s="22">
        <f>IF(E2064&lt;0,-999999999,B2064*(PRICE_TOM-FERT_TOM)+C2064*(PRICE_CAR-FERT_CAR)+F2064*(PRICE_MES-FERT_MES)-(FARMER_SALARY+A2064*TEMP_COST)-FIXED_COSTS)</f>
        <v>7076</v>
      </c>
    </row>
    <row r="2065">
      <c r="A2065" s="5" t="n">
        <v>4</v>
      </c>
      <c r="B2065" s="5" t="n">
        <v>13</v>
      </c>
      <c r="C2065" s="5" t="n">
        <v>15</v>
      </c>
      <c r="D2065" s="18">
        <f>SEASON_HRS_TOM*B2065*(1+DIM_TOM)^B2065+SEASON_HRS_CAR*C2065*(1+DIM_CAR)^C2065</f>
        <v>4690.891495764081</v>
      </c>
      <c r="E2065" s="18">
        <f>(FARMER_FIELD_HRS+A2065*TEMP_HRS)-D2065</f>
        <v>1789.108504235919</v>
      </c>
      <c r="F2065" s="21">
        <f>IF(E2065&lt;0,0,MIN(COUNTIF(Labor!$C$59:$C$88,"&lt;="&amp;E2065),MAXBED_MES,TOTAL_BEDS-B2065-C2065))</f>
        <v>28</v>
      </c>
      <c r="G2065" s="21">
        <f>B2065+C2065+F2065</f>
        <v>56</v>
      </c>
      <c r="H2065" s="22">
        <f>IF(E2065&lt;0,-999999999,B2065*(PRICE_TOM-FERT_TOM)+C2065*(PRICE_CAR-FERT_CAR)+F2065*(PRICE_MES-FERT_MES)-(FARMER_SALARY+A2065*TEMP_COST)-FIXED_COSTS)</f>
        <v>8730</v>
      </c>
    </row>
    <row r="2066">
      <c r="A2066" s="5" t="n">
        <v>4</v>
      </c>
      <c r="B2066" s="5" t="n">
        <v>13</v>
      </c>
      <c r="C2066" s="5" t="n">
        <v>16</v>
      </c>
      <c r="D2066" s="18">
        <f>SEASON_HRS_TOM*B2066*(1+DIM_TOM)^B2066+SEASON_HRS_CAR*C2066*(1+DIM_CAR)^C2066</f>
        <v>4751.7200187570015</v>
      </c>
      <c r="E2066" s="18">
        <f>(FARMER_FIELD_HRS+A2066*TEMP_HRS)-D2066</f>
        <v>1728.2799812429985</v>
      </c>
      <c r="F2066" s="21">
        <f>IF(E2066&lt;0,0,MIN(COUNTIF(Labor!$C$59:$C$88,"&lt;="&amp;E2066),MAXBED_MES,TOTAL_BEDS-B2066-C2066))</f>
        <v>27</v>
      </c>
      <c r="G2066" s="21">
        <f>B2066+C2066+F2066</f>
        <v>56</v>
      </c>
      <c r="H2066" s="22">
        <f>IF(E2066&lt;0,-999999999,B2066*(PRICE_TOM-FERT_TOM)+C2066*(PRICE_CAR-FERT_CAR)+F2066*(PRICE_MES-FERT_MES)-(FARMER_SALARY+A2066*TEMP_COST)-FIXED_COSTS)</f>
        <v>8564</v>
      </c>
    </row>
    <row r="2067">
      <c r="A2067" s="5" t="n">
        <v>4</v>
      </c>
      <c r="B2067" s="5" t="n">
        <v>13</v>
      </c>
      <c r="C2067" s="5" t="n">
        <v>17</v>
      </c>
      <c r="D2067" s="18">
        <f>SEASON_HRS_TOM*B2067*(1+DIM_TOM)^B2067+SEASON_HRS_CAR*C2067*(1+DIM_CAR)^C2067</f>
        <v>4815.18263404024</v>
      </c>
      <c r="E2067" s="18">
        <f>(FARMER_FIELD_HRS+A2067*TEMP_HRS)-D2067</f>
        <v>1664.8173659597596</v>
      </c>
      <c r="F2067" s="21">
        <f>IF(E2067&lt;0,0,MIN(COUNTIF(Labor!$C$59:$C$88,"&lt;="&amp;E2067),MAXBED_MES,TOTAL_BEDS-B2067-C2067))</f>
        <v>26</v>
      </c>
      <c r="G2067" s="21">
        <f>B2067+C2067+F2067</f>
        <v>56</v>
      </c>
      <c r="H2067" s="22">
        <f>IF(E2067&lt;0,-999999999,B2067*(PRICE_TOM-FERT_TOM)+C2067*(PRICE_CAR-FERT_CAR)+F2067*(PRICE_MES-FERT_MES)-(FARMER_SALARY+A2067*TEMP_COST)-FIXED_COSTS)</f>
        <v>8398</v>
      </c>
    </row>
    <row r="2068">
      <c r="A2068" s="5" t="n">
        <v>4</v>
      </c>
      <c r="B2068" s="5" t="n">
        <v>13</v>
      </c>
      <c r="C2068" s="5" t="n">
        <v>18</v>
      </c>
      <c r="D2068" s="18">
        <f>SEASON_HRS_TOM*B2068*(1+DIM_TOM)^B2068+SEASON_HRS_CAR*C2068*(1+DIM_CAR)^C2068</f>
        <v>4881.373028401443</v>
      </c>
      <c r="E2068" s="18">
        <f>(FARMER_FIELD_HRS+A2068*TEMP_HRS)-D2068</f>
        <v>1598.6269715985572</v>
      </c>
      <c r="F2068" s="21">
        <f>IF(E2068&lt;0,0,MIN(COUNTIF(Labor!$C$59:$C$88,"&lt;="&amp;E2068),MAXBED_MES,TOTAL_BEDS-B2068-C2068))</f>
        <v>25</v>
      </c>
      <c r="G2068" s="21">
        <f>B2068+C2068+F2068</f>
        <v>56</v>
      </c>
      <c r="H2068" s="22">
        <f>IF(E2068&lt;0,-999999999,B2068*(PRICE_TOM-FERT_TOM)+C2068*(PRICE_CAR-FERT_CAR)+F2068*(PRICE_MES-FERT_MES)-(FARMER_SALARY+A2068*TEMP_COST)-FIXED_COSTS)</f>
        <v>8232</v>
      </c>
    </row>
    <row r="2069">
      <c r="A2069" s="5" t="n">
        <v>4</v>
      </c>
      <c r="B2069" s="5" t="n">
        <v>13</v>
      </c>
      <c r="C2069" s="5" t="n">
        <v>19</v>
      </c>
      <c r="D2069" s="18">
        <f>SEASON_HRS_TOM*B2069*(1+DIM_TOM)^B2069+SEASON_HRS_CAR*C2069*(1+DIM_CAR)^C2069</f>
        <v>4950.387926659955</v>
      </c>
      <c r="E2069" s="18">
        <f>(FARMER_FIELD_HRS+A2069*TEMP_HRS)-D2069</f>
        <v>1529.6120733400448</v>
      </c>
      <c r="F2069" s="21">
        <f>IF(E2069&lt;0,0,MIN(COUNTIF(Labor!$C$59:$C$88,"&lt;="&amp;E2069),MAXBED_MES,TOTAL_BEDS-B2069-C2069))</f>
        <v>24</v>
      </c>
      <c r="G2069" s="21">
        <f>B2069+C2069+F2069</f>
        <v>56</v>
      </c>
      <c r="H2069" s="22">
        <f>IF(E2069&lt;0,-999999999,B2069*(PRICE_TOM-FERT_TOM)+C2069*(PRICE_CAR-FERT_CAR)+F2069*(PRICE_MES-FERT_MES)-(FARMER_SALARY+A2069*TEMP_COST)-FIXED_COSTS)</f>
        <v>8066</v>
      </c>
    </row>
    <row r="2070">
      <c r="A2070" s="5" t="n">
        <v>4</v>
      </c>
      <c r="B2070" s="5" t="n">
        <v>13</v>
      </c>
      <c r="C2070" s="5" t="n">
        <v>20</v>
      </c>
      <c r="D2070" s="18">
        <f>SEASON_HRS_TOM*B2070*(1+DIM_TOM)^B2070+SEASON_HRS_CAR*C2070*(1+DIM_CAR)^C2070</f>
        <v>5022.327185014168</v>
      </c>
      <c r="E2070" s="18">
        <f>(FARMER_FIELD_HRS+A2070*TEMP_HRS)-D2070</f>
        <v>1457.6728149858318</v>
      </c>
      <c r="F2070" s="21">
        <f>IF(E2070&lt;0,0,MIN(COUNTIF(Labor!$C$59:$C$88,"&lt;="&amp;E2070),MAXBED_MES,TOTAL_BEDS-B2070-C2070))</f>
        <v>24</v>
      </c>
      <c r="G2070" s="21">
        <f>B2070+C2070+F2070</f>
        <v>57</v>
      </c>
      <c r="H2070" s="22">
        <f>IF(E2070&lt;0,-999999999,B2070*(PRICE_TOM-FERT_TOM)+C2070*(PRICE_CAR-FERT_CAR)+F2070*(PRICE_MES-FERT_MES)-(FARMER_SALARY+A2070*TEMP_COST)-FIXED_COSTS)</f>
        <v>9720</v>
      </c>
    </row>
    <row r="2071">
      <c r="A2071" s="5" t="n">
        <v>4</v>
      </c>
      <c r="B2071" s="5" t="n">
        <v>14</v>
      </c>
      <c r="C2071" s="5" t="n">
        <v>0</v>
      </c>
      <c r="D2071" s="18">
        <f>SEASON_HRS_TOM*B2071*(1+DIM_TOM)^B2071+SEASON_HRS_CAR*C2071*(1+DIM_CAR)^C2071</f>
        <v>4784.847903148842</v>
      </c>
      <c r="E2071" s="18">
        <f>(FARMER_FIELD_HRS+A2071*TEMP_HRS)-D2071</f>
        <v>1695.1520968511577</v>
      </c>
      <c r="F2071" s="21">
        <f>IF(E2071&lt;0,0,MIN(COUNTIF(Labor!$C$59:$C$88,"&lt;="&amp;E2071),MAXBED_MES,TOTAL_BEDS-B2071-C2071))</f>
        <v>26</v>
      </c>
      <c r="G2071" s="21">
        <f>B2071+C2071+F2071</f>
        <v>40</v>
      </c>
      <c r="H2071" s="22">
        <f>IF(E2071&lt;0,-999999999,B2071*(PRICE_TOM-FERT_TOM)+C2071*(PRICE_CAR-FERT_CAR)+F2071*(PRICE_MES-FERT_MES)-(FARMER_SALARY+A2071*TEMP_COST)-FIXED_COSTS)</f>
        <v>-11800</v>
      </c>
    </row>
    <row r="2072">
      <c r="A2072" s="5" t="n">
        <v>4</v>
      </c>
      <c r="B2072" s="5" t="n">
        <v>14</v>
      </c>
      <c r="C2072" s="5" t="n">
        <v>1</v>
      </c>
      <c r="D2072" s="18">
        <f>SEASON_HRS_TOM*B2072*(1+DIM_TOM)^B2072+SEASON_HRS_CAR*C2072*(1+DIM_CAR)^C2072</f>
        <v>4815.597903148842</v>
      </c>
      <c r="E2072" s="18">
        <f>(FARMER_FIELD_HRS+A2072*TEMP_HRS)-D2072</f>
        <v>1664.4020968511577</v>
      </c>
      <c r="F2072" s="21">
        <f>IF(E2072&lt;0,0,MIN(COUNTIF(Labor!$C$59:$C$88,"&lt;="&amp;E2072),MAXBED_MES,TOTAL_BEDS-B2072-C2072))</f>
        <v>26</v>
      </c>
      <c r="G2072" s="21">
        <f>B2072+C2072+F2072</f>
        <v>41</v>
      </c>
      <c r="H2072" s="22">
        <f>IF(E2072&lt;0,-999999999,B2072*(PRICE_TOM-FERT_TOM)+C2072*(PRICE_CAR-FERT_CAR)+F2072*(PRICE_MES-FERT_MES)-(FARMER_SALARY+A2072*TEMP_COST)-FIXED_COSTS)</f>
        <v>-10146</v>
      </c>
    </row>
    <row r="2073">
      <c r="A2073" s="5" t="n">
        <v>4</v>
      </c>
      <c r="B2073" s="5" t="n">
        <v>14</v>
      </c>
      <c r="C2073" s="5" t="n">
        <v>2</v>
      </c>
      <c r="D2073" s="18">
        <f>SEASON_HRS_TOM*B2073*(1+DIM_TOM)^B2073+SEASON_HRS_CAR*C2073*(1+DIM_CAR)^C2073</f>
        <v>4847.885403148843</v>
      </c>
      <c r="E2073" s="18">
        <f>(FARMER_FIELD_HRS+A2073*TEMP_HRS)-D2073</f>
        <v>1632.1145968511573</v>
      </c>
      <c r="F2073" s="21">
        <f>IF(E2073&lt;0,0,MIN(COUNTIF(Labor!$C$59:$C$88,"&lt;="&amp;E2073),MAXBED_MES,TOTAL_BEDS-B2073-C2073))</f>
        <v>26</v>
      </c>
      <c r="G2073" s="21">
        <f>B2073+C2073+F2073</f>
        <v>42</v>
      </c>
      <c r="H2073" s="22">
        <f>IF(E2073&lt;0,-999999999,B2073*(PRICE_TOM-FERT_TOM)+C2073*(PRICE_CAR-FERT_CAR)+F2073*(PRICE_MES-FERT_MES)-(FARMER_SALARY+A2073*TEMP_COST)-FIXED_COSTS)</f>
        <v>-8492</v>
      </c>
    </row>
    <row r="2074">
      <c r="A2074" s="5" t="n">
        <v>4</v>
      </c>
      <c r="B2074" s="5" t="n">
        <v>14</v>
      </c>
      <c r="C2074" s="5" t="n">
        <v>3</v>
      </c>
      <c r="D2074" s="18">
        <f>SEASON_HRS_TOM*B2074*(1+DIM_TOM)^B2074+SEASON_HRS_CAR*C2074*(1+DIM_CAR)^C2074</f>
        <v>4881.7680593988425</v>
      </c>
      <c r="E2074" s="18">
        <f>(FARMER_FIELD_HRS+A2074*TEMP_HRS)-D2074</f>
        <v>1598.2319406011575</v>
      </c>
      <c r="F2074" s="21">
        <f>IF(E2074&lt;0,0,MIN(COUNTIF(Labor!$C$59:$C$88,"&lt;="&amp;E2074),MAXBED_MES,TOTAL_BEDS-B2074-C2074))</f>
        <v>25</v>
      </c>
      <c r="G2074" s="21">
        <f>B2074+C2074+F2074</f>
        <v>42</v>
      </c>
      <c r="H2074" s="22">
        <f>IF(E2074&lt;0,-999999999,B2074*(PRICE_TOM-FERT_TOM)+C2074*(PRICE_CAR-FERT_CAR)+F2074*(PRICE_MES-FERT_MES)-(FARMER_SALARY+A2074*TEMP_COST)-FIXED_COSTS)</f>
        <v>-8658</v>
      </c>
    </row>
    <row r="2075">
      <c r="A2075" s="5" t="n">
        <v>4</v>
      </c>
      <c r="B2075" s="5" t="n">
        <v>14</v>
      </c>
      <c r="C2075" s="5" t="n">
        <v>4</v>
      </c>
      <c r="D2075" s="18">
        <f>SEASON_HRS_TOM*B2075*(1+DIM_TOM)^B2075+SEASON_HRS_CAR*C2075*(1+DIM_CAR)^C2075</f>
        <v>4917.305450023842</v>
      </c>
      <c r="E2075" s="18">
        <f>(FARMER_FIELD_HRS+A2075*TEMP_HRS)-D2075</f>
        <v>1562.6945499761578</v>
      </c>
      <c r="F2075" s="21">
        <f>IF(E2075&lt;0,0,MIN(COUNTIF(Labor!$C$59:$C$88,"&lt;="&amp;E2075),MAXBED_MES,TOTAL_BEDS-B2075-C2075))</f>
        <v>25</v>
      </c>
      <c r="G2075" s="21">
        <f>B2075+C2075+F2075</f>
        <v>43</v>
      </c>
      <c r="H2075" s="22">
        <f>IF(E2075&lt;0,-999999999,B2075*(PRICE_TOM-FERT_TOM)+C2075*(PRICE_CAR-FERT_CAR)+F2075*(PRICE_MES-FERT_MES)-(FARMER_SALARY+A2075*TEMP_COST)-FIXED_COSTS)</f>
        <v>-7004</v>
      </c>
    </row>
    <row r="2076">
      <c r="A2076" s="5" t="n">
        <v>4</v>
      </c>
      <c r="B2076" s="5" t="n">
        <v>14</v>
      </c>
      <c r="C2076" s="5" t="n">
        <v>5</v>
      </c>
      <c r="D2076" s="18">
        <f>SEASON_HRS_TOM*B2076*(1+DIM_TOM)^B2076+SEASON_HRS_CAR*C2076*(1+DIM_CAR)^C2076</f>
        <v>4954.559135082436</v>
      </c>
      <c r="E2076" s="18">
        <f>(FARMER_FIELD_HRS+A2076*TEMP_HRS)-D2076</f>
        <v>1525.4408649175639</v>
      </c>
      <c r="F2076" s="21">
        <f>IF(E2076&lt;0,0,MIN(COUNTIF(Labor!$C$59:$C$88,"&lt;="&amp;E2076),MAXBED_MES,TOTAL_BEDS-B2076-C2076))</f>
        <v>24</v>
      </c>
      <c r="G2076" s="21">
        <f>B2076+C2076+F2076</f>
        <v>43</v>
      </c>
      <c r="H2076" s="22">
        <f>IF(E2076&lt;0,-999999999,B2076*(PRICE_TOM-FERT_TOM)+C2076*(PRICE_CAR-FERT_CAR)+F2076*(PRICE_MES-FERT_MES)-(FARMER_SALARY+A2076*TEMP_COST)-FIXED_COSTS)</f>
        <v>-7170</v>
      </c>
    </row>
    <row r="2077">
      <c r="A2077" s="5" t="n">
        <v>4</v>
      </c>
      <c r="B2077" s="5" t="n">
        <v>14</v>
      </c>
      <c r="C2077" s="5" t="n">
        <v>6</v>
      </c>
      <c r="D2077" s="18">
        <f>SEASON_HRS_TOM*B2077*(1+DIM_TOM)^B2077+SEASON_HRS_CAR*C2077*(1+DIM_CAR)^C2077</f>
        <v>4993.592718427162</v>
      </c>
      <c r="E2077" s="18">
        <f>(FARMER_FIELD_HRS+A2077*TEMP_HRS)-D2077</f>
        <v>1486.4072815728377</v>
      </c>
      <c r="F2077" s="21">
        <f>IF(E2077&lt;0,0,MIN(COUNTIF(Labor!$C$59:$C$88,"&lt;="&amp;E2077),MAXBED_MES,TOTAL_BEDS-B2077-C2077))</f>
        <v>24</v>
      </c>
      <c r="G2077" s="21">
        <f>B2077+C2077+F2077</f>
        <v>44</v>
      </c>
      <c r="H2077" s="22">
        <f>IF(E2077&lt;0,-999999999,B2077*(PRICE_TOM-FERT_TOM)+C2077*(PRICE_CAR-FERT_CAR)+F2077*(PRICE_MES-FERT_MES)-(FARMER_SALARY+A2077*TEMP_COST)-FIXED_COSTS)</f>
        <v>-5516</v>
      </c>
    </row>
    <row r="2078">
      <c r="A2078" s="5" t="n">
        <v>4</v>
      </c>
      <c r="B2078" s="5" t="n">
        <v>14</v>
      </c>
      <c r="C2078" s="5" t="n">
        <v>7</v>
      </c>
      <c r="D2078" s="18">
        <f>SEASON_HRS_TOM*B2078*(1+DIM_TOM)^B2078+SEASON_HRS_CAR*C2078*(1+DIM_CAR)^C2078</f>
        <v>5034.471911419167</v>
      </c>
      <c r="E2078" s="18">
        <f>(FARMER_FIELD_HRS+A2078*TEMP_HRS)-D2078</f>
        <v>1445.5280885808334</v>
      </c>
      <c r="F2078" s="21">
        <f>IF(E2078&lt;0,0,MIN(COUNTIF(Labor!$C$59:$C$88,"&lt;="&amp;E2078),MAXBED_MES,TOTAL_BEDS-B2078-C2078))</f>
        <v>23</v>
      </c>
      <c r="G2078" s="21">
        <f>B2078+C2078+F2078</f>
        <v>44</v>
      </c>
      <c r="H2078" s="22">
        <f>IF(E2078&lt;0,-999999999,B2078*(PRICE_TOM-FERT_TOM)+C2078*(PRICE_CAR-FERT_CAR)+F2078*(PRICE_MES-FERT_MES)-(FARMER_SALARY+A2078*TEMP_COST)-FIXED_COSTS)</f>
        <v>-5682</v>
      </c>
    </row>
    <row r="2079">
      <c r="A2079" s="5" t="n">
        <v>4</v>
      </c>
      <c r="B2079" s="5" t="n">
        <v>14</v>
      </c>
      <c r="C2079" s="5" t="n">
        <v>8</v>
      </c>
      <c r="D2079" s="18">
        <f>SEASON_HRS_TOM*B2079*(1+DIM_TOM)^B2079+SEASON_HRS_CAR*C2079*(1+DIM_CAR)^C2079</f>
        <v>5077.264598551223</v>
      </c>
      <c r="E2079" s="18">
        <f>(FARMER_FIELD_HRS+A2079*TEMP_HRS)-D2079</f>
        <v>1402.7354014487773</v>
      </c>
      <c r="F2079" s="21">
        <f>IF(E2079&lt;0,0,MIN(COUNTIF(Labor!$C$59:$C$88,"&lt;="&amp;E2079),MAXBED_MES,TOTAL_BEDS-B2079-C2079))</f>
        <v>23</v>
      </c>
      <c r="G2079" s="21">
        <f>B2079+C2079+F2079</f>
        <v>45</v>
      </c>
      <c r="H2079" s="22">
        <f>IF(E2079&lt;0,-999999999,B2079*(PRICE_TOM-FERT_TOM)+C2079*(PRICE_CAR-FERT_CAR)+F2079*(PRICE_MES-FERT_MES)-(FARMER_SALARY+A2079*TEMP_COST)-FIXED_COSTS)</f>
        <v>-4028</v>
      </c>
    </row>
    <row r="2080">
      <c r="A2080" s="5" t="n">
        <v>4</v>
      </c>
      <c r="B2080" s="5" t="n">
        <v>14</v>
      </c>
      <c r="C2080" s="5" t="n">
        <v>9</v>
      </c>
      <c r="D2080" s="18">
        <f>SEASON_HRS_TOM*B2080*(1+DIM_TOM)^B2080+SEASON_HRS_CAR*C2080*(1+DIM_CAR)^C2080</f>
        <v>5122.040905034712</v>
      </c>
      <c r="E2080" s="18">
        <f>(FARMER_FIELD_HRS+A2080*TEMP_HRS)-D2080</f>
        <v>1357.9590949652884</v>
      </c>
      <c r="F2080" s="21">
        <f>IF(E2080&lt;0,0,MIN(COUNTIF(Labor!$C$59:$C$88,"&lt;="&amp;E2080),MAXBED_MES,TOTAL_BEDS-B2080-C2080))</f>
        <v>22</v>
      </c>
      <c r="G2080" s="21">
        <f>B2080+C2080+F2080</f>
        <v>45</v>
      </c>
      <c r="H2080" s="22">
        <f>IF(E2080&lt;0,-999999999,B2080*(PRICE_TOM-FERT_TOM)+C2080*(PRICE_CAR-FERT_CAR)+F2080*(PRICE_MES-FERT_MES)-(FARMER_SALARY+A2080*TEMP_COST)-FIXED_COSTS)</f>
        <v>-4194</v>
      </c>
    </row>
    <row r="2081">
      <c r="A2081" s="5" t="n">
        <v>4</v>
      </c>
      <c r="B2081" s="5" t="n">
        <v>14</v>
      </c>
      <c r="C2081" s="5" t="n">
        <v>10</v>
      </c>
      <c r="D2081" s="18">
        <f>SEASON_HRS_TOM*B2081*(1+DIM_TOM)^B2081+SEASON_HRS_CAR*C2081*(1+DIM_CAR)^C2081</f>
        <v>5168.87326640775</v>
      </c>
      <c r="E2081" s="18">
        <f>(FARMER_FIELD_HRS+A2081*TEMP_HRS)-D2081</f>
        <v>1311.1267335922503</v>
      </c>
      <c r="F2081" s="21">
        <f>IF(E2081&lt;0,0,MIN(COUNTIF(Labor!$C$59:$C$88,"&lt;="&amp;E2081),MAXBED_MES,TOTAL_BEDS-B2081-C2081))</f>
        <v>22</v>
      </c>
      <c r="G2081" s="21">
        <f>B2081+C2081+F2081</f>
        <v>46</v>
      </c>
      <c r="H2081" s="22">
        <f>IF(E2081&lt;0,-999999999,B2081*(PRICE_TOM-FERT_TOM)+C2081*(PRICE_CAR-FERT_CAR)+F2081*(PRICE_MES-FERT_MES)-(FARMER_SALARY+A2081*TEMP_COST)-FIXED_COSTS)</f>
        <v>-2540</v>
      </c>
    </row>
    <row r="2082">
      <c r="A2082" s="5" t="n">
        <v>4</v>
      </c>
      <c r="B2082" s="5" t="n">
        <v>14</v>
      </c>
      <c r="C2082" s="5" t="n">
        <v>11</v>
      </c>
      <c r="D2082" s="18">
        <f>SEASON_HRS_TOM*B2082*(1+DIM_TOM)^B2082+SEASON_HRS_CAR*C2082*(1+DIM_CAR)^C2082</f>
        <v>5217.83650022326</v>
      </c>
      <c r="E2082" s="18">
        <f>(FARMER_FIELD_HRS+A2082*TEMP_HRS)-D2082</f>
        <v>1262.1634997767396</v>
      </c>
      <c r="F2082" s="21">
        <f>IF(E2082&lt;0,0,MIN(COUNTIF(Labor!$C$59:$C$88,"&lt;="&amp;E2082),MAXBED_MES,TOTAL_BEDS-B2082-C2082))</f>
        <v>21</v>
      </c>
      <c r="G2082" s="21">
        <f>B2082+C2082+F2082</f>
        <v>46</v>
      </c>
      <c r="H2082" s="22">
        <f>IF(E2082&lt;0,-999999999,B2082*(PRICE_TOM-FERT_TOM)+C2082*(PRICE_CAR-FERT_CAR)+F2082*(PRICE_MES-FERT_MES)-(FARMER_SALARY+A2082*TEMP_COST)-FIXED_COSTS)</f>
        <v>-2706</v>
      </c>
    </row>
    <row r="2083">
      <c r="A2083" s="5" t="n">
        <v>4</v>
      </c>
      <c r="B2083" s="5" t="n">
        <v>14</v>
      </c>
      <c r="C2083" s="5" t="n">
        <v>12</v>
      </c>
      <c r="D2083" s="18">
        <f>SEASON_HRS_TOM*B2083*(1+DIM_TOM)^B2083+SEASON_HRS_CAR*C2083*(1+DIM_CAR)^C2083</f>
        <v>5269.007879877509</v>
      </c>
      <c r="E2083" s="18">
        <f>(FARMER_FIELD_HRS+A2083*TEMP_HRS)-D2083</f>
        <v>1210.9921201224906</v>
      </c>
      <c r="F2083" s="21">
        <f>IF(E2083&lt;0,0,MIN(COUNTIF(Labor!$C$59:$C$88,"&lt;="&amp;E2083),MAXBED_MES,TOTAL_BEDS-B2083-C2083))</f>
        <v>20</v>
      </c>
      <c r="G2083" s="21">
        <f>B2083+C2083+F2083</f>
        <v>46</v>
      </c>
      <c r="H2083" s="22">
        <f>IF(E2083&lt;0,-999999999,B2083*(PRICE_TOM-FERT_TOM)+C2083*(PRICE_CAR-FERT_CAR)+F2083*(PRICE_MES-FERT_MES)-(FARMER_SALARY+A2083*TEMP_COST)-FIXED_COSTS)</f>
        <v>-2872</v>
      </c>
    </row>
    <row r="2084">
      <c r="A2084" s="5" t="n">
        <v>4</v>
      </c>
      <c r="B2084" s="5" t="n">
        <v>14</v>
      </c>
      <c r="C2084" s="5" t="n">
        <v>13</v>
      </c>
      <c r="D2084" s="18">
        <f>SEASON_HRS_TOM*B2084*(1+DIM_TOM)^B2084+SEASON_HRS_CAR*C2084*(1+DIM_CAR)^C2084</f>
        <v>5322.467210641299</v>
      </c>
      <c r="E2084" s="18">
        <f>(FARMER_FIELD_HRS+A2084*TEMP_HRS)-D2084</f>
        <v>1157.532789358701</v>
      </c>
      <c r="F2084" s="21">
        <f>IF(E2084&lt;0,0,MIN(COUNTIF(Labor!$C$59:$C$88,"&lt;="&amp;E2084),MAXBED_MES,TOTAL_BEDS-B2084-C2084))</f>
        <v>20</v>
      </c>
      <c r="G2084" s="21">
        <f>B2084+C2084+F2084</f>
        <v>47</v>
      </c>
      <c r="H2084" s="22">
        <f>IF(E2084&lt;0,-999999999,B2084*(PRICE_TOM-FERT_TOM)+C2084*(PRICE_CAR-FERT_CAR)+F2084*(PRICE_MES-FERT_MES)-(FARMER_SALARY+A2084*TEMP_COST)-FIXED_COSTS)</f>
        <v>-1218</v>
      </c>
    </row>
    <row r="2085">
      <c r="A2085" s="5" t="n">
        <v>4</v>
      </c>
      <c r="B2085" s="5" t="n">
        <v>14</v>
      </c>
      <c r="C2085" s="5" t="n">
        <v>14</v>
      </c>
      <c r="D2085" s="18">
        <f>SEASON_HRS_TOM*B2085*(1+DIM_TOM)^B2085+SEASON_HRS_CAR*C2085*(1+DIM_CAR)^C2085</f>
        <v>5378.296907957824</v>
      </c>
      <c r="E2085" s="18">
        <f>(FARMER_FIELD_HRS+A2085*TEMP_HRS)-D2085</f>
        <v>1101.7030920421757</v>
      </c>
      <c r="F2085" s="21">
        <f>IF(E2085&lt;0,0,MIN(COUNTIF(Labor!$C$59:$C$88,"&lt;="&amp;E2085),MAXBED_MES,TOTAL_BEDS-B2085-C2085))</f>
        <v>19</v>
      </c>
      <c r="G2085" s="21">
        <f>B2085+C2085+F2085</f>
        <v>47</v>
      </c>
      <c r="H2085" s="22">
        <f>IF(E2085&lt;0,-999999999,B2085*(PRICE_TOM-FERT_TOM)+C2085*(PRICE_CAR-FERT_CAR)+F2085*(PRICE_MES-FERT_MES)-(FARMER_SALARY+A2085*TEMP_COST)-FIXED_COSTS)</f>
        <v>-1384</v>
      </c>
    </row>
    <row r="2086">
      <c r="A2086" s="5" t="n">
        <v>4</v>
      </c>
      <c r="B2086" s="5" t="n">
        <v>14</v>
      </c>
      <c r="C2086" s="5" t="n">
        <v>15</v>
      </c>
      <c r="D2086" s="18">
        <f>SEASON_HRS_TOM*B2086*(1+DIM_TOM)^B2086+SEASON_HRS_CAR*C2086*(1+DIM_CAR)^C2086</f>
        <v>5436.582078072992</v>
      </c>
      <c r="E2086" s="18">
        <f>(FARMER_FIELD_HRS+A2086*TEMP_HRS)-D2086</f>
        <v>1043.4179219270081</v>
      </c>
      <c r="F2086" s="21">
        <f>IF(E2086&lt;0,0,MIN(COUNTIF(Labor!$C$59:$C$88,"&lt;="&amp;E2086),MAXBED_MES,TOTAL_BEDS-B2086-C2086))</f>
        <v>18</v>
      </c>
      <c r="G2086" s="21">
        <f>B2086+C2086+F2086</f>
        <v>47</v>
      </c>
      <c r="H2086" s="22">
        <f>IF(E2086&lt;0,-999999999,B2086*(PRICE_TOM-FERT_TOM)+C2086*(PRICE_CAR-FERT_CAR)+F2086*(PRICE_MES-FERT_MES)-(FARMER_SALARY+A2086*TEMP_COST)-FIXED_COSTS)</f>
        <v>-1550</v>
      </c>
    </row>
    <row r="2087">
      <c r="A2087" s="5" t="n">
        <v>4</v>
      </c>
      <c r="B2087" s="5" t="n">
        <v>14</v>
      </c>
      <c r="C2087" s="5" t="n">
        <v>16</v>
      </c>
      <c r="D2087" s="18">
        <f>SEASON_HRS_TOM*B2087*(1+DIM_TOM)^B2087+SEASON_HRS_CAR*C2087*(1+DIM_CAR)^C2087</f>
        <v>5497.4106010659125</v>
      </c>
      <c r="E2087" s="18">
        <f>(FARMER_FIELD_HRS+A2087*TEMP_HRS)-D2087</f>
        <v>982.5893989340875</v>
      </c>
      <c r="F2087" s="21">
        <f>IF(E2087&lt;0,0,MIN(COUNTIF(Labor!$C$59:$C$88,"&lt;="&amp;E2087),MAXBED_MES,TOTAL_BEDS-B2087-C2087))</f>
        <v>17</v>
      </c>
      <c r="G2087" s="21">
        <f>B2087+C2087+F2087</f>
        <v>47</v>
      </c>
      <c r="H2087" s="22">
        <f>IF(E2087&lt;0,-999999999,B2087*(PRICE_TOM-FERT_TOM)+C2087*(PRICE_CAR-FERT_CAR)+F2087*(PRICE_MES-FERT_MES)-(FARMER_SALARY+A2087*TEMP_COST)-FIXED_COSTS)</f>
        <v>-1716</v>
      </c>
    </row>
    <row r="2088">
      <c r="A2088" s="5" t="n">
        <v>4</v>
      </c>
      <c r="B2088" s="5" t="n">
        <v>14</v>
      </c>
      <c r="C2088" s="5" t="n">
        <v>17</v>
      </c>
      <c r="D2088" s="18">
        <f>SEASON_HRS_TOM*B2088*(1+DIM_TOM)^B2088+SEASON_HRS_CAR*C2088*(1+DIM_CAR)^C2088</f>
        <v>5560.873216349151</v>
      </c>
      <c r="E2088" s="18">
        <f>(FARMER_FIELD_HRS+A2088*TEMP_HRS)-D2088</f>
        <v>919.1267836508487</v>
      </c>
      <c r="F2088" s="21">
        <f>IF(E2088&lt;0,0,MIN(COUNTIF(Labor!$C$59:$C$88,"&lt;="&amp;E2088),MAXBED_MES,TOTAL_BEDS-B2088-C2088))</f>
        <v>16</v>
      </c>
      <c r="G2088" s="21">
        <f>B2088+C2088+F2088</f>
        <v>47</v>
      </c>
      <c r="H2088" s="22">
        <f>IF(E2088&lt;0,-999999999,B2088*(PRICE_TOM-FERT_TOM)+C2088*(PRICE_CAR-FERT_CAR)+F2088*(PRICE_MES-FERT_MES)-(FARMER_SALARY+A2088*TEMP_COST)-FIXED_COSTS)</f>
        <v>-1882</v>
      </c>
    </row>
    <row r="2089">
      <c r="A2089" s="5" t="n">
        <v>4</v>
      </c>
      <c r="B2089" s="5" t="n">
        <v>14</v>
      </c>
      <c r="C2089" s="5" t="n">
        <v>18</v>
      </c>
      <c r="D2089" s="18">
        <f>SEASON_HRS_TOM*B2089*(1+DIM_TOM)^B2089+SEASON_HRS_CAR*C2089*(1+DIM_CAR)^C2089</f>
        <v>5627.063610710354</v>
      </c>
      <c r="E2089" s="18">
        <f>(FARMER_FIELD_HRS+A2089*TEMP_HRS)-D2089</f>
        <v>852.9363892896463</v>
      </c>
      <c r="F2089" s="21">
        <f>IF(E2089&lt;0,0,MIN(COUNTIF(Labor!$C$59:$C$88,"&lt;="&amp;E2089),MAXBED_MES,TOTAL_BEDS-B2089-C2089))</f>
        <v>15</v>
      </c>
      <c r="G2089" s="21">
        <f>B2089+C2089+F2089</f>
        <v>47</v>
      </c>
      <c r="H2089" s="22">
        <f>IF(E2089&lt;0,-999999999,B2089*(PRICE_TOM-FERT_TOM)+C2089*(PRICE_CAR-FERT_CAR)+F2089*(PRICE_MES-FERT_MES)-(FARMER_SALARY+A2089*TEMP_COST)-FIXED_COSTS)</f>
        <v>-2048</v>
      </c>
    </row>
    <row r="2090">
      <c r="A2090" s="5" t="n">
        <v>4</v>
      </c>
      <c r="B2090" s="5" t="n">
        <v>14</v>
      </c>
      <c r="C2090" s="5" t="n">
        <v>19</v>
      </c>
      <c r="D2090" s="18">
        <f>SEASON_HRS_TOM*B2090*(1+DIM_TOM)^B2090+SEASON_HRS_CAR*C2090*(1+DIM_CAR)^C2090</f>
        <v>5696.078508968866</v>
      </c>
      <c r="E2090" s="18">
        <f>(FARMER_FIELD_HRS+A2090*TEMP_HRS)-D2090</f>
        <v>783.9214910311339</v>
      </c>
      <c r="F2090" s="21">
        <f>IF(E2090&lt;0,0,MIN(COUNTIF(Labor!$C$59:$C$88,"&lt;="&amp;E2090),MAXBED_MES,TOTAL_BEDS-B2090-C2090))</f>
        <v>14</v>
      </c>
      <c r="G2090" s="21">
        <f>B2090+C2090+F2090</f>
        <v>47</v>
      </c>
      <c r="H2090" s="22">
        <f>IF(E2090&lt;0,-999999999,B2090*(PRICE_TOM-FERT_TOM)+C2090*(PRICE_CAR-FERT_CAR)+F2090*(PRICE_MES-FERT_MES)-(FARMER_SALARY+A2090*TEMP_COST)-FIXED_COSTS)</f>
        <v>-2214</v>
      </c>
    </row>
    <row r="2091">
      <c r="A2091" s="5" t="n">
        <v>4</v>
      </c>
      <c r="B2091" s="5" t="n">
        <v>14</v>
      </c>
      <c r="C2091" s="5" t="n">
        <v>20</v>
      </c>
      <c r="D2091" s="18">
        <f>SEASON_HRS_TOM*B2091*(1+DIM_TOM)^B2091+SEASON_HRS_CAR*C2091*(1+DIM_CAR)^C2091</f>
        <v>5768.017767323079</v>
      </c>
      <c r="E2091" s="18">
        <f>(FARMER_FIELD_HRS+A2091*TEMP_HRS)-D2091</f>
        <v>711.9822326769208</v>
      </c>
      <c r="F2091" s="21">
        <f>IF(E2091&lt;0,0,MIN(COUNTIF(Labor!$C$59:$C$88,"&lt;="&amp;E2091),MAXBED_MES,TOTAL_BEDS-B2091-C2091))</f>
        <v>13</v>
      </c>
      <c r="G2091" s="21">
        <f>B2091+C2091+F2091</f>
        <v>47</v>
      </c>
      <c r="H2091" s="22">
        <f>IF(E2091&lt;0,-999999999,B2091*(PRICE_TOM-FERT_TOM)+C2091*(PRICE_CAR-FERT_CAR)+F2091*(PRICE_MES-FERT_MES)-(FARMER_SALARY+A2091*TEMP_COST)-FIXED_COSTS)</f>
        <v>-2380</v>
      </c>
    </row>
    <row r="2092">
      <c r="A2092" s="5" t="n">
        <v>4</v>
      </c>
      <c r="B2092" s="5" t="n">
        <v>15</v>
      </c>
      <c r="C2092" s="5" t="n">
        <v>0</v>
      </c>
      <c r="D2092" s="18">
        <f>SEASON_HRS_TOM*B2092*(1+DIM_TOM)^B2092+SEASON_HRS_CAR*C2092*(1+DIM_CAR)^C2092</f>
        <v>5639.285028711136</v>
      </c>
      <c r="E2092" s="18">
        <f>(FARMER_FIELD_HRS+A2092*TEMP_HRS)-D2092</f>
        <v>840.714971288864</v>
      </c>
      <c r="F2092" s="21">
        <f>IF(E2092&lt;0,0,MIN(COUNTIF(Labor!$C$59:$C$88,"&lt;="&amp;E2092),MAXBED_MES,TOTAL_BEDS-B2092-C2092))</f>
        <v>15</v>
      </c>
      <c r="G2092" s="21">
        <f>B2092+C2092+F2092</f>
        <v>30</v>
      </c>
      <c r="H2092" s="22">
        <f>IF(E2092&lt;0,-999999999,B2092*(PRICE_TOM-FERT_TOM)+C2092*(PRICE_CAR-FERT_CAR)+F2092*(PRICE_MES-FERT_MES)-(FARMER_SALARY+A2092*TEMP_COST)-FIXED_COSTS)</f>
        <v>-23900</v>
      </c>
    </row>
    <row r="2093">
      <c r="A2093" s="5" t="n">
        <v>4</v>
      </c>
      <c r="B2093" s="5" t="n">
        <v>15</v>
      </c>
      <c r="C2093" s="5" t="n">
        <v>1</v>
      </c>
      <c r="D2093" s="18">
        <f>SEASON_HRS_TOM*B2093*(1+DIM_TOM)^B2093+SEASON_HRS_CAR*C2093*(1+DIM_CAR)^C2093</f>
        <v>5670.035028711136</v>
      </c>
      <c r="E2093" s="18">
        <f>(FARMER_FIELD_HRS+A2093*TEMP_HRS)-D2093</f>
        <v>809.964971288864</v>
      </c>
      <c r="F2093" s="21">
        <f>IF(E2093&lt;0,0,MIN(COUNTIF(Labor!$C$59:$C$88,"&lt;="&amp;E2093),MAXBED_MES,TOTAL_BEDS-B2093-C2093))</f>
        <v>14</v>
      </c>
      <c r="G2093" s="21">
        <f>B2093+C2093+F2093</f>
        <v>30</v>
      </c>
      <c r="H2093" s="22">
        <f>IF(E2093&lt;0,-999999999,B2093*(PRICE_TOM-FERT_TOM)+C2093*(PRICE_CAR-FERT_CAR)+F2093*(PRICE_MES-FERT_MES)-(FARMER_SALARY+A2093*TEMP_COST)-FIXED_COSTS)</f>
        <v>-24066</v>
      </c>
    </row>
    <row r="2094">
      <c r="A2094" s="5" t="n">
        <v>4</v>
      </c>
      <c r="B2094" s="5" t="n">
        <v>15</v>
      </c>
      <c r="C2094" s="5" t="n">
        <v>2</v>
      </c>
      <c r="D2094" s="18">
        <f>SEASON_HRS_TOM*B2094*(1+DIM_TOM)^B2094+SEASON_HRS_CAR*C2094*(1+DIM_CAR)^C2094</f>
        <v>5702.322528711136</v>
      </c>
      <c r="E2094" s="18">
        <f>(FARMER_FIELD_HRS+A2094*TEMP_HRS)-D2094</f>
        <v>777.6774712888637</v>
      </c>
      <c r="F2094" s="21">
        <f>IF(E2094&lt;0,0,MIN(COUNTIF(Labor!$C$59:$C$88,"&lt;="&amp;E2094),MAXBED_MES,TOTAL_BEDS-B2094-C2094))</f>
        <v>14</v>
      </c>
      <c r="G2094" s="21">
        <f>B2094+C2094+F2094</f>
        <v>31</v>
      </c>
      <c r="H2094" s="22">
        <f>IF(E2094&lt;0,-999999999,B2094*(PRICE_TOM-FERT_TOM)+C2094*(PRICE_CAR-FERT_CAR)+F2094*(PRICE_MES-FERT_MES)-(FARMER_SALARY+A2094*TEMP_COST)-FIXED_COSTS)</f>
        <v>-22412</v>
      </c>
    </row>
    <row r="2095">
      <c r="A2095" s="5" t="n">
        <v>4</v>
      </c>
      <c r="B2095" s="5" t="n">
        <v>15</v>
      </c>
      <c r="C2095" s="5" t="n">
        <v>3</v>
      </c>
      <c r="D2095" s="18">
        <f>SEASON_HRS_TOM*B2095*(1+DIM_TOM)^B2095+SEASON_HRS_CAR*C2095*(1+DIM_CAR)^C2095</f>
        <v>5736.205184961136</v>
      </c>
      <c r="E2095" s="18">
        <f>(FARMER_FIELD_HRS+A2095*TEMP_HRS)-D2095</f>
        <v>743.7948150388638</v>
      </c>
      <c r="F2095" s="21">
        <f>IF(E2095&lt;0,0,MIN(COUNTIF(Labor!$C$59:$C$88,"&lt;="&amp;E2095),MAXBED_MES,TOTAL_BEDS-B2095-C2095))</f>
        <v>13</v>
      </c>
      <c r="G2095" s="21">
        <f>B2095+C2095+F2095</f>
        <v>31</v>
      </c>
      <c r="H2095" s="22">
        <f>IF(E2095&lt;0,-999999999,B2095*(PRICE_TOM-FERT_TOM)+C2095*(PRICE_CAR-FERT_CAR)+F2095*(PRICE_MES-FERT_MES)-(FARMER_SALARY+A2095*TEMP_COST)-FIXED_COSTS)</f>
        <v>-22578</v>
      </c>
    </row>
    <row r="2096">
      <c r="A2096" s="5" t="n">
        <v>4</v>
      </c>
      <c r="B2096" s="5" t="n">
        <v>15</v>
      </c>
      <c r="C2096" s="5" t="n">
        <v>4</v>
      </c>
      <c r="D2096" s="18">
        <f>SEASON_HRS_TOM*B2096*(1+DIM_TOM)^B2096+SEASON_HRS_CAR*C2096*(1+DIM_CAR)^C2096</f>
        <v>5771.742575586136</v>
      </c>
      <c r="E2096" s="18">
        <f>(FARMER_FIELD_HRS+A2096*TEMP_HRS)-D2096</f>
        <v>708.2574244138641</v>
      </c>
      <c r="F2096" s="21">
        <f>IF(E2096&lt;0,0,MIN(COUNTIF(Labor!$C$59:$C$88,"&lt;="&amp;E2096),MAXBED_MES,TOTAL_BEDS-B2096-C2096))</f>
        <v>13</v>
      </c>
      <c r="G2096" s="21">
        <f>B2096+C2096+F2096</f>
        <v>32</v>
      </c>
      <c r="H2096" s="22">
        <f>IF(E2096&lt;0,-999999999,B2096*(PRICE_TOM-FERT_TOM)+C2096*(PRICE_CAR-FERT_CAR)+F2096*(PRICE_MES-FERT_MES)-(FARMER_SALARY+A2096*TEMP_COST)-FIXED_COSTS)</f>
        <v>-20924</v>
      </c>
    </row>
    <row r="2097">
      <c r="A2097" s="5" t="n">
        <v>4</v>
      </c>
      <c r="B2097" s="5" t="n">
        <v>15</v>
      </c>
      <c r="C2097" s="5" t="n">
        <v>5</v>
      </c>
      <c r="D2097" s="18">
        <f>SEASON_HRS_TOM*B2097*(1+DIM_TOM)^B2097+SEASON_HRS_CAR*C2097*(1+DIM_CAR)^C2097</f>
        <v>5808.99626064473</v>
      </c>
      <c r="E2097" s="18">
        <f>(FARMER_FIELD_HRS+A2097*TEMP_HRS)-D2097</f>
        <v>671.0037393552702</v>
      </c>
      <c r="F2097" s="21">
        <f>IF(E2097&lt;0,0,MIN(COUNTIF(Labor!$C$59:$C$88,"&lt;="&amp;E2097),MAXBED_MES,TOTAL_BEDS-B2097-C2097))</f>
        <v>12</v>
      </c>
      <c r="G2097" s="21">
        <f>B2097+C2097+F2097</f>
        <v>32</v>
      </c>
      <c r="H2097" s="22">
        <f>IF(E2097&lt;0,-999999999,B2097*(PRICE_TOM-FERT_TOM)+C2097*(PRICE_CAR-FERT_CAR)+F2097*(PRICE_MES-FERT_MES)-(FARMER_SALARY+A2097*TEMP_COST)-FIXED_COSTS)</f>
        <v>-21090</v>
      </c>
    </row>
    <row r="2098">
      <c r="A2098" s="5" t="n">
        <v>4</v>
      </c>
      <c r="B2098" s="5" t="n">
        <v>15</v>
      </c>
      <c r="C2098" s="5" t="n">
        <v>6</v>
      </c>
      <c r="D2098" s="18">
        <f>SEASON_HRS_TOM*B2098*(1+DIM_TOM)^B2098+SEASON_HRS_CAR*C2098*(1+DIM_CAR)^C2098</f>
        <v>5848.029843989456</v>
      </c>
      <c r="E2098" s="18">
        <f>(FARMER_FIELD_HRS+A2098*TEMP_HRS)-D2098</f>
        <v>631.9701560105441</v>
      </c>
      <c r="F2098" s="21">
        <f>IF(E2098&lt;0,0,MIN(COUNTIF(Labor!$C$59:$C$88,"&lt;="&amp;E2098),MAXBED_MES,TOTAL_BEDS-B2098-C2098))</f>
        <v>12</v>
      </c>
      <c r="G2098" s="21">
        <f>B2098+C2098+F2098</f>
        <v>33</v>
      </c>
      <c r="H2098" s="22">
        <f>IF(E2098&lt;0,-999999999,B2098*(PRICE_TOM-FERT_TOM)+C2098*(PRICE_CAR-FERT_CAR)+F2098*(PRICE_MES-FERT_MES)-(FARMER_SALARY+A2098*TEMP_COST)-FIXED_COSTS)</f>
        <v>-19436</v>
      </c>
    </row>
    <row r="2099">
      <c r="A2099" s="5" t="n">
        <v>4</v>
      </c>
      <c r="B2099" s="5" t="n">
        <v>15</v>
      </c>
      <c r="C2099" s="5" t="n">
        <v>7</v>
      </c>
      <c r="D2099" s="18">
        <f>SEASON_HRS_TOM*B2099*(1+DIM_TOM)^B2099+SEASON_HRS_CAR*C2099*(1+DIM_CAR)^C2099</f>
        <v>5888.90903698146</v>
      </c>
      <c r="E2099" s="18">
        <f>(FARMER_FIELD_HRS+A2099*TEMP_HRS)-D2099</f>
        <v>591.0909630185397</v>
      </c>
      <c r="F2099" s="21">
        <f>IF(E2099&lt;0,0,MIN(COUNTIF(Labor!$C$59:$C$88,"&lt;="&amp;E2099),MAXBED_MES,TOTAL_BEDS-B2099-C2099))</f>
        <v>11</v>
      </c>
      <c r="G2099" s="21">
        <f>B2099+C2099+F2099</f>
        <v>33</v>
      </c>
      <c r="H2099" s="22">
        <f>IF(E2099&lt;0,-999999999,B2099*(PRICE_TOM-FERT_TOM)+C2099*(PRICE_CAR-FERT_CAR)+F2099*(PRICE_MES-FERT_MES)-(FARMER_SALARY+A2099*TEMP_COST)-FIXED_COSTS)</f>
        <v>-19602</v>
      </c>
    </row>
    <row r="2100">
      <c r="A2100" s="5" t="n">
        <v>4</v>
      </c>
      <c r="B2100" s="5" t="n">
        <v>15</v>
      </c>
      <c r="C2100" s="5" t="n">
        <v>8</v>
      </c>
      <c r="D2100" s="18">
        <f>SEASON_HRS_TOM*B2100*(1+DIM_TOM)^B2100+SEASON_HRS_CAR*C2100*(1+DIM_CAR)^C2100</f>
        <v>5931.701724113516</v>
      </c>
      <c r="E2100" s="18">
        <f>(FARMER_FIELD_HRS+A2100*TEMP_HRS)-D2100</f>
        <v>548.2982758864837</v>
      </c>
      <c r="F2100" s="21">
        <f>IF(E2100&lt;0,0,MIN(COUNTIF(Labor!$C$59:$C$88,"&lt;="&amp;E2100),MAXBED_MES,TOTAL_BEDS-B2100-C2100))</f>
        <v>10</v>
      </c>
      <c r="G2100" s="21">
        <f>B2100+C2100+F2100</f>
        <v>33</v>
      </c>
      <c r="H2100" s="22">
        <f>IF(E2100&lt;0,-999999999,B2100*(PRICE_TOM-FERT_TOM)+C2100*(PRICE_CAR-FERT_CAR)+F2100*(PRICE_MES-FERT_MES)-(FARMER_SALARY+A2100*TEMP_COST)-FIXED_COSTS)</f>
        <v>-19768</v>
      </c>
    </row>
    <row r="2101">
      <c r="A2101" s="5" t="n">
        <v>4</v>
      </c>
      <c r="B2101" s="5" t="n">
        <v>15</v>
      </c>
      <c r="C2101" s="5" t="n">
        <v>9</v>
      </c>
      <c r="D2101" s="18">
        <f>SEASON_HRS_TOM*B2101*(1+DIM_TOM)^B2101+SEASON_HRS_CAR*C2101*(1+DIM_CAR)^C2101</f>
        <v>5976.478030597005</v>
      </c>
      <c r="E2101" s="18">
        <f>(FARMER_FIELD_HRS+A2101*TEMP_HRS)-D2101</f>
        <v>503.5219694029947</v>
      </c>
      <c r="F2101" s="21">
        <f>IF(E2101&lt;0,0,MIN(COUNTIF(Labor!$C$59:$C$88,"&lt;="&amp;E2101),MAXBED_MES,TOTAL_BEDS-B2101-C2101))</f>
        <v>9</v>
      </c>
      <c r="G2101" s="21">
        <f>B2101+C2101+F2101</f>
        <v>33</v>
      </c>
      <c r="H2101" s="22">
        <f>IF(E2101&lt;0,-999999999,B2101*(PRICE_TOM-FERT_TOM)+C2101*(PRICE_CAR-FERT_CAR)+F2101*(PRICE_MES-FERT_MES)-(FARMER_SALARY+A2101*TEMP_COST)-FIXED_COSTS)</f>
        <v>-19934</v>
      </c>
    </row>
    <row r="2102">
      <c r="A2102" s="5" t="n">
        <v>4</v>
      </c>
      <c r="B2102" s="5" t="n">
        <v>15</v>
      </c>
      <c r="C2102" s="5" t="n">
        <v>10</v>
      </c>
      <c r="D2102" s="18">
        <f>SEASON_HRS_TOM*B2102*(1+DIM_TOM)^B2102+SEASON_HRS_CAR*C2102*(1+DIM_CAR)^C2102</f>
        <v>6023.310391970043</v>
      </c>
      <c r="E2102" s="18">
        <f>(FARMER_FIELD_HRS+A2102*TEMP_HRS)-D2102</f>
        <v>456.6896080299566</v>
      </c>
      <c r="F2102" s="21">
        <f>IF(E2102&lt;0,0,MIN(COUNTIF(Labor!$C$59:$C$88,"&lt;="&amp;E2102),MAXBED_MES,TOTAL_BEDS-B2102-C2102))</f>
        <v>9</v>
      </c>
      <c r="G2102" s="21">
        <f>B2102+C2102+F2102</f>
        <v>34</v>
      </c>
      <c r="H2102" s="22">
        <f>IF(E2102&lt;0,-999999999,B2102*(PRICE_TOM-FERT_TOM)+C2102*(PRICE_CAR-FERT_CAR)+F2102*(PRICE_MES-FERT_MES)-(FARMER_SALARY+A2102*TEMP_COST)-FIXED_COSTS)</f>
        <v>-18280</v>
      </c>
    </row>
    <row r="2103">
      <c r="A2103" s="5" t="n">
        <v>4</v>
      </c>
      <c r="B2103" s="5" t="n">
        <v>15</v>
      </c>
      <c r="C2103" s="5" t="n">
        <v>11</v>
      </c>
      <c r="D2103" s="18">
        <f>SEASON_HRS_TOM*B2103*(1+DIM_TOM)^B2103+SEASON_HRS_CAR*C2103*(1+DIM_CAR)^C2103</f>
        <v>6072.273625785554</v>
      </c>
      <c r="E2103" s="18">
        <f>(FARMER_FIELD_HRS+A2103*TEMP_HRS)-D2103</f>
        <v>407.72637421444597</v>
      </c>
      <c r="F2103" s="21">
        <f>IF(E2103&lt;0,0,MIN(COUNTIF(Labor!$C$59:$C$88,"&lt;="&amp;E2103),MAXBED_MES,TOTAL_BEDS-B2103-C2103))</f>
        <v>8</v>
      </c>
      <c r="G2103" s="21">
        <f>B2103+C2103+F2103</f>
        <v>34</v>
      </c>
      <c r="H2103" s="22">
        <f>IF(E2103&lt;0,-999999999,B2103*(PRICE_TOM-FERT_TOM)+C2103*(PRICE_CAR-FERT_CAR)+F2103*(PRICE_MES-FERT_MES)-(FARMER_SALARY+A2103*TEMP_COST)-FIXED_COSTS)</f>
        <v>-18446</v>
      </c>
    </row>
    <row r="2104">
      <c r="A2104" s="5" t="n">
        <v>4</v>
      </c>
      <c r="B2104" s="5" t="n">
        <v>15</v>
      </c>
      <c r="C2104" s="5" t="n">
        <v>12</v>
      </c>
      <c r="D2104" s="18">
        <f>SEASON_HRS_TOM*B2104*(1+DIM_TOM)^B2104+SEASON_HRS_CAR*C2104*(1+DIM_CAR)^C2104</f>
        <v>6123.445005439803</v>
      </c>
      <c r="E2104" s="18">
        <f>(FARMER_FIELD_HRS+A2104*TEMP_HRS)-D2104</f>
        <v>356.554994560197</v>
      </c>
      <c r="F2104" s="21">
        <f>IF(E2104&lt;0,0,MIN(COUNTIF(Labor!$C$59:$C$88,"&lt;="&amp;E2104),MAXBED_MES,TOTAL_BEDS-B2104-C2104))</f>
        <v>7</v>
      </c>
      <c r="G2104" s="21">
        <f>B2104+C2104+F2104</f>
        <v>34</v>
      </c>
      <c r="H2104" s="22">
        <f>IF(E2104&lt;0,-999999999,B2104*(PRICE_TOM-FERT_TOM)+C2104*(PRICE_CAR-FERT_CAR)+F2104*(PRICE_MES-FERT_MES)-(FARMER_SALARY+A2104*TEMP_COST)-FIXED_COSTS)</f>
        <v>-18612</v>
      </c>
    </row>
    <row r="2105">
      <c r="A2105" s="5" t="n">
        <v>4</v>
      </c>
      <c r="B2105" s="5" t="n">
        <v>15</v>
      </c>
      <c r="C2105" s="5" t="n">
        <v>13</v>
      </c>
      <c r="D2105" s="18">
        <f>SEASON_HRS_TOM*B2105*(1+DIM_TOM)^B2105+SEASON_HRS_CAR*C2105*(1+DIM_CAR)^C2105</f>
        <v>6176.904336203593</v>
      </c>
      <c r="E2105" s="18">
        <f>(FARMER_FIELD_HRS+A2105*TEMP_HRS)-D2105</f>
        <v>303.0956637964073</v>
      </c>
      <c r="F2105" s="21">
        <f>IF(E2105&lt;0,0,MIN(COUNTIF(Labor!$C$59:$C$88,"&lt;="&amp;E2105),MAXBED_MES,TOTAL_BEDS-B2105-C2105))</f>
        <v>6</v>
      </c>
      <c r="G2105" s="21">
        <f>B2105+C2105+F2105</f>
        <v>34</v>
      </c>
      <c r="H2105" s="22">
        <f>IF(E2105&lt;0,-999999999,B2105*(PRICE_TOM-FERT_TOM)+C2105*(PRICE_CAR-FERT_CAR)+F2105*(PRICE_MES-FERT_MES)-(FARMER_SALARY+A2105*TEMP_COST)-FIXED_COSTS)</f>
        <v>-18778</v>
      </c>
    </row>
    <row r="2106">
      <c r="A2106" s="5" t="n">
        <v>4</v>
      </c>
      <c r="B2106" s="5" t="n">
        <v>15</v>
      </c>
      <c r="C2106" s="5" t="n">
        <v>14</v>
      </c>
      <c r="D2106" s="18">
        <f>SEASON_HRS_TOM*B2106*(1+DIM_TOM)^B2106+SEASON_HRS_CAR*C2106*(1+DIM_CAR)^C2106</f>
        <v>6232.734033520118</v>
      </c>
      <c r="E2106" s="18">
        <f>(FARMER_FIELD_HRS+A2106*TEMP_HRS)-D2106</f>
        <v>247.26596647988208</v>
      </c>
      <c r="F2106" s="21">
        <f>IF(E2106&lt;0,0,MIN(COUNTIF(Labor!$C$59:$C$88,"&lt;="&amp;E2106),MAXBED_MES,TOTAL_BEDS-B2106-C2106))</f>
        <v>5</v>
      </c>
      <c r="G2106" s="21">
        <f>B2106+C2106+F2106</f>
        <v>34</v>
      </c>
      <c r="H2106" s="22">
        <f>IF(E2106&lt;0,-999999999,B2106*(PRICE_TOM-FERT_TOM)+C2106*(PRICE_CAR-FERT_CAR)+F2106*(PRICE_MES-FERT_MES)-(FARMER_SALARY+A2106*TEMP_COST)-FIXED_COSTS)</f>
        <v>-18944</v>
      </c>
    </row>
    <row r="2107">
      <c r="A2107" s="5" t="n">
        <v>4</v>
      </c>
      <c r="B2107" s="5" t="n">
        <v>15</v>
      </c>
      <c r="C2107" s="5" t="n">
        <v>15</v>
      </c>
      <c r="D2107" s="18">
        <f>SEASON_HRS_TOM*B2107*(1+DIM_TOM)^B2107+SEASON_HRS_CAR*C2107*(1+DIM_CAR)^C2107</f>
        <v>6291.0192036352855</v>
      </c>
      <c r="E2107" s="18">
        <f>(FARMER_FIELD_HRS+A2107*TEMP_HRS)-D2107</f>
        <v>188.98079636471448</v>
      </c>
      <c r="F2107" s="21">
        <f>IF(E2107&lt;0,0,MIN(COUNTIF(Labor!$C$59:$C$88,"&lt;="&amp;E2107),MAXBED_MES,TOTAL_BEDS-B2107-C2107))</f>
        <v>3</v>
      </c>
      <c r="G2107" s="21">
        <f>B2107+C2107+F2107</f>
        <v>33</v>
      </c>
      <c r="H2107" s="22">
        <f>IF(E2107&lt;0,-999999999,B2107*(PRICE_TOM-FERT_TOM)+C2107*(PRICE_CAR-FERT_CAR)+F2107*(PRICE_MES-FERT_MES)-(FARMER_SALARY+A2107*TEMP_COST)-FIXED_COSTS)</f>
        <v>-20930</v>
      </c>
    </row>
    <row r="2108">
      <c r="A2108" s="5" t="n">
        <v>4</v>
      </c>
      <c r="B2108" s="5" t="n">
        <v>15</v>
      </c>
      <c r="C2108" s="5" t="n">
        <v>16</v>
      </c>
      <c r="D2108" s="18">
        <f>SEASON_HRS_TOM*B2108*(1+DIM_TOM)^B2108+SEASON_HRS_CAR*C2108*(1+DIM_CAR)^C2108</f>
        <v>6351.847726628206</v>
      </c>
      <c r="E2108" s="18">
        <f>(FARMER_FIELD_HRS+A2108*TEMP_HRS)-D2108</f>
        <v>128.15227337179385</v>
      </c>
      <c r="F2108" s="21">
        <f>IF(E2108&lt;0,0,MIN(COUNTIF(Labor!$C$59:$C$88,"&lt;="&amp;E2108),MAXBED_MES,TOTAL_BEDS-B2108-C2108))</f>
        <v>2</v>
      </c>
      <c r="G2108" s="21">
        <f>B2108+C2108+F2108</f>
        <v>33</v>
      </c>
      <c r="H2108" s="22">
        <f>IF(E2108&lt;0,-999999999,B2108*(PRICE_TOM-FERT_TOM)+C2108*(PRICE_CAR-FERT_CAR)+F2108*(PRICE_MES-FERT_MES)-(FARMER_SALARY+A2108*TEMP_COST)-FIXED_COSTS)</f>
        <v>-21096</v>
      </c>
    </row>
    <row r="2109">
      <c r="A2109" s="5" t="n">
        <v>4</v>
      </c>
      <c r="B2109" s="5" t="n">
        <v>15</v>
      </c>
      <c r="C2109" s="5" t="n">
        <v>17</v>
      </c>
      <c r="D2109" s="18">
        <f>SEASON_HRS_TOM*B2109*(1+DIM_TOM)^B2109+SEASON_HRS_CAR*C2109*(1+DIM_CAR)^C2109</f>
        <v>6415.310341911445</v>
      </c>
      <c r="E2109" s="18">
        <f>(FARMER_FIELD_HRS+A2109*TEMP_HRS)-D2109</f>
        <v>64.689658088555</v>
      </c>
      <c r="F2109" s="21">
        <f>IF(E2109&lt;0,0,MIN(COUNTIF(Labor!$C$59:$C$88,"&lt;="&amp;E2109),MAXBED_MES,TOTAL_BEDS-B2109-C2109))</f>
        <v>1</v>
      </c>
      <c r="G2109" s="21">
        <f>B2109+C2109+F2109</f>
        <v>33</v>
      </c>
      <c r="H2109" s="22">
        <f>IF(E2109&lt;0,-999999999,B2109*(PRICE_TOM-FERT_TOM)+C2109*(PRICE_CAR-FERT_CAR)+F2109*(PRICE_MES-FERT_MES)-(FARMER_SALARY+A2109*TEMP_COST)-FIXED_COSTS)</f>
        <v>-21262</v>
      </c>
    </row>
    <row r="2110">
      <c r="A2110" s="5" t="n">
        <v>4</v>
      </c>
      <c r="B2110" s="5" t="n">
        <v>15</v>
      </c>
      <c r="C2110" s="5" t="n">
        <v>18</v>
      </c>
      <c r="D2110" s="18">
        <f>SEASON_HRS_TOM*B2110*(1+DIM_TOM)^B2110+SEASON_HRS_CAR*C2110*(1+DIM_CAR)^C2110</f>
        <v>6481.500736272647</v>
      </c>
      <c r="E2110" s="18">
        <f>(FARMER_FIELD_HRS+A2110*TEMP_HRS)-D2110</f>
        <v>-1.500736272647373</v>
      </c>
      <c r="F2110" s="21">
        <f>IF(E2110&lt;0,0,MIN(COUNTIF(Labor!$C$59:$C$88,"&lt;="&amp;E2110),MAXBED_MES,TOTAL_BEDS-B2110-C2110))</f>
        <v>0</v>
      </c>
      <c r="G2110" s="21">
        <f>B2110+C2110+F2110</f>
        <v>33</v>
      </c>
      <c r="H2110" s="22">
        <f>IF(E2110&lt;0,-999999999,B2110*(PRICE_TOM-FERT_TOM)+C2110*(PRICE_CAR-FERT_CAR)+F2110*(PRICE_MES-FERT_MES)-(FARMER_SALARY+A2110*TEMP_COST)-FIXED_COSTS)</f>
        <v>-999999999</v>
      </c>
    </row>
    <row r="2111">
      <c r="A2111" s="5" t="n">
        <v>4</v>
      </c>
      <c r="B2111" s="5" t="n">
        <v>15</v>
      </c>
      <c r="C2111" s="5" t="n">
        <v>19</v>
      </c>
      <c r="D2111" s="18">
        <f>SEASON_HRS_TOM*B2111*(1+DIM_TOM)^B2111+SEASON_HRS_CAR*C2111*(1+DIM_CAR)^C2111</f>
        <v>6550.51563453116</v>
      </c>
      <c r="E2111" s="18">
        <f>(FARMER_FIELD_HRS+A2111*TEMP_HRS)-D2111</f>
        <v>-70.51563453115978</v>
      </c>
      <c r="F2111" s="21">
        <f>IF(E2111&lt;0,0,MIN(COUNTIF(Labor!$C$59:$C$88,"&lt;="&amp;E2111),MAXBED_MES,TOTAL_BEDS-B2111-C2111))</f>
        <v>0</v>
      </c>
      <c r="G2111" s="21">
        <f>B2111+C2111+F2111</f>
        <v>34</v>
      </c>
      <c r="H2111" s="22">
        <f>IF(E2111&lt;0,-999999999,B2111*(PRICE_TOM-FERT_TOM)+C2111*(PRICE_CAR-FERT_CAR)+F2111*(PRICE_MES-FERT_MES)-(FARMER_SALARY+A2111*TEMP_COST)-FIXED_COSTS)</f>
        <v>-999999999</v>
      </c>
    </row>
    <row r="2112">
      <c r="A2112" s="5" t="n">
        <v>4</v>
      </c>
      <c r="B2112" s="5" t="n">
        <v>15</v>
      </c>
      <c r="C2112" s="5" t="n">
        <v>20</v>
      </c>
      <c r="D2112" s="18">
        <f>SEASON_HRS_TOM*B2112*(1+DIM_TOM)^B2112+SEASON_HRS_CAR*C2112*(1+DIM_CAR)^C2112</f>
        <v>6622.454892885373</v>
      </c>
      <c r="E2112" s="18">
        <f>(FARMER_FIELD_HRS+A2112*TEMP_HRS)-D2112</f>
        <v>-142.45489288537283</v>
      </c>
      <c r="F2112" s="21">
        <f>IF(E2112&lt;0,0,MIN(COUNTIF(Labor!$C$59:$C$88,"&lt;="&amp;E2112),MAXBED_MES,TOTAL_BEDS-B2112-C2112))</f>
        <v>0</v>
      </c>
      <c r="G2112" s="21">
        <f>B2112+C2112+F2112</f>
        <v>35</v>
      </c>
      <c r="H2112" s="22">
        <f>IF(E2112&lt;0,-999999999,B2112*(PRICE_TOM-FERT_TOM)+C2112*(PRICE_CAR-FERT_CAR)+F2112*(PRICE_MES-FERT_MES)-(FARMER_SALARY+A2112*TEMP_COST)-FIXED_COSTS)</f>
        <v>-999999999</v>
      </c>
    </row>
    <row r="2113">
      <c r="A2113" s="5" t="n">
        <v>4</v>
      </c>
      <c r="B2113" s="5" t="n">
        <v>16</v>
      </c>
      <c r="C2113" s="5" t="n">
        <v>0</v>
      </c>
      <c r="D2113" s="18">
        <f>SEASON_HRS_TOM*B2113*(1+DIM_TOM)^B2113+SEASON_HRS_CAR*C2113*(1+DIM_CAR)^C2113</f>
        <v>6616.7611003544</v>
      </c>
      <c r="E2113" s="18">
        <f>(FARMER_FIELD_HRS+A2113*TEMP_HRS)-D2113</f>
        <v>-136.7611003543998</v>
      </c>
      <c r="F2113" s="21">
        <f>IF(E2113&lt;0,0,MIN(COUNTIF(Labor!$C$59:$C$88,"&lt;="&amp;E2113),MAXBED_MES,TOTAL_BEDS-B2113-C2113))</f>
        <v>0</v>
      </c>
      <c r="G2113" s="21">
        <f>B2113+C2113+F2113</f>
        <v>16</v>
      </c>
      <c r="H2113" s="22">
        <f>IF(E2113&lt;0,-999999999,B2113*(PRICE_TOM-FERT_TOM)+C2113*(PRICE_CAR-FERT_CAR)+F2113*(PRICE_MES-FERT_MES)-(FARMER_SALARY+A2113*TEMP_COST)-FIXED_COSTS)</f>
        <v>-999999999</v>
      </c>
    </row>
    <row r="2114">
      <c r="A2114" s="5" t="n">
        <v>4</v>
      </c>
      <c r="B2114" s="5" t="n">
        <v>16</v>
      </c>
      <c r="C2114" s="5" t="n">
        <v>1</v>
      </c>
      <c r="D2114" s="18">
        <f>SEASON_HRS_TOM*B2114*(1+DIM_TOM)^B2114+SEASON_HRS_CAR*C2114*(1+DIM_CAR)^C2114</f>
        <v>6647.5111003544</v>
      </c>
      <c r="E2114" s="18">
        <f>(FARMER_FIELD_HRS+A2114*TEMP_HRS)-D2114</f>
        <v>-167.5111003543998</v>
      </c>
      <c r="F2114" s="21">
        <f>IF(E2114&lt;0,0,MIN(COUNTIF(Labor!$C$59:$C$88,"&lt;="&amp;E2114),MAXBED_MES,TOTAL_BEDS-B2114-C2114))</f>
        <v>0</v>
      </c>
      <c r="G2114" s="21">
        <f>B2114+C2114+F2114</f>
        <v>17</v>
      </c>
      <c r="H2114" s="22">
        <f>IF(E2114&lt;0,-999999999,B2114*(PRICE_TOM-FERT_TOM)+C2114*(PRICE_CAR-FERT_CAR)+F2114*(PRICE_MES-FERT_MES)-(FARMER_SALARY+A2114*TEMP_COST)-FIXED_COSTS)</f>
        <v>-999999999</v>
      </c>
    </row>
    <row r="2115">
      <c r="A2115" s="5" t="n">
        <v>4</v>
      </c>
      <c r="B2115" s="5" t="n">
        <v>16</v>
      </c>
      <c r="C2115" s="5" t="n">
        <v>2</v>
      </c>
      <c r="D2115" s="18">
        <f>SEASON_HRS_TOM*B2115*(1+DIM_TOM)^B2115+SEASON_HRS_CAR*C2115*(1+DIM_CAR)^C2115</f>
        <v>6679.7986003544</v>
      </c>
      <c r="E2115" s="18">
        <f>(FARMER_FIELD_HRS+A2115*TEMP_HRS)-D2115</f>
        <v>-199.79860035440015</v>
      </c>
      <c r="F2115" s="21">
        <f>IF(E2115&lt;0,0,MIN(COUNTIF(Labor!$C$59:$C$88,"&lt;="&amp;E2115),MAXBED_MES,TOTAL_BEDS-B2115-C2115))</f>
        <v>0</v>
      </c>
      <c r="G2115" s="21">
        <f>B2115+C2115+F2115</f>
        <v>18</v>
      </c>
      <c r="H2115" s="22">
        <f>IF(E2115&lt;0,-999999999,B2115*(PRICE_TOM-FERT_TOM)+C2115*(PRICE_CAR-FERT_CAR)+F2115*(PRICE_MES-FERT_MES)-(FARMER_SALARY+A2115*TEMP_COST)-FIXED_COSTS)</f>
        <v>-999999999</v>
      </c>
    </row>
    <row r="2116">
      <c r="A2116" s="5" t="n">
        <v>4</v>
      </c>
      <c r="B2116" s="5" t="n">
        <v>16</v>
      </c>
      <c r="C2116" s="5" t="n">
        <v>3</v>
      </c>
      <c r="D2116" s="18">
        <f>SEASON_HRS_TOM*B2116*(1+DIM_TOM)^B2116+SEASON_HRS_CAR*C2116*(1+DIM_CAR)^C2116</f>
        <v>6713.6812566044</v>
      </c>
      <c r="E2116" s="18">
        <f>(FARMER_FIELD_HRS+A2116*TEMP_HRS)-D2116</f>
        <v>-233.6812566044</v>
      </c>
      <c r="F2116" s="21">
        <f>IF(E2116&lt;0,0,MIN(COUNTIF(Labor!$C$59:$C$88,"&lt;="&amp;E2116),MAXBED_MES,TOTAL_BEDS-B2116-C2116))</f>
        <v>0</v>
      </c>
      <c r="G2116" s="21">
        <f>B2116+C2116+F2116</f>
        <v>19</v>
      </c>
      <c r="H2116" s="22">
        <f>IF(E2116&lt;0,-999999999,B2116*(PRICE_TOM-FERT_TOM)+C2116*(PRICE_CAR-FERT_CAR)+F2116*(PRICE_MES-FERT_MES)-(FARMER_SALARY+A2116*TEMP_COST)-FIXED_COSTS)</f>
        <v>-999999999</v>
      </c>
    </row>
    <row r="2117">
      <c r="A2117" s="5" t="n">
        <v>4</v>
      </c>
      <c r="B2117" s="5" t="n">
        <v>16</v>
      </c>
      <c r="C2117" s="5" t="n">
        <v>4</v>
      </c>
      <c r="D2117" s="18">
        <f>SEASON_HRS_TOM*B2117*(1+DIM_TOM)^B2117+SEASON_HRS_CAR*C2117*(1+DIM_CAR)^C2117</f>
        <v>6749.2186472294</v>
      </c>
      <c r="E2117" s="18">
        <f>(FARMER_FIELD_HRS+A2117*TEMP_HRS)-D2117</f>
        <v>-269.2186472293997</v>
      </c>
      <c r="F2117" s="21">
        <f>IF(E2117&lt;0,0,MIN(COUNTIF(Labor!$C$59:$C$88,"&lt;="&amp;E2117),MAXBED_MES,TOTAL_BEDS-B2117-C2117))</f>
        <v>0</v>
      </c>
      <c r="G2117" s="21">
        <f>B2117+C2117+F2117</f>
        <v>20</v>
      </c>
      <c r="H2117" s="22">
        <f>IF(E2117&lt;0,-999999999,B2117*(PRICE_TOM-FERT_TOM)+C2117*(PRICE_CAR-FERT_CAR)+F2117*(PRICE_MES-FERT_MES)-(FARMER_SALARY+A2117*TEMP_COST)-FIXED_COSTS)</f>
        <v>-999999999</v>
      </c>
    </row>
    <row r="2118">
      <c r="A2118" s="5" t="n">
        <v>4</v>
      </c>
      <c r="B2118" s="5" t="n">
        <v>16</v>
      </c>
      <c r="C2118" s="5" t="n">
        <v>5</v>
      </c>
      <c r="D2118" s="18">
        <f>SEASON_HRS_TOM*B2118*(1+DIM_TOM)^B2118+SEASON_HRS_CAR*C2118*(1+DIM_CAR)^C2118</f>
        <v>6786.472332287994</v>
      </c>
      <c r="E2118" s="18">
        <f>(FARMER_FIELD_HRS+A2118*TEMP_HRS)-D2118</f>
        <v>-306.4723322879936</v>
      </c>
      <c r="F2118" s="21">
        <f>IF(E2118&lt;0,0,MIN(COUNTIF(Labor!$C$59:$C$88,"&lt;="&amp;E2118),MAXBED_MES,TOTAL_BEDS-B2118-C2118))</f>
        <v>0</v>
      </c>
      <c r="G2118" s="21">
        <f>B2118+C2118+F2118</f>
        <v>21</v>
      </c>
      <c r="H2118" s="22">
        <f>IF(E2118&lt;0,-999999999,B2118*(PRICE_TOM-FERT_TOM)+C2118*(PRICE_CAR-FERT_CAR)+F2118*(PRICE_MES-FERT_MES)-(FARMER_SALARY+A2118*TEMP_COST)-FIXED_COSTS)</f>
        <v>-999999999</v>
      </c>
    </row>
    <row r="2119">
      <c r="A2119" s="5" t="n">
        <v>4</v>
      </c>
      <c r="B2119" s="5" t="n">
        <v>16</v>
      </c>
      <c r="C2119" s="5" t="n">
        <v>6</v>
      </c>
      <c r="D2119" s="18">
        <f>SEASON_HRS_TOM*B2119*(1+DIM_TOM)^B2119+SEASON_HRS_CAR*C2119*(1+DIM_CAR)^C2119</f>
        <v>6825.50591563272</v>
      </c>
      <c r="E2119" s="18">
        <f>(FARMER_FIELD_HRS+A2119*TEMP_HRS)-D2119</f>
        <v>-345.50591563271973</v>
      </c>
      <c r="F2119" s="21">
        <f>IF(E2119&lt;0,0,MIN(COUNTIF(Labor!$C$59:$C$88,"&lt;="&amp;E2119),MAXBED_MES,TOTAL_BEDS-B2119-C2119))</f>
        <v>0</v>
      </c>
      <c r="G2119" s="21">
        <f>B2119+C2119+F2119</f>
        <v>22</v>
      </c>
      <c r="H2119" s="22">
        <f>IF(E2119&lt;0,-999999999,B2119*(PRICE_TOM-FERT_TOM)+C2119*(PRICE_CAR-FERT_CAR)+F2119*(PRICE_MES-FERT_MES)-(FARMER_SALARY+A2119*TEMP_COST)-FIXED_COSTS)</f>
        <v>-999999999</v>
      </c>
    </row>
    <row r="2120">
      <c r="A2120" s="5" t="n">
        <v>4</v>
      </c>
      <c r="B2120" s="5" t="n">
        <v>16</v>
      </c>
      <c r="C2120" s="5" t="n">
        <v>7</v>
      </c>
      <c r="D2120" s="18">
        <f>SEASON_HRS_TOM*B2120*(1+DIM_TOM)^B2120+SEASON_HRS_CAR*C2120*(1+DIM_CAR)^C2120</f>
        <v>6866.385108624724</v>
      </c>
      <c r="E2120" s="18">
        <f>(FARMER_FIELD_HRS+A2120*TEMP_HRS)-D2120</f>
        <v>-386.3851086247241</v>
      </c>
      <c r="F2120" s="21">
        <f>IF(E2120&lt;0,0,MIN(COUNTIF(Labor!$C$59:$C$88,"&lt;="&amp;E2120),MAXBED_MES,TOTAL_BEDS-B2120-C2120))</f>
        <v>0</v>
      </c>
      <c r="G2120" s="21">
        <f>B2120+C2120+F2120</f>
        <v>23</v>
      </c>
      <c r="H2120" s="22">
        <f>IF(E2120&lt;0,-999999999,B2120*(PRICE_TOM-FERT_TOM)+C2120*(PRICE_CAR-FERT_CAR)+F2120*(PRICE_MES-FERT_MES)-(FARMER_SALARY+A2120*TEMP_COST)-FIXED_COSTS)</f>
        <v>-999999999</v>
      </c>
    </row>
    <row r="2121">
      <c r="A2121" s="5" t="n">
        <v>4</v>
      </c>
      <c r="B2121" s="5" t="n">
        <v>16</v>
      </c>
      <c r="C2121" s="5" t="n">
        <v>8</v>
      </c>
      <c r="D2121" s="18">
        <f>SEASON_HRS_TOM*B2121*(1+DIM_TOM)^B2121+SEASON_HRS_CAR*C2121*(1+DIM_CAR)^C2121</f>
        <v>6909.17779575678</v>
      </c>
      <c r="E2121" s="18">
        <f>(FARMER_FIELD_HRS+A2121*TEMP_HRS)-D2121</f>
        <v>-429.17779575678014</v>
      </c>
      <c r="F2121" s="21">
        <f>IF(E2121&lt;0,0,MIN(COUNTIF(Labor!$C$59:$C$88,"&lt;="&amp;E2121),MAXBED_MES,TOTAL_BEDS-B2121-C2121))</f>
        <v>0</v>
      </c>
      <c r="G2121" s="21">
        <f>B2121+C2121+F2121</f>
        <v>24</v>
      </c>
      <c r="H2121" s="22">
        <f>IF(E2121&lt;0,-999999999,B2121*(PRICE_TOM-FERT_TOM)+C2121*(PRICE_CAR-FERT_CAR)+F2121*(PRICE_MES-FERT_MES)-(FARMER_SALARY+A2121*TEMP_COST)-FIXED_COSTS)</f>
        <v>-999999999</v>
      </c>
    </row>
    <row r="2122">
      <c r="A2122" s="5" t="n">
        <v>4</v>
      </c>
      <c r="B2122" s="5" t="n">
        <v>16</v>
      </c>
      <c r="C2122" s="5" t="n">
        <v>9</v>
      </c>
      <c r="D2122" s="18">
        <f>SEASON_HRS_TOM*B2122*(1+DIM_TOM)^B2122+SEASON_HRS_CAR*C2122*(1+DIM_CAR)^C2122</f>
        <v>6953.954102240269</v>
      </c>
      <c r="E2122" s="18">
        <f>(FARMER_FIELD_HRS+A2122*TEMP_HRS)-D2122</f>
        <v>-473.9541022402691</v>
      </c>
      <c r="F2122" s="21">
        <f>IF(E2122&lt;0,0,MIN(COUNTIF(Labor!$C$59:$C$88,"&lt;="&amp;E2122),MAXBED_MES,TOTAL_BEDS-B2122-C2122))</f>
        <v>0</v>
      </c>
      <c r="G2122" s="21">
        <f>B2122+C2122+F2122</f>
        <v>25</v>
      </c>
      <c r="H2122" s="22">
        <f>IF(E2122&lt;0,-999999999,B2122*(PRICE_TOM-FERT_TOM)+C2122*(PRICE_CAR-FERT_CAR)+F2122*(PRICE_MES-FERT_MES)-(FARMER_SALARY+A2122*TEMP_COST)-FIXED_COSTS)</f>
        <v>-999999999</v>
      </c>
    </row>
    <row r="2123">
      <c r="A2123" s="5" t="n">
        <v>4</v>
      </c>
      <c r="B2123" s="5" t="n">
        <v>16</v>
      </c>
      <c r="C2123" s="5" t="n">
        <v>10</v>
      </c>
      <c r="D2123" s="18">
        <f>SEASON_HRS_TOM*B2123*(1+DIM_TOM)^B2123+SEASON_HRS_CAR*C2123*(1+DIM_CAR)^C2123</f>
        <v>7000.786463613307</v>
      </c>
      <c r="E2123" s="18">
        <f>(FARMER_FIELD_HRS+A2123*TEMP_HRS)-D2123</f>
        <v>-520.7864636133072</v>
      </c>
      <c r="F2123" s="21">
        <f>IF(E2123&lt;0,0,MIN(COUNTIF(Labor!$C$59:$C$88,"&lt;="&amp;E2123),MAXBED_MES,TOTAL_BEDS-B2123-C2123))</f>
        <v>0</v>
      </c>
      <c r="G2123" s="21">
        <f>B2123+C2123+F2123</f>
        <v>26</v>
      </c>
      <c r="H2123" s="22">
        <f>IF(E2123&lt;0,-999999999,B2123*(PRICE_TOM-FERT_TOM)+C2123*(PRICE_CAR-FERT_CAR)+F2123*(PRICE_MES-FERT_MES)-(FARMER_SALARY+A2123*TEMP_COST)-FIXED_COSTS)</f>
        <v>-999999999</v>
      </c>
    </row>
    <row r="2124">
      <c r="A2124" s="5" t="n">
        <v>4</v>
      </c>
      <c r="B2124" s="5" t="n">
        <v>16</v>
      </c>
      <c r="C2124" s="5" t="n">
        <v>11</v>
      </c>
      <c r="D2124" s="18">
        <f>SEASON_HRS_TOM*B2124*(1+DIM_TOM)^B2124+SEASON_HRS_CAR*C2124*(1+DIM_CAR)^C2124</f>
        <v>7049.749697428817</v>
      </c>
      <c r="E2124" s="18">
        <f>(FARMER_FIELD_HRS+A2124*TEMP_HRS)-D2124</f>
        <v>-569.749697428817</v>
      </c>
      <c r="F2124" s="21">
        <f>IF(E2124&lt;0,0,MIN(COUNTIF(Labor!$C$59:$C$88,"&lt;="&amp;E2124),MAXBED_MES,TOTAL_BEDS-B2124-C2124))</f>
        <v>0</v>
      </c>
      <c r="G2124" s="21">
        <f>B2124+C2124+F2124</f>
        <v>27</v>
      </c>
      <c r="H2124" s="22">
        <f>IF(E2124&lt;0,-999999999,B2124*(PRICE_TOM-FERT_TOM)+C2124*(PRICE_CAR-FERT_CAR)+F2124*(PRICE_MES-FERT_MES)-(FARMER_SALARY+A2124*TEMP_COST)-FIXED_COSTS)</f>
        <v>-999999999</v>
      </c>
    </row>
    <row r="2125">
      <c r="A2125" s="5" t="n">
        <v>4</v>
      </c>
      <c r="B2125" s="5" t="n">
        <v>16</v>
      </c>
      <c r="C2125" s="5" t="n">
        <v>12</v>
      </c>
      <c r="D2125" s="18">
        <f>SEASON_HRS_TOM*B2125*(1+DIM_TOM)^B2125+SEASON_HRS_CAR*C2125*(1+DIM_CAR)^C2125</f>
        <v>7100.921077083067</v>
      </c>
      <c r="E2125" s="18">
        <f>(FARMER_FIELD_HRS+A2125*TEMP_HRS)-D2125</f>
        <v>-620.9210770830668</v>
      </c>
      <c r="F2125" s="21">
        <f>IF(E2125&lt;0,0,MIN(COUNTIF(Labor!$C$59:$C$88,"&lt;="&amp;E2125),MAXBED_MES,TOTAL_BEDS-B2125-C2125))</f>
        <v>0</v>
      </c>
      <c r="G2125" s="21">
        <f>B2125+C2125+F2125</f>
        <v>28</v>
      </c>
      <c r="H2125" s="22">
        <f>IF(E2125&lt;0,-999999999,B2125*(PRICE_TOM-FERT_TOM)+C2125*(PRICE_CAR-FERT_CAR)+F2125*(PRICE_MES-FERT_MES)-(FARMER_SALARY+A2125*TEMP_COST)-FIXED_COSTS)</f>
        <v>-999999999</v>
      </c>
    </row>
    <row r="2126">
      <c r="A2126" s="5" t="n">
        <v>4</v>
      </c>
      <c r="B2126" s="5" t="n">
        <v>16</v>
      </c>
      <c r="C2126" s="5" t="n">
        <v>13</v>
      </c>
      <c r="D2126" s="18">
        <f>SEASON_HRS_TOM*B2126*(1+DIM_TOM)^B2126+SEASON_HRS_CAR*C2126*(1+DIM_CAR)^C2126</f>
        <v>7154.3804078468565</v>
      </c>
      <c r="E2126" s="18">
        <f>(FARMER_FIELD_HRS+A2126*TEMP_HRS)-D2126</f>
        <v>-674.3804078468565</v>
      </c>
      <c r="F2126" s="21">
        <f>IF(E2126&lt;0,0,MIN(COUNTIF(Labor!$C$59:$C$88,"&lt;="&amp;E2126),MAXBED_MES,TOTAL_BEDS-B2126-C2126))</f>
        <v>0</v>
      </c>
      <c r="G2126" s="21">
        <f>B2126+C2126+F2126</f>
        <v>29</v>
      </c>
      <c r="H2126" s="22">
        <f>IF(E2126&lt;0,-999999999,B2126*(PRICE_TOM-FERT_TOM)+C2126*(PRICE_CAR-FERT_CAR)+F2126*(PRICE_MES-FERT_MES)-(FARMER_SALARY+A2126*TEMP_COST)-FIXED_COSTS)</f>
        <v>-999999999</v>
      </c>
    </row>
    <row r="2127">
      <c r="A2127" s="5" t="n">
        <v>4</v>
      </c>
      <c r="B2127" s="5" t="n">
        <v>16</v>
      </c>
      <c r="C2127" s="5" t="n">
        <v>14</v>
      </c>
      <c r="D2127" s="18">
        <f>SEASON_HRS_TOM*B2127*(1+DIM_TOM)^B2127+SEASON_HRS_CAR*C2127*(1+DIM_CAR)^C2127</f>
        <v>7210.210105163382</v>
      </c>
      <c r="E2127" s="18">
        <f>(FARMER_FIELD_HRS+A2127*TEMP_HRS)-D2127</f>
        <v>-730.2101051633817</v>
      </c>
      <c r="F2127" s="21">
        <f>IF(E2127&lt;0,0,MIN(COUNTIF(Labor!$C$59:$C$88,"&lt;="&amp;E2127),MAXBED_MES,TOTAL_BEDS-B2127-C2127))</f>
        <v>0</v>
      </c>
      <c r="G2127" s="21">
        <f>B2127+C2127+F2127</f>
        <v>30</v>
      </c>
      <c r="H2127" s="22">
        <f>IF(E2127&lt;0,-999999999,B2127*(PRICE_TOM-FERT_TOM)+C2127*(PRICE_CAR-FERT_CAR)+F2127*(PRICE_MES-FERT_MES)-(FARMER_SALARY+A2127*TEMP_COST)-FIXED_COSTS)</f>
        <v>-999999999</v>
      </c>
    </row>
    <row r="2128">
      <c r="A2128" s="5" t="n">
        <v>4</v>
      </c>
      <c r="B2128" s="5" t="n">
        <v>16</v>
      </c>
      <c r="C2128" s="5" t="n">
        <v>15</v>
      </c>
      <c r="D2128" s="18">
        <f>SEASON_HRS_TOM*B2128*(1+DIM_TOM)^B2128+SEASON_HRS_CAR*C2128*(1+DIM_CAR)^C2128</f>
        <v>7268.495275278549</v>
      </c>
      <c r="E2128" s="18">
        <f>(FARMER_FIELD_HRS+A2128*TEMP_HRS)-D2128</f>
        <v>-788.4952752785493</v>
      </c>
      <c r="F2128" s="21">
        <f>IF(E2128&lt;0,0,MIN(COUNTIF(Labor!$C$59:$C$88,"&lt;="&amp;E2128),MAXBED_MES,TOTAL_BEDS-B2128-C2128))</f>
        <v>0</v>
      </c>
      <c r="G2128" s="21">
        <f>B2128+C2128+F2128</f>
        <v>31</v>
      </c>
      <c r="H2128" s="22">
        <f>IF(E2128&lt;0,-999999999,B2128*(PRICE_TOM-FERT_TOM)+C2128*(PRICE_CAR-FERT_CAR)+F2128*(PRICE_MES-FERT_MES)-(FARMER_SALARY+A2128*TEMP_COST)-FIXED_COSTS)</f>
        <v>-999999999</v>
      </c>
    </row>
    <row r="2129">
      <c r="A2129" s="5" t="n">
        <v>4</v>
      </c>
      <c r="B2129" s="5" t="n">
        <v>16</v>
      </c>
      <c r="C2129" s="5" t="n">
        <v>16</v>
      </c>
      <c r="D2129" s="18">
        <f>SEASON_HRS_TOM*B2129*(1+DIM_TOM)^B2129+SEASON_HRS_CAR*C2129*(1+DIM_CAR)^C2129</f>
        <v>7329.32379827147</v>
      </c>
      <c r="E2129" s="18">
        <f>(FARMER_FIELD_HRS+A2129*TEMP_HRS)-D2129</f>
        <v>-849.32379827147</v>
      </c>
      <c r="F2129" s="21">
        <f>IF(E2129&lt;0,0,MIN(COUNTIF(Labor!$C$59:$C$88,"&lt;="&amp;E2129),MAXBED_MES,TOTAL_BEDS-B2129-C2129))</f>
        <v>0</v>
      </c>
      <c r="G2129" s="21">
        <f>B2129+C2129+F2129</f>
        <v>32</v>
      </c>
      <c r="H2129" s="22">
        <f>IF(E2129&lt;0,-999999999,B2129*(PRICE_TOM-FERT_TOM)+C2129*(PRICE_CAR-FERT_CAR)+F2129*(PRICE_MES-FERT_MES)-(FARMER_SALARY+A2129*TEMP_COST)-FIXED_COSTS)</f>
        <v>-999999999</v>
      </c>
    </row>
    <row r="2130">
      <c r="A2130" s="5" t="n">
        <v>4</v>
      </c>
      <c r="B2130" s="5" t="n">
        <v>16</v>
      </c>
      <c r="C2130" s="5" t="n">
        <v>17</v>
      </c>
      <c r="D2130" s="18">
        <f>SEASON_HRS_TOM*B2130*(1+DIM_TOM)^B2130+SEASON_HRS_CAR*C2130*(1+DIM_CAR)^C2130</f>
        <v>7392.786413554709</v>
      </c>
      <c r="E2130" s="18">
        <f>(FARMER_FIELD_HRS+A2130*TEMP_HRS)-D2130</f>
        <v>-912.7864135547088</v>
      </c>
      <c r="F2130" s="21">
        <f>IF(E2130&lt;0,0,MIN(COUNTIF(Labor!$C$59:$C$88,"&lt;="&amp;E2130),MAXBED_MES,TOTAL_BEDS-B2130-C2130))</f>
        <v>0</v>
      </c>
      <c r="G2130" s="21">
        <f>B2130+C2130+F2130</f>
        <v>33</v>
      </c>
      <c r="H2130" s="22">
        <f>IF(E2130&lt;0,-999999999,B2130*(PRICE_TOM-FERT_TOM)+C2130*(PRICE_CAR-FERT_CAR)+F2130*(PRICE_MES-FERT_MES)-(FARMER_SALARY+A2130*TEMP_COST)-FIXED_COSTS)</f>
        <v>-999999999</v>
      </c>
    </row>
    <row r="2131">
      <c r="A2131" s="5" t="n">
        <v>4</v>
      </c>
      <c r="B2131" s="5" t="n">
        <v>16</v>
      </c>
      <c r="C2131" s="5" t="n">
        <v>18</v>
      </c>
      <c r="D2131" s="18">
        <f>SEASON_HRS_TOM*B2131*(1+DIM_TOM)^B2131+SEASON_HRS_CAR*C2131*(1+DIM_CAR)^C2131</f>
        <v>7458.976807915911</v>
      </c>
      <c r="E2131" s="18">
        <f>(FARMER_FIELD_HRS+A2131*TEMP_HRS)-D2131</f>
        <v>-978.9768079159112</v>
      </c>
      <c r="F2131" s="21">
        <f>IF(E2131&lt;0,0,MIN(COUNTIF(Labor!$C$59:$C$88,"&lt;="&amp;E2131),MAXBED_MES,TOTAL_BEDS-B2131-C2131))</f>
        <v>0</v>
      </c>
      <c r="G2131" s="21">
        <f>B2131+C2131+F2131</f>
        <v>34</v>
      </c>
      <c r="H2131" s="22">
        <f>IF(E2131&lt;0,-999999999,B2131*(PRICE_TOM-FERT_TOM)+C2131*(PRICE_CAR-FERT_CAR)+F2131*(PRICE_MES-FERT_MES)-(FARMER_SALARY+A2131*TEMP_COST)-FIXED_COSTS)</f>
        <v>-999999999</v>
      </c>
    </row>
    <row r="2132">
      <c r="A2132" s="5" t="n">
        <v>4</v>
      </c>
      <c r="B2132" s="5" t="n">
        <v>16</v>
      </c>
      <c r="C2132" s="5" t="n">
        <v>19</v>
      </c>
      <c r="D2132" s="18">
        <f>SEASON_HRS_TOM*B2132*(1+DIM_TOM)^B2132+SEASON_HRS_CAR*C2132*(1+DIM_CAR)^C2132</f>
        <v>7527.991706174424</v>
      </c>
      <c r="E2132" s="18">
        <f>(FARMER_FIELD_HRS+A2132*TEMP_HRS)-D2132</f>
        <v>-1047.9917061744236</v>
      </c>
      <c r="F2132" s="21">
        <f>IF(E2132&lt;0,0,MIN(COUNTIF(Labor!$C$59:$C$88,"&lt;="&amp;E2132),MAXBED_MES,TOTAL_BEDS-B2132-C2132))</f>
        <v>0</v>
      </c>
      <c r="G2132" s="21">
        <f>B2132+C2132+F2132</f>
        <v>35</v>
      </c>
      <c r="H2132" s="22">
        <f>IF(E2132&lt;0,-999999999,B2132*(PRICE_TOM-FERT_TOM)+C2132*(PRICE_CAR-FERT_CAR)+F2132*(PRICE_MES-FERT_MES)-(FARMER_SALARY+A2132*TEMP_COST)-FIXED_COSTS)</f>
        <v>-999999999</v>
      </c>
    </row>
    <row r="2133">
      <c r="A2133" s="5" t="n">
        <v>4</v>
      </c>
      <c r="B2133" s="5" t="n">
        <v>16</v>
      </c>
      <c r="C2133" s="5" t="n">
        <v>20</v>
      </c>
      <c r="D2133" s="18">
        <f>SEASON_HRS_TOM*B2133*(1+DIM_TOM)^B2133+SEASON_HRS_CAR*C2133*(1+DIM_CAR)^C2133</f>
        <v>7599.930964528637</v>
      </c>
      <c r="E2133" s="18">
        <f>(FARMER_FIELD_HRS+A2133*TEMP_HRS)-D2133</f>
        <v>-1119.9309645286367</v>
      </c>
      <c r="F2133" s="21">
        <f>IF(E2133&lt;0,0,MIN(COUNTIF(Labor!$C$59:$C$88,"&lt;="&amp;E2133),MAXBED_MES,TOTAL_BEDS-B2133-C2133))</f>
        <v>0</v>
      </c>
      <c r="G2133" s="21">
        <f>B2133+C2133+F2133</f>
        <v>36</v>
      </c>
      <c r="H2133" s="22">
        <f>IF(E2133&lt;0,-999999999,B2133*(PRICE_TOM-FERT_TOM)+C2133*(PRICE_CAR-FERT_CAR)+F2133*(PRICE_MES-FERT_MES)-(FARMER_SALARY+A2133*TEMP_COST)-FIXED_COSTS)</f>
        <v>-999999999</v>
      </c>
    </row>
    <row r="2134">
      <c r="A2134" s="5" t="n">
        <v>4</v>
      </c>
      <c r="B2134" s="5" t="n">
        <v>17</v>
      </c>
      <c r="C2134" s="5" t="n">
        <v>0</v>
      </c>
      <c r="D2134" s="18">
        <f>SEASON_HRS_TOM*B2134*(1+DIM_TOM)^B2134+SEASON_HRS_CAR*C2134*(1+DIM_CAR)^C2134</f>
        <v>7733.339536039206</v>
      </c>
      <c r="E2134" s="18">
        <f>(FARMER_FIELD_HRS+A2134*TEMP_HRS)-D2134</f>
        <v>-1253.339536039206</v>
      </c>
      <c r="F2134" s="21">
        <f>IF(E2134&lt;0,0,MIN(COUNTIF(Labor!$C$59:$C$88,"&lt;="&amp;E2134),MAXBED_MES,TOTAL_BEDS-B2134-C2134))</f>
        <v>0</v>
      </c>
      <c r="G2134" s="21">
        <f>B2134+C2134+F2134</f>
        <v>17</v>
      </c>
      <c r="H2134" s="22">
        <f>IF(E2134&lt;0,-999999999,B2134*(PRICE_TOM-FERT_TOM)+C2134*(PRICE_CAR-FERT_CAR)+F2134*(PRICE_MES-FERT_MES)-(FARMER_SALARY+A2134*TEMP_COST)-FIXED_COSTS)</f>
        <v>-999999999</v>
      </c>
    </row>
    <row r="2135">
      <c r="A2135" s="5" t="n">
        <v>4</v>
      </c>
      <c r="B2135" s="5" t="n">
        <v>17</v>
      </c>
      <c r="C2135" s="5" t="n">
        <v>1</v>
      </c>
      <c r="D2135" s="18">
        <f>SEASON_HRS_TOM*B2135*(1+DIM_TOM)^B2135+SEASON_HRS_CAR*C2135*(1+DIM_CAR)^C2135</f>
        <v>7764.089536039206</v>
      </c>
      <c r="E2135" s="18">
        <f>(FARMER_FIELD_HRS+A2135*TEMP_HRS)-D2135</f>
        <v>-1284.089536039206</v>
      </c>
      <c r="F2135" s="21">
        <f>IF(E2135&lt;0,0,MIN(COUNTIF(Labor!$C$59:$C$88,"&lt;="&amp;E2135),MAXBED_MES,TOTAL_BEDS-B2135-C2135))</f>
        <v>0</v>
      </c>
      <c r="G2135" s="21">
        <f>B2135+C2135+F2135</f>
        <v>18</v>
      </c>
      <c r="H2135" s="22">
        <f>IF(E2135&lt;0,-999999999,B2135*(PRICE_TOM-FERT_TOM)+C2135*(PRICE_CAR-FERT_CAR)+F2135*(PRICE_MES-FERT_MES)-(FARMER_SALARY+A2135*TEMP_COST)-FIXED_COSTS)</f>
        <v>-999999999</v>
      </c>
    </row>
    <row r="2136">
      <c r="A2136" s="5" t="n">
        <v>4</v>
      </c>
      <c r="B2136" s="5" t="n">
        <v>17</v>
      </c>
      <c r="C2136" s="5" t="n">
        <v>2</v>
      </c>
      <c r="D2136" s="18">
        <f>SEASON_HRS_TOM*B2136*(1+DIM_TOM)^B2136+SEASON_HRS_CAR*C2136*(1+DIM_CAR)^C2136</f>
        <v>7796.377036039206</v>
      </c>
      <c r="E2136" s="18">
        <f>(FARMER_FIELD_HRS+A2136*TEMP_HRS)-D2136</f>
        <v>-1316.3770360392064</v>
      </c>
      <c r="F2136" s="21">
        <f>IF(E2136&lt;0,0,MIN(COUNTIF(Labor!$C$59:$C$88,"&lt;="&amp;E2136),MAXBED_MES,TOTAL_BEDS-B2136-C2136))</f>
        <v>0</v>
      </c>
      <c r="G2136" s="21">
        <f>B2136+C2136+F2136</f>
        <v>19</v>
      </c>
      <c r="H2136" s="22">
        <f>IF(E2136&lt;0,-999999999,B2136*(PRICE_TOM-FERT_TOM)+C2136*(PRICE_CAR-FERT_CAR)+F2136*(PRICE_MES-FERT_MES)-(FARMER_SALARY+A2136*TEMP_COST)-FIXED_COSTS)</f>
        <v>-999999999</v>
      </c>
    </row>
    <row r="2137">
      <c r="A2137" s="5" t="n">
        <v>4</v>
      </c>
      <c r="B2137" s="5" t="n">
        <v>17</v>
      </c>
      <c r="C2137" s="5" t="n">
        <v>3</v>
      </c>
      <c r="D2137" s="18">
        <f>SEASON_HRS_TOM*B2137*(1+DIM_TOM)^B2137+SEASON_HRS_CAR*C2137*(1+DIM_CAR)^C2137</f>
        <v>7830.259692289206</v>
      </c>
      <c r="E2137" s="18">
        <f>(FARMER_FIELD_HRS+A2137*TEMP_HRS)-D2137</f>
        <v>-1350.2596922892062</v>
      </c>
      <c r="F2137" s="21">
        <f>IF(E2137&lt;0,0,MIN(COUNTIF(Labor!$C$59:$C$88,"&lt;="&amp;E2137),MAXBED_MES,TOTAL_BEDS-B2137-C2137))</f>
        <v>0</v>
      </c>
      <c r="G2137" s="21">
        <f>B2137+C2137+F2137</f>
        <v>20</v>
      </c>
      <c r="H2137" s="22">
        <f>IF(E2137&lt;0,-999999999,B2137*(PRICE_TOM-FERT_TOM)+C2137*(PRICE_CAR-FERT_CAR)+F2137*(PRICE_MES-FERT_MES)-(FARMER_SALARY+A2137*TEMP_COST)-FIXED_COSTS)</f>
        <v>-999999999</v>
      </c>
    </row>
    <row r="2138">
      <c r="A2138" s="5" t="n">
        <v>4</v>
      </c>
      <c r="B2138" s="5" t="n">
        <v>17</v>
      </c>
      <c r="C2138" s="5" t="n">
        <v>4</v>
      </c>
      <c r="D2138" s="18">
        <f>SEASON_HRS_TOM*B2138*(1+DIM_TOM)^B2138+SEASON_HRS_CAR*C2138*(1+DIM_CAR)^C2138</f>
        <v>7865.797082914206</v>
      </c>
      <c r="E2138" s="18">
        <f>(FARMER_FIELD_HRS+A2138*TEMP_HRS)-D2138</f>
        <v>-1385.797082914206</v>
      </c>
      <c r="F2138" s="21">
        <f>IF(E2138&lt;0,0,MIN(COUNTIF(Labor!$C$59:$C$88,"&lt;="&amp;E2138),MAXBED_MES,TOTAL_BEDS-B2138-C2138))</f>
        <v>0</v>
      </c>
      <c r="G2138" s="21">
        <f>B2138+C2138+F2138</f>
        <v>21</v>
      </c>
      <c r="H2138" s="22">
        <f>IF(E2138&lt;0,-999999999,B2138*(PRICE_TOM-FERT_TOM)+C2138*(PRICE_CAR-FERT_CAR)+F2138*(PRICE_MES-FERT_MES)-(FARMER_SALARY+A2138*TEMP_COST)-FIXED_COSTS)</f>
        <v>-999999999</v>
      </c>
    </row>
    <row r="2139">
      <c r="A2139" s="5" t="n">
        <v>4</v>
      </c>
      <c r="B2139" s="5" t="n">
        <v>17</v>
      </c>
      <c r="C2139" s="5" t="n">
        <v>5</v>
      </c>
      <c r="D2139" s="18">
        <f>SEASON_HRS_TOM*B2139*(1+DIM_TOM)^B2139+SEASON_HRS_CAR*C2139*(1+DIM_CAR)^C2139</f>
        <v>7903.0507679728</v>
      </c>
      <c r="E2139" s="18">
        <f>(FARMER_FIELD_HRS+A2139*TEMP_HRS)-D2139</f>
        <v>-1423.0507679727998</v>
      </c>
      <c r="F2139" s="21">
        <f>IF(E2139&lt;0,0,MIN(COUNTIF(Labor!$C$59:$C$88,"&lt;="&amp;E2139),MAXBED_MES,TOTAL_BEDS-B2139-C2139))</f>
        <v>0</v>
      </c>
      <c r="G2139" s="21">
        <f>B2139+C2139+F2139</f>
        <v>22</v>
      </c>
      <c r="H2139" s="22">
        <f>IF(E2139&lt;0,-999999999,B2139*(PRICE_TOM-FERT_TOM)+C2139*(PRICE_CAR-FERT_CAR)+F2139*(PRICE_MES-FERT_MES)-(FARMER_SALARY+A2139*TEMP_COST)-FIXED_COSTS)</f>
        <v>-999999999</v>
      </c>
    </row>
    <row r="2140">
      <c r="A2140" s="5" t="n">
        <v>4</v>
      </c>
      <c r="B2140" s="5" t="n">
        <v>17</v>
      </c>
      <c r="C2140" s="5" t="n">
        <v>6</v>
      </c>
      <c r="D2140" s="18">
        <f>SEASON_HRS_TOM*B2140*(1+DIM_TOM)^B2140+SEASON_HRS_CAR*C2140*(1+DIM_CAR)^C2140</f>
        <v>7942.084351317526</v>
      </c>
      <c r="E2140" s="18">
        <f>(FARMER_FIELD_HRS+A2140*TEMP_HRS)-D2140</f>
        <v>-1462.084351317526</v>
      </c>
      <c r="F2140" s="21">
        <f>IF(E2140&lt;0,0,MIN(COUNTIF(Labor!$C$59:$C$88,"&lt;="&amp;E2140),MAXBED_MES,TOTAL_BEDS-B2140-C2140))</f>
        <v>0</v>
      </c>
      <c r="G2140" s="21">
        <f>B2140+C2140+F2140</f>
        <v>23</v>
      </c>
      <c r="H2140" s="22">
        <f>IF(E2140&lt;0,-999999999,B2140*(PRICE_TOM-FERT_TOM)+C2140*(PRICE_CAR-FERT_CAR)+F2140*(PRICE_MES-FERT_MES)-(FARMER_SALARY+A2140*TEMP_COST)-FIXED_COSTS)</f>
        <v>-999999999</v>
      </c>
    </row>
    <row r="2141">
      <c r="A2141" s="5" t="n">
        <v>4</v>
      </c>
      <c r="B2141" s="5" t="n">
        <v>17</v>
      </c>
      <c r="C2141" s="5" t="n">
        <v>7</v>
      </c>
      <c r="D2141" s="18">
        <f>SEASON_HRS_TOM*B2141*(1+DIM_TOM)^B2141+SEASON_HRS_CAR*C2141*(1+DIM_CAR)^C2141</f>
        <v>7982.96354430953</v>
      </c>
      <c r="E2141" s="18">
        <f>(FARMER_FIELD_HRS+A2141*TEMP_HRS)-D2141</f>
        <v>-1502.9635443095303</v>
      </c>
      <c r="F2141" s="21">
        <f>IF(E2141&lt;0,0,MIN(COUNTIF(Labor!$C$59:$C$88,"&lt;="&amp;E2141),MAXBED_MES,TOTAL_BEDS-B2141-C2141))</f>
        <v>0</v>
      </c>
      <c r="G2141" s="21">
        <f>B2141+C2141+F2141</f>
        <v>24</v>
      </c>
      <c r="H2141" s="22">
        <f>IF(E2141&lt;0,-999999999,B2141*(PRICE_TOM-FERT_TOM)+C2141*(PRICE_CAR-FERT_CAR)+F2141*(PRICE_MES-FERT_MES)-(FARMER_SALARY+A2141*TEMP_COST)-FIXED_COSTS)</f>
        <v>-999999999</v>
      </c>
    </row>
    <row r="2142">
      <c r="A2142" s="5" t="n">
        <v>4</v>
      </c>
      <c r="B2142" s="5" t="n">
        <v>17</v>
      </c>
      <c r="C2142" s="5" t="n">
        <v>8</v>
      </c>
      <c r="D2142" s="18">
        <f>SEASON_HRS_TOM*B2142*(1+DIM_TOM)^B2142+SEASON_HRS_CAR*C2142*(1+DIM_CAR)^C2142</f>
        <v>8025.756231441586</v>
      </c>
      <c r="E2142" s="18">
        <f>(FARMER_FIELD_HRS+A2142*TEMP_HRS)-D2142</f>
        <v>-1545.7562314415864</v>
      </c>
      <c r="F2142" s="21">
        <f>IF(E2142&lt;0,0,MIN(COUNTIF(Labor!$C$59:$C$88,"&lt;="&amp;E2142),MAXBED_MES,TOTAL_BEDS-B2142-C2142))</f>
        <v>0</v>
      </c>
      <c r="G2142" s="21">
        <f>B2142+C2142+F2142</f>
        <v>25</v>
      </c>
      <c r="H2142" s="22">
        <f>IF(E2142&lt;0,-999999999,B2142*(PRICE_TOM-FERT_TOM)+C2142*(PRICE_CAR-FERT_CAR)+F2142*(PRICE_MES-FERT_MES)-(FARMER_SALARY+A2142*TEMP_COST)-FIXED_COSTS)</f>
        <v>-999999999</v>
      </c>
    </row>
    <row r="2143">
      <c r="A2143" s="5" t="n">
        <v>4</v>
      </c>
      <c r="B2143" s="5" t="n">
        <v>17</v>
      </c>
      <c r="C2143" s="5" t="n">
        <v>9</v>
      </c>
      <c r="D2143" s="18">
        <f>SEASON_HRS_TOM*B2143*(1+DIM_TOM)^B2143+SEASON_HRS_CAR*C2143*(1+DIM_CAR)^C2143</f>
        <v>8070.532537925075</v>
      </c>
      <c r="E2143" s="18">
        <f>(FARMER_FIELD_HRS+A2143*TEMP_HRS)-D2143</f>
        <v>-1590.5325379250753</v>
      </c>
      <c r="F2143" s="21">
        <f>IF(E2143&lt;0,0,MIN(COUNTIF(Labor!$C$59:$C$88,"&lt;="&amp;E2143),MAXBED_MES,TOTAL_BEDS-B2143-C2143))</f>
        <v>0</v>
      </c>
      <c r="G2143" s="21">
        <f>B2143+C2143+F2143</f>
        <v>26</v>
      </c>
      <c r="H2143" s="22">
        <f>IF(E2143&lt;0,-999999999,B2143*(PRICE_TOM-FERT_TOM)+C2143*(PRICE_CAR-FERT_CAR)+F2143*(PRICE_MES-FERT_MES)-(FARMER_SALARY+A2143*TEMP_COST)-FIXED_COSTS)</f>
        <v>-999999999</v>
      </c>
    </row>
    <row r="2144">
      <c r="A2144" s="5" t="n">
        <v>4</v>
      </c>
      <c r="B2144" s="5" t="n">
        <v>17</v>
      </c>
      <c r="C2144" s="5" t="n">
        <v>10</v>
      </c>
      <c r="D2144" s="18">
        <f>SEASON_HRS_TOM*B2144*(1+DIM_TOM)^B2144+SEASON_HRS_CAR*C2144*(1+DIM_CAR)^C2144</f>
        <v>8117.364899298113</v>
      </c>
      <c r="E2144" s="18">
        <f>(FARMER_FIELD_HRS+A2144*TEMP_HRS)-D2144</f>
        <v>-1637.3648992981134</v>
      </c>
      <c r="F2144" s="21">
        <f>IF(E2144&lt;0,0,MIN(COUNTIF(Labor!$C$59:$C$88,"&lt;="&amp;E2144),MAXBED_MES,TOTAL_BEDS-B2144-C2144))</f>
        <v>0</v>
      </c>
      <c r="G2144" s="21">
        <f>B2144+C2144+F2144</f>
        <v>27</v>
      </c>
      <c r="H2144" s="22">
        <f>IF(E2144&lt;0,-999999999,B2144*(PRICE_TOM-FERT_TOM)+C2144*(PRICE_CAR-FERT_CAR)+F2144*(PRICE_MES-FERT_MES)-(FARMER_SALARY+A2144*TEMP_COST)-FIXED_COSTS)</f>
        <v>-999999999</v>
      </c>
    </row>
    <row r="2145">
      <c r="A2145" s="5" t="n">
        <v>4</v>
      </c>
      <c r="B2145" s="5" t="n">
        <v>17</v>
      </c>
      <c r="C2145" s="5" t="n">
        <v>11</v>
      </c>
      <c r="D2145" s="18">
        <f>SEASON_HRS_TOM*B2145*(1+DIM_TOM)^B2145+SEASON_HRS_CAR*C2145*(1+DIM_CAR)^C2145</f>
        <v>8166.328133113624</v>
      </c>
      <c r="E2145" s="18">
        <f>(FARMER_FIELD_HRS+A2145*TEMP_HRS)-D2145</f>
        <v>-1686.328133113624</v>
      </c>
      <c r="F2145" s="21">
        <f>IF(E2145&lt;0,0,MIN(COUNTIF(Labor!$C$59:$C$88,"&lt;="&amp;E2145),MAXBED_MES,TOTAL_BEDS-B2145-C2145))</f>
        <v>0</v>
      </c>
      <c r="G2145" s="21">
        <f>B2145+C2145+F2145</f>
        <v>28</v>
      </c>
      <c r="H2145" s="22">
        <f>IF(E2145&lt;0,-999999999,B2145*(PRICE_TOM-FERT_TOM)+C2145*(PRICE_CAR-FERT_CAR)+F2145*(PRICE_MES-FERT_MES)-(FARMER_SALARY+A2145*TEMP_COST)-FIXED_COSTS)</f>
        <v>-999999999</v>
      </c>
    </row>
    <row r="2146">
      <c r="A2146" s="5" t="n">
        <v>4</v>
      </c>
      <c r="B2146" s="5" t="n">
        <v>17</v>
      </c>
      <c r="C2146" s="5" t="n">
        <v>12</v>
      </c>
      <c r="D2146" s="18">
        <f>SEASON_HRS_TOM*B2146*(1+DIM_TOM)^B2146+SEASON_HRS_CAR*C2146*(1+DIM_CAR)^C2146</f>
        <v>8217.499512767872</v>
      </c>
      <c r="E2146" s="18">
        <f>(FARMER_FIELD_HRS+A2146*TEMP_HRS)-D2146</f>
        <v>-1737.4995127678721</v>
      </c>
      <c r="F2146" s="21">
        <f>IF(E2146&lt;0,0,MIN(COUNTIF(Labor!$C$59:$C$88,"&lt;="&amp;E2146),MAXBED_MES,TOTAL_BEDS-B2146-C2146))</f>
        <v>0</v>
      </c>
      <c r="G2146" s="21">
        <f>B2146+C2146+F2146</f>
        <v>29</v>
      </c>
      <c r="H2146" s="22">
        <f>IF(E2146&lt;0,-999999999,B2146*(PRICE_TOM-FERT_TOM)+C2146*(PRICE_CAR-FERT_CAR)+F2146*(PRICE_MES-FERT_MES)-(FARMER_SALARY+A2146*TEMP_COST)-FIXED_COSTS)</f>
        <v>-999999999</v>
      </c>
    </row>
    <row r="2147">
      <c r="A2147" s="5" t="n">
        <v>4</v>
      </c>
      <c r="B2147" s="5" t="n">
        <v>17</v>
      </c>
      <c r="C2147" s="5" t="n">
        <v>13</v>
      </c>
      <c r="D2147" s="18">
        <f>SEASON_HRS_TOM*B2147*(1+DIM_TOM)^B2147+SEASON_HRS_CAR*C2147*(1+DIM_CAR)^C2147</f>
        <v>8270.958843531664</v>
      </c>
      <c r="E2147" s="18">
        <f>(FARMER_FIELD_HRS+A2147*TEMP_HRS)-D2147</f>
        <v>-1790.9588435316637</v>
      </c>
      <c r="F2147" s="21">
        <f>IF(E2147&lt;0,0,MIN(COUNTIF(Labor!$C$59:$C$88,"&lt;="&amp;E2147),MAXBED_MES,TOTAL_BEDS-B2147-C2147))</f>
        <v>0</v>
      </c>
      <c r="G2147" s="21">
        <f>B2147+C2147+F2147</f>
        <v>30</v>
      </c>
      <c r="H2147" s="22">
        <f>IF(E2147&lt;0,-999999999,B2147*(PRICE_TOM-FERT_TOM)+C2147*(PRICE_CAR-FERT_CAR)+F2147*(PRICE_MES-FERT_MES)-(FARMER_SALARY+A2147*TEMP_COST)-FIXED_COSTS)</f>
        <v>-999999999</v>
      </c>
    </row>
    <row r="2148">
      <c r="A2148" s="5" t="n">
        <v>4</v>
      </c>
      <c r="B2148" s="5" t="n">
        <v>17</v>
      </c>
      <c r="C2148" s="5" t="n">
        <v>14</v>
      </c>
      <c r="D2148" s="18">
        <f>SEASON_HRS_TOM*B2148*(1+DIM_TOM)^B2148+SEASON_HRS_CAR*C2148*(1+DIM_CAR)^C2148</f>
        <v>8326.788540848187</v>
      </c>
      <c r="E2148" s="18">
        <f>(FARMER_FIELD_HRS+A2148*TEMP_HRS)-D2148</f>
        <v>-1846.788540848187</v>
      </c>
      <c r="F2148" s="21">
        <f>IF(E2148&lt;0,0,MIN(COUNTIF(Labor!$C$59:$C$88,"&lt;="&amp;E2148),MAXBED_MES,TOTAL_BEDS-B2148-C2148))</f>
        <v>0</v>
      </c>
      <c r="G2148" s="21">
        <f>B2148+C2148+F2148</f>
        <v>31</v>
      </c>
      <c r="H2148" s="22">
        <f>IF(E2148&lt;0,-999999999,B2148*(PRICE_TOM-FERT_TOM)+C2148*(PRICE_CAR-FERT_CAR)+F2148*(PRICE_MES-FERT_MES)-(FARMER_SALARY+A2148*TEMP_COST)-FIXED_COSTS)</f>
        <v>-999999999</v>
      </c>
    </row>
    <row r="2149">
      <c r="A2149" s="5" t="n">
        <v>4</v>
      </c>
      <c r="B2149" s="5" t="n">
        <v>17</v>
      </c>
      <c r="C2149" s="5" t="n">
        <v>15</v>
      </c>
      <c r="D2149" s="18">
        <f>SEASON_HRS_TOM*B2149*(1+DIM_TOM)^B2149+SEASON_HRS_CAR*C2149*(1+DIM_CAR)^C2149</f>
        <v>8385.073710963356</v>
      </c>
      <c r="E2149" s="18">
        <f>(FARMER_FIELD_HRS+A2149*TEMP_HRS)-D2149</f>
        <v>-1905.0737109633556</v>
      </c>
      <c r="F2149" s="21">
        <f>IF(E2149&lt;0,0,MIN(COUNTIF(Labor!$C$59:$C$88,"&lt;="&amp;E2149),MAXBED_MES,TOTAL_BEDS-B2149-C2149))</f>
        <v>0</v>
      </c>
      <c r="G2149" s="21">
        <f>B2149+C2149+F2149</f>
        <v>32</v>
      </c>
      <c r="H2149" s="22">
        <f>IF(E2149&lt;0,-999999999,B2149*(PRICE_TOM-FERT_TOM)+C2149*(PRICE_CAR-FERT_CAR)+F2149*(PRICE_MES-FERT_MES)-(FARMER_SALARY+A2149*TEMP_COST)-FIXED_COSTS)</f>
        <v>-999999999</v>
      </c>
    </row>
    <row r="2150">
      <c r="A2150" s="5" t="n">
        <v>4</v>
      </c>
      <c r="B2150" s="5" t="n">
        <v>17</v>
      </c>
      <c r="C2150" s="5" t="n">
        <v>16</v>
      </c>
      <c r="D2150" s="18">
        <f>SEASON_HRS_TOM*B2150*(1+DIM_TOM)^B2150+SEASON_HRS_CAR*C2150*(1+DIM_CAR)^C2150</f>
        <v>8445.902233956276</v>
      </c>
      <c r="E2150" s="18">
        <f>(FARMER_FIELD_HRS+A2150*TEMP_HRS)-D2150</f>
        <v>-1965.9022339562762</v>
      </c>
      <c r="F2150" s="21">
        <f>IF(E2150&lt;0,0,MIN(COUNTIF(Labor!$C$59:$C$88,"&lt;="&amp;E2150),MAXBED_MES,TOTAL_BEDS-B2150-C2150))</f>
        <v>0</v>
      </c>
      <c r="G2150" s="21">
        <f>B2150+C2150+F2150</f>
        <v>33</v>
      </c>
      <c r="H2150" s="22">
        <f>IF(E2150&lt;0,-999999999,B2150*(PRICE_TOM-FERT_TOM)+C2150*(PRICE_CAR-FERT_CAR)+F2150*(PRICE_MES-FERT_MES)-(FARMER_SALARY+A2150*TEMP_COST)-FIXED_COSTS)</f>
        <v>-999999999</v>
      </c>
    </row>
    <row r="2151">
      <c r="A2151" s="5" t="n">
        <v>4</v>
      </c>
      <c r="B2151" s="5" t="n">
        <v>17</v>
      </c>
      <c r="C2151" s="5" t="n">
        <v>17</v>
      </c>
      <c r="D2151" s="18">
        <f>SEASON_HRS_TOM*B2151*(1+DIM_TOM)^B2151+SEASON_HRS_CAR*C2151*(1+DIM_CAR)^C2151</f>
        <v>8509.364849239515</v>
      </c>
      <c r="E2151" s="18">
        <f>(FARMER_FIELD_HRS+A2151*TEMP_HRS)-D2151</f>
        <v>-2029.364849239515</v>
      </c>
      <c r="F2151" s="21">
        <f>IF(E2151&lt;0,0,MIN(COUNTIF(Labor!$C$59:$C$88,"&lt;="&amp;E2151),MAXBED_MES,TOTAL_BEDS-B2151-C2151))</f>
        <v>0</v>
      </c>
      <c r="G2151" s="21">
        <f>B2151+C2151+F2151</f>
        <v>34</v>
      </c>
      <c r="H2151" s="22">
        <f>IF(E2151&lt;0,-999999999,B2151*(PRICE_TOM-FERT_TOM)+C2151*(PRICE_CAR-FERT_CAR)+F2151*(PRICE_MES-FERT_MES)-(FARMER_SALARY+A2151*TEMP_COST)-FIXED_COSTS)</f>
        <v>-999999999</v>
      </c>
    </row>
    <row r="2152">
      <c r="A2152" s="5" t="n">
        <v>4</v>
      </c>
      <c r="B2152" s="5" t="n">
        <v>17</v>
      </c>
      <c r="C2152" s="5" t="n">
        <v>18</v>
      </c>
      <c r="D2152" s="18">
        <f>SEASON_HRS_TOM*B2152*(1+DIM_TOM)^B2152+SEASON_HRS_CAR*C2152*(1+DIM_CAR)^C2152</f>
        <v>8575.555243600718</v>
      </c>
      <c r="E2152" s="18">
        <f>(FARMER_FIELD_HRS+A2152*TEMP_HRS)-D2152</f>
        <v>-2095.5552436007183</v>
      </c>
      <c r="F2152" s="21">
        <f>IF(E2152&lt;0,0,MIN(COUNTIF(Labor!$C$59:$C$88,"&lt;="&amp;E2152),MAXBED_MES,TOTAL_BEDS-B2152-C2152))</f>
        <v>0</v>
      </c>
      <c r="G2152" s="21">
        <f>B2152+C2152+F2152</f>
        <v>35</v>
      </c>
      <c r="H2152" s="22">
        <f>IF(E2152&lt;0,-999999999,B2152*(PRICE_TOM-FERT_TOM)+C2152*(PRICE_CAR-FERT_CAR)+F2152*(PRICE_MES-FERT_MES)-(FARMER_SALARY+A2152*TEMP_COST)-FIXED_COSTS)</f>
        <v>-999999999</v>
      </c>
    </row>
    <row r="2153">
      <c r="A2153" s="5" t="n">
        <v>4</v>
      </c>
      <c r="B2153" s="5" t="n">
        <v>17</v>
      </c>
      <c r="C2153" s="5" t="n">
        <v>19</v>
      </c>
      <c r="D2153" s="18">
        <f>SEASON_HRS_TOM*B2153*(1+DIM_TOM)^B2153+SEASON_HRS_CAR*C2153*(1+DIM_CAR)^C2153</f>
        <v>8644.57014185923</v>
      </c>
      <c r="E2153" s="18">
        <f>(FARMER_FIELD_HRS+A2153*TEMP_HRS)-D2153</f>
        <v>-2164.5701418592307</v>
      </c>
      <c r="F2153" s="21">
        <f>IF(E2153&lt;0,0,MIN(COUNTIF(Labor!$C$59:$C$88,"&lt;="&amp;E2153),MAXBED_MES,TOTAL_BEDS-B2153-C2153))</f>
        <v>0</v>
      </c>
      <c r="G2153" s="21">
        <f>B2153+C2153+F2153</f>
        <v>36</v>
      </c>
      <c r="H2153" s="22">
        <f>IF(E2153&lt;0,-999999999,B2153*(PRICE_TOM-FERT_TOM)+C2153*(PRICE_CAR-FERT_CAR)+F2153*(PRICE_MES-FERT_MES)-(FARMER_SALARY+A2153*TEMP_COST)-FIXED_COSTS)</f>
        <v>-999999999</v>
      </c>
    </row>
    <row r="2154">
      <c r="A2154" s="5" t="n">
        <v>4</v>
      </c>
      <c r="B2154" s="5" t="n">
        <v>17</v>
      </c>
      <c r="C2154" s="5" t="n">
        <v>20</v>
      </c>
      <c r="D2154" s="18">
        <f>SEASON_HRS_TOM*B2154*(1+DIM_TOM)^B2154+SEASON_HRS_CAR*C2154*(1+DIM_CAR)^C2154</f>
        <v>8716.509400213443</v>
      </c>
      <c r="E2154" s="18">
        <f>(FARMER_FIELD_HRS+A2154*TEMP_HRS)-D2154</f>
        <v>-2236.509400213443</v>
      </c>
      <c r="F2154" s="21">
        <f>IF(E2154&lt;0,0,MIN(COUNTIF(Labor!$C$59:$C$88,"&lt;="&amp;E2154),MAXBED_MES,TOTAL_BEDS-B2154-C2154))</f>
        <v>0</v>
      </c>
      <c r="G2154" s="21">
        <f>B2154+C2154+F2154</f>
        <v>37</v>
      </c>
      <c r="H2154" s="22">
        <f>IF(E2154&lt;0,-999999999,B2154*(PRICE_TOM-FERT_TOM)+C2154*(PRICE_CAR-FERT_CAR)+F2154*(PRICE_MES-FERT_MES)-(FARMER_SALARY+A2154*TEMP_COST)-FIXED_COSTS)</f>
        <v>-999999999</v>
      </c>
    </row>
    <row r="2155">
      <c r="A2155" s="5" t="n">
        <v>4</v>
      </c>
      <c r="B2155" s="5" t="n">
        <v>18</v>
      </c>
      <c r="C2155" s="5" t="n">
        <v>0</v>
      </c>
      <c r="D2155" s="18">
        <f>SEASON_HRS_TOM*B2155*(1+DIM_TOM)^B2155+SEASON_HRS_CAR*C2155*(1+DIM_CAR)^C2155</f>
        <v>9007.066047857428</v>
      </c>
      <c r="E2155" s="18">
        <f>(FARMER_FIELD_HRS+A2155*TEMP_HRS)-D2155</f>
        <v>-2527.066047857428</v>
      </c>
      <c r="F2155" s="21">
        <f>IF(E2155&lt;0,0,MIN(COUNTIF(Labor!$C$59:$C$88,"&lt;="&amp;E2155),MAXBED_MES,TOTAL_BEDS-B2155-C2155))</f>
        <v>0</v>
      </c>
      <c r="G2155" s="21">
        <f>B2155+C2155+F2155</f>
        <v>18</v>
      </c>
      <c r="H2155" s="22">
        <f>IF(E2155&lt;0,-999999999,B2155*(PRICE_TOM-FERT_TOM)+C2155*(PRICE_CAR-FERT_CAR)+F2155*(PRICE_MES-FERT_MES)-(FARMER_SALARY+A2155*TEMP_COST)-FIXED_COSTS)</f>
        <v>-999999999</v>
      </c>
    </row>
    <row r="2156">
      <c r="A2156" s="5" t="n">
        <v>4</v>
      </c>
      <c r="B2156" s="5" t="n">
        <v>18</v>
      </c>
      <c r="C2156" s="5" t="n">
        <v>1</v>
      </c>
      <c r="D2156" s="18">
        <f>SEASON_HRS_TOM*B2156*(1+DIM_TOM)^B2156+SEASON_HRS_CAR*C2156*(1+DIM_CAR)^C2156</f>
        <v>9037.816047857428</v>
      </c>
      <c r="E2156" s="18">
        <f>(FARMER_FIELD_HRS+A2156*TEMP_HRS)-D2156</f>
        <v>-2557.816047857428</v>
      </c>
      <c r="F2156" s="21">
        <f>IF(E2156&lt;0,0,MIN(COUNTIF(Labor!$C$59:$C$88,"&lt;="&amp;E2156),MAXBED_MES,TOTAL_BEDS-B2156-C2156))</f>
        <v>0</v>
      </c>
      <c r="G2156" s="21">
        <f>B2156+C2156+F2156</f>
        <v>19</v>
      </c>
      <c r="H2156" s="22">
        <f>IF(E2156&lt;0,-999999999,B2156*(PRICE_TOM-FERT_TOM)+C2156*(PRICE_CAR-FERT_CAR)+F2156*(PRICE_MES-FERT_MES)-(FARMER_SALARY+A2156*TEMP_COST)-FIXED_COSTS)</f>
        <v>-999999999</v>
      </c>
    </row>
    <row r="2157">
      <c r="A2157" s="5" t="n">
        <v>4</v>
      </c>
      <c r="B2157" s="5" t="n">
        <v>18</v>
      </c>
      <c r="C2157" s="5" t="n">
        <v>2</v>
      </c>
      <c r="D2157" s="18">
        <f>SEASON_HRS_TOM*B2157*(1+DIM_TOM)^B2157+SEASON_HRS_CAR*C2157*(1+DIM_CAR)^C2157</f>
        <v>9070.103547857429</v>
      </c>
      <c r="E2157" s="18">
        <f>(FARMER_FIELD_HRS+A2157*TEMP_HRS)-D2157</f>
        <v>-2590.1035478574286</v>
      </c>
      <c r="F2157" s="21">
        <f>IF(E2157&lt;0,0,MIN(COUNTIF(Labor!$C$59:$C$88,"&lt;="&amp;E2157),MAXBED_MES,TOTAL_BEDS-B2157-C2157))</f>
        <v>0</v>
      </c>
      <c r="G2157" s="21">
        <f>B2157+C2157+F2157</f>
        <v>20</v>
      </c>
      <c r="H2157" s="22">
        <f>IF(E2157&lt;0,-999999999,B2157*(PRICE_TOM-FERT_TOM)+C2157*(PRICE_CAR-FERT_CAR)+F2157*(PRICE_MES-FERT_MES)-(FARMER_SALARY+A2157*TEMP_COST)-FIXED_COSTS)</f>
        <v>-999999999</v>
      </c>
    </row>
    <row r="2158">
      <c r="A2158" s="5" t="n">
        <v>4</v>
      </c>
      <c r="B2158" s="5" t="n">
        <v>18</v>
      </c>
      <c r="C2158" s="5" t="n">
        <v>3</v>
      </c>
      <c r="D2158" s="18">
        <f>SEASON_HRS_TOM*B2158*(1+DIM_TOM)^B2158+SEASON_HRS_CAR*C2158*(1+DIM_CAR)^C2158</f>
        <v>9103.986204107428</v>
      </c>
      <c r="E2158" s="18">
        <f>(FARMER_FIELD_HRS+A2158*TEMP_HRS)-D2158</f>
        <v>-2623.9862041074284</v>
      </c>
      <c r="F2158" s="21">
        <f>IF(E2158&lt;0,0,MIN(COUNTIF(Labor!$C$59:$C$88,"&lt;="&amp;E2158),MAXBED_MES,TOTAL_BEDS-B2158-C2158))</f>
        <v>0</v>
      </c>
      <c r="G2158" s="21">
        <f>B2158+C2158+F2158</f>
        <v>21</v>
      </c>
      <c r="H2158" s="22">
        <f>IF(E2158&lt;0,-999999999,B2158*(PRICE_TOM-FERT_TOM)+C2158*(PRICE_CAR-FERT_CAR)+F2158*(PRICE_MES-FERT_MES)-(FARMER_SALARY+A2158*TEMP_COST)-FIXED_COSTS)</f>
        <v>-999999999</v>
      </c>
    </row>
    <row r="2159">
      <c r="A2159" s="5" t="n">
        <v>4</v>
      </c>
      <c r="B2159" s="5" t="n">
        <v>18</v>
      </c>
      <c r="C2159" s="5" t="n">
        <v>4</v>
      </c>
      <c r="D2159" s="18">
        <f>SEASON_HRS_TOM*B2159*(1+DIM_TOM)^B2159+SEASON_HRS_CAR*C2159*(1+DIM_CAR)^C2159</f>
        <v>9139.523594732429</v>
      </c>
      <c r="E2159" s="18">
        <f>(FARMER_FIELD_HRS+A2159*TEMP_HRS)-D2159</f>
        <v>-2659.523594732429</v>
      </c>
      <c r="F2159" s="21">
        <f>IF(E2159&lt;0,0,MIN(COUNTIF(Labor!$C$59:$C$88,"&lt;="&amp;E2159),MAXBED_MES,TOTAL_BEDS-B2159-C2159))</f>
        <v>0</v>
      </c>
      <c r="G2159" s="21">
        <f>B2159+C2159+F2159</f>
        <v>22</v>
      </c>
      <c r="H2159" s="22">
        <f>IF(E2159&lt;0,-999999999,B2159*(PRICE_TOM-FERT_TOM)+C2159*(PRICE_CAR-FERT_CAR)+F2159*(PRICE_MES-FERT_MES)-(FARMER_SALARY+A2159*TEMP_COST)-FIXED_COSTS)</f>
        <v>-999999999</v>
      </c>
    </row>
    <row r="2160">
      <c r="A2160" s="5" t="n">
        <v>4</v>
      </c>
      <c r="B2160" s="5" t="n">
        <v>18</v>
      </c>
      <c r="C2160" s="5" t="n">
        <v>5</v>
      </c>
      <c r="D2160" s="18">
        <f>SEASON_HRS_TOM*B2160*(1+DIM_TOM)^B2160+SEASON_HRS_CAR*C2160*(1+DIM_CAR)^C2160</f>
        <v>9176.777279791022</v>
      </c>
      <c r="E2160" s="18">
        <f>(FARMER_FIELD_HRS+A2160*TEMP_HRS)-D2160</f>
        <v>-2696.777279791022</v>
      </c>
      <c r="F2160" s="21">
        <f>IF(E2160&lt;0,0,MIN(COUNTIF(Labor!$C$59:$C$88,"&lt;="&amp;E2160),MAXBED_MES,TOTAL_BEDS-B2160-C2160))</f>
        <v>0</v>
      </c>
      <c r="G2160" s="21">
        <f>B2160+C2160+F2160</f>
        <v>23</v>
      </c>
      <c r="H2160" s="22">
        <f>IF(E2160&lt;0,-999999999,B2160*(PRICE_TOM-FERT_TOM)+C2160*(PRICE_CAR-FERT_CAR)+F2160*(PRICE_MES-FERT_MES)-(FARMER_SALARY+A2160*TEMP_COST)-FIXED_COSTS)</f>
        <v>-999999999</v>
      </c>
    </row>
    <row r="2161">
      <c r="A2161" s="5" t="n">
        <v>4</v>
      </c>
      <c r="B2161" s="5" t="n">
        <v>18</v>
      </c>
      <c r="C2161" s="5" t="n">
        <v>6</v>
      </c>
      <c r="D2161" s="18">
        <f>SEASON_HRS_TOM*B2161*(1+DIM_TOM)^B2161+SEASON_HRS_CAR*C2161*(1+DIM_CAR)^C2161</f>
        <v>9215.810863135748</v>
      </c>
      <c r="E2161" s="18">
        <f>(FARMER_FIELD_HRS+A2161*TEMP_HRS)-D2161</f>
        <v>-2735.810863135748</v>
      </c>
      <c r="F2161" s="21">
        <f>IF(E2161&lt;0,0,MIN(COUNTIF(Labor!$C$59:$C$88,"&lt;="&amp;E2161),MAXBED_MES,TOTAL_BEDS-B2161-C2161))</f>
        <v>0</v>
      </c>
      <c r="G2161" s="21">
        <f>B2161+C2161+F2161</f>
        <v>24</v>
      </c>
      <c r="H2161" s="22">
        <f>IF(E2161&lt;0,-999999999,B2161*(PRICE_TOM-FERT_TOM)+C2161*(PRICE_CAR-FERT_CAR)+F2161*(PRICE_MES-FERT_MES)-(FARMER_SALARY+A2161*TEMP_COST)-FIXED_COSTS)</f>
        <v>-999999999</v>
      </c>
    </row>
    <row r="2162">
      <c r="A2162" s="5" t="n">
        <v>4</v>
      </c>
      <c r="B2162" s="5" t="n">
        <v>18</v>
      </c>
      <c r="C2162" s="5" t="n">
        <v>7</v>
      </c>
      <c r="D2162" s="18">
        <f>SEASON_HRS_TOM*B2162*(1+DIM_TOM)^B2162+SEASON_HRS_CAR*C2162*(1+DIM_CAR)^C2162</f>
        <v>9256.690056127753</v>
      </c>
      <c r="E2162" s="18">
        <f>(FARMER_FIELD_HRS+A2162*TEMP_HRS)-D2162</f>
        <v>-2776.6900561277525</v>
      </c>
      <c r="F2162" s="21">
        <f>IF(E2162&lt;0,0,MIN(COUNTIF(Labor!$C$59:$C$88,"&lt;="&amp;E2162),MAXBED_MES,TOTAL_BEDS-B2162-C2162))</f>
        <v>0</v>
      </c>
      <c r="G2162" s="21">
        <f>B2162+C2162+F2162</f>
        <v>25</v>
      </c>
      <c r="H2162" s="22">
        <f>IF(E2162&lt;0,-999999999,B2162*(PRICE_TOM-FERT_TOM)+C2162*(PRICE_CAR-FERT_CAR)+F2162*(PRICE_MES-FERT_MES)-(FARMER_SALARY+A2162*TEMP_COST)-FIXED_COSTS)</f>
        <v>-999999999</v>
      </c>
    </row>
    <row r="2163">
      <c r="A2163" s="5" t="n">
        <v>4</v>
      </c>
      <c r="B2163" s="5" t="n">
        <v>18</v>
      </c>
      <c r="C2163" s="5" t="n">
        <v>8</v>
      </c>
      <c r="D2163" s="18">
        <f>SEASON_HRS_TOM*B2163*(1+DIM_TOM)^B2163+SEASON_HRS_CAR*C2163*(1+DIM_CAR)^C2163</f>
        <v>9299.482743259809</v>
      </c>
      <c r="E2163" s="18">
        <f>(FARMER_FIELD_HRS+A2163*TEMP_HRS)-D2163</f>
        <v>-2819.4827432598086</v>
      </c>
      <c r="F2163" s="21">
        <f>IF(E2163&lt;0,0,MIN(COUNTIF(Labor!$C$59:$C$88,"&lt;="&amp;E2163),MAXBED_MES,TOTAL_BEDS-B2163-C2163))</f>
        <v>0</v>
      </c>
      <c r="G2163" s="21">
        <f>B2163+C2163+F2163</f>
        <v>26</v>
      </c>
      <c r="H2163" s="22">
        <f>IF(E2163&lt;0,-999999999,B2163*(PRICE_TOM-FERT_TOM)+C2163*(PRICE_CAR-FERT_CAR)+F2163*(PRICE_MES-FERT_MES)-(FARMER_SALARY+A2163*TEMP_COST)-FIXED_COSTS)</f>
        <v>-999999999</v>
      </c>
    </row>
    <row r="2164">
      <c r="A2164" s="5" t="n">
        <v>4</v>
      </c>
      <c r="B2164" s="5" t="n">
        <v>18</v>
      </c>
      <c r="C2164" s="5" t="n">
        <v>9</v>
      </c>
      <c r="D2164" s="18">
        <f>SEASON_HRS_TOM*B2164*(1+DIM_TOM)^B2164+SEASON_HRS_CAR*C2164*(1+DIM_CAR)^C2164</f>
        <v>9344.259049743298</v>
      </c>
      <c r="E2164" s="18">
        <f>(FARMER_FIELD_HRS+A2164*TEMP_HRS)-D2164</f>
        <v>-2864.2590497432975</v>
      </c>
      <c r="F2164" s="21">
        <f>IF(E2164&lt;0,0,MIN(COUNTIF(Labor!$C$59:$C$88,"&lt;="&amp;E2164),MAXBED_MES,TOTAL_BEDS-B2164-C2164))</f>
        <v>0</v>
      </c>
      <c r="G2164" s="21">
        <f>B2164+C2164+F2164</f>
        <v>27</v>
      </c>
      <c r="H2164" s="22">
        <f>IF(E2164&lt;0,-999999999,B2164*(PRICE_TOM-FERT_TOM)+C2164*(PRICE_CAR-FERT_CAR)+F2164*(PRICE_MES-FERT_MES)-(FARMER_SALARY+A2164*TEMP_COST)-FIXED_COSTS)</f>
        <v>-999999999</v>
      </c>
    </row>
    <row r="2165">
      <c r="A2165" s="5" t="n">
        <v>4</v>
      </c>
      <c r="B2165" s="5" t="n">
        <v>18</v>
      </c>
      <c r="C2165" s="5" t="n">
        <v>10</v>
      </c>
      <c r="D2165" s="18">
        <f>SEASON_HRS_TOM*B2165*(1+DIM_TOM)^B2165+SEASON_HRS_CAR*C2165*(1+DIM_CAR)^C2165</f>
        <v>9391.091411116335</v>
      </c>
      <c r="E2165" s="18">
        <f>(FARMER_FIELD_HRS+A2165*TEMP_HRS)-D2165</f>
        <v>-2911.0914111163347</v>
      </c>
      <c r="F2165" s="21">
        <f>IF(E2165&lt;0,0,MIN(COUNTIF(Labor!$C$59:$C$88,"&lt;="&amp;E2165),MAXBED_MES,TOTAL_BEDS-B2165-C2165))</f>
        <v>0</v>
      </c>
      <c r="G2165" s="21">
        <f>B2165+C2165+F2165</f>
        <v>28</v>
      </c>
      <c r="H2165" s="22">
        <f>IF(E2165&lt;0,-999999999,B2165*(PRICE_TOM-FERT_TOM)+C2165*(PRICE_CAR-FERT_CAR)+F2165*(PRICE_MES-FERT_MES)-(FARMER_SALARY+A2165*TEMP_COST)-FIXED_COSTS)</f>
        <v>-999999999</v>
      </c>
    </row>
    <row r="2166">
      <c r="A2166" s="5" t="n">
        <v>4</v>
      </c>
      <c r="B2166" s="5" t="n">
        <v>18</v>
      </c>
      <c r="C2166" s="5" t="n">
        <v>11</v>
      </c>
      <c r="D2166" s="18">
        <f>SEASON_HRS_TOM*B2166*(1+DIM_TOM)^B2166+SEASON_HRS_CAR*C2166*(1+DIM_CAR)^C2166</f>
        <v>9440.054644931846</v>
      </c>
      <c r="E2166" s="18">
        <f>(FARMER_FIELD_HRS+A2166*TEMP_HRS)-D2166</f>
        <v>-2960.0546449318463</v>
      </c>
      <c r="F2166" s="21">
        <f>IF(E2166&lt;0,0,MIN(COUNTIF(Labor!$C$59:$C$88,"&lt;="&amp;E2166),MAXBED_MES,TOTAL_BEDS-B2166-C2166))</f>
        <v>0</v>
      </c>
      <c r="G2166" s="21">
        <f>B2166+C2166+F2166</f>
        <v>29</v>
      </c>
      <c r="H2166" s="22">
        <f>IF(E2166&lt;0,-999999999,B2166*(PRICE_TOM-FERT_TOM)+C2166*(PRICE_CAR-FERT_CAR)+F2166*(PRICE_MES-FERT_MES)-(FARMER_SALARY+A2166*TEMP_COST)-FIXED_COSTS)</f>
        <v>-999999999</v>
      </c>
    </row>
    <row r="2167">
      <c r="A2167" s="5" t="n">
        <v>4</v>
      </c>
      <c r="B2167" s="5" t="n">
        <v>18</v>
      </c>
      <c r="C2167" s="5" t="n">
        <v>12</v>
      </c>
      <c r="D2167" s="18">
        <f>SEASON_HRS_TOM*B2167*(1+DIM_TOM)^B2167+SEASON_HRS_CAR*C2167*(1+DIM_CAR)^C2167</f>
        <v>9491.226024586094</v>
      </c>
      <c r="E2167" s="18">
        <f>(FARMER_FIELD_HRS+A2167*TEMP_HRS)-D2167</f>
        <v>-3011.2260245860944</v>
      </c>
      <c r="F2167" s="21">
        <f>IF(E2167&lt;0,0,MIN(COUNTIF(Labor!$C$59:$C$88,"&lt;="&amp;E2167),MAXBED_MES,TOTAL_BEDS-B2167-C2167))</f>
        <v>0</v>
      </c>
      <c r="G2167" s="21">
        <f>B2167+C2167+F2167</f>
        <v>30</v>
      </c>
      <c r="H2167" s="22">
        <f>IF(E2167&lt;0,-999999999,B2167*(PRICE_TOM-FERT_TOM)+C2167*(PRICE_CAR-FERT_CAR)+F2167*(PRICE_MES-FERT_MES)-(FARMER_SALARY+A2167*TEMP_COST)-FIXED_COSTS)</f>
        <v>-999999999</v>
      </c>
    </row>
    <row r="2168">
      <c r="A2168" s="5" t="n">
        <v>4</v>
      </c>
      <c r="B2168" s="5" t="n">
        <v>18</v>
      </c>
      <c r="C2168" s="5" t="n">
        <v>13</v>
      </c>
      <c r="D2168" s="18">
        <f>SEASON_HRS_TOM*B2168*(1+DIM_TOM)^B2168+SEASON_HRS_CAR*C2168*(1+DIM_CAR)^C2168</f>
        <v>9544.685355349886</v>
      </c>
      <c r="E2168" s="18">
        <f>(FARMER_FIELD_HRS+A2168*TEMP_HRS)-D2168</f>
        <v>-3064.685355349886</v>
      </c>
      <c r="F2168" s="21">
        <f>IF(E2168&lt;0,0,MIN(COUNTIF(Labor!$C$59:$C$88,"&lt;="&amp;E2168),MAXBED_MES,TOTAL_BEDS-B2168-C2168))</f>
        <v>0</v>
      </c>
      <c r="G2168" s="21">
        <f>B2168+C2168+F2168</f>
        <v>31</v>
      </c>
      <c r="H2168" s="22">
        <f>IF(E2168&lt;0,-999999999,B2168*(PRICE_TOM-FERT_TOM)+C2168*(PRICE_CAR-FERT_CAR)+F2168*(PRICE_MES-FERT_MES)-(FARMER_SALARY+A2168*TEMP_COST)-FIXED_COSTS)</f>
        <v>-999999999</v>
      </c>
    </row>
    <row r="2169">
      <c r="A2169" s="5" t="n">
        <v>4</v>
      </c>
      <c r="B2169" s="5" t="n">
        <v>18</v>
      </c>
      <c r="C2169" s="5" t="n">
        <v>14</v>
      </c>
      <c r="D2169" s="18">
        <f>SEASON_HRS_TOM*B2169*(1+DIM_TOM)^B2169+SEASON_HRS_CAR*C2169*(1+DIM_CAR)^C2169</f>
        <v>9600.51505266641</v>
      </c>
      <c r="E2169" s="18">
        <f>(FARMER_FIELD_HRS+A2169*TEMP_HRS)-D2169</f>
        <v>-3120.5150526664092</v>
      </c>
      <c r="F2169" s="21">
        <f>IF(E2169&lt;0,0,MIN(COUNTIF(Labor!$C$59:$C$88,"&lt;="&amp;E2169),MAXBED_MES,TOTAL_BEDS-B2169-C2169))</f>
        <v>0</v>
      </c>
      <c r="G2169" s="21">
        <f>B2169+C2169+F2169</f>
        <v>32</v>
      </c>
      <c r="H2169" s="22">
        <f>IF(E2169&lt;0,-999999999,B2169*(PRICE_TOM-FERT_TOM)+C2169*(PRICE_CAR-FERT_CAR)+F2169*(PRICE_MES-FERT_MES)-(FARMER_SALARY+A2169*TEMP_COST)-FIXED_COSTS)</f>
        <v>-999999999</v>
      </c>
    </row>
    <row r="2170">
      <c r="A2170" s="5" t="n">
        <v>4</v>
      </c>
      <c r="B2170" s="5" t="n">
        <v>18</v>
      </c>
      <c r="C2170" s="5" t="n">
        <v>15</v>
      </c>
      <c r="D2170" s="18">
        <f>SEASON_HRS_TOM*B2170*(1+DIM_TOM)^B2170+SEASON_HRS_CAR*C2170*(1+DIM_CAR)^C2170</f>
        <v>9658.800222781578</v>
      </c>
      <c r="E2170" s="18">
        <f>(FARMER_FIELD_HRS+A2170*TEMP_HRS)-D2170</f>
        <v>-3178.8002227815778</v>
      </c>
      <c r="F2170" s="21">
        <f>IF(E2170&lt;0,0,MIN(COUNTIF(Labor!$C$59:$C$88,"&lt;="&amp;E2170),MAXBED_MES,TOTAL_BEDS-B2170-C2170))</f>
        <v>0</v>
      </c>
      <c r="G2170" s="21">
        <f>B2170+C2170+F2170</f>
        <v>33</v>
      </c>
      <c r="H2170" s="22">
        <f>IF(E2170&lt;0,-999999999,B2170*(PRICE_TOM-FERT_TOM)+C2170*(PRICE_CAR-FERT_CAR)+F2170*(PRICE_MES-FERT_MES)-(FARMER_SALARY+A2170*TEMP_COST)-FIXED_COSTS)</f>
        <v>-999999999</v>
      </c>
    </row>
    <row r="2171">
      <c r="A2171" s="5" t="n">
        <v>4</v>
      </c>
      <c r="B2171" s="5" t="n">
        <v>18</v>
      </c>
      <c r="C2171" s="5" t="n">
        <v>16</v>
      </c>
      <c r="D2171" s="18">
        <f>SEASON_HRS_TOM*B2171*(1+DIM_TOM)^B2171+SEASON_HRS_CAR*C2171*(1+DIM_CAR)^C2171</f>
        <v>9719.628745774498</v>
      </c>
      <c r="E2171" s="18">
        <f>(FARMER_FIELD_HRS+A2171*TEMP_HRS)-D2171</f>
        <v>-3239.6287457744984</v>
      </c>
      <c r="F2171" s="21">
        <f>IF(E2171&lt;0,0,MIN(COUNTIF(Labor!$C$59:$C$88,"&lt;="&amp;E2171),MAXBED_MES,TOTAL_BEDS-B2171-C2171))</f>
        <v>0</v>
      </c>
      <c r="G2171" s="21">
        <f>B2171+C2171+F2171</f>
        <v>34</v>
      </c>
      <c r="H2171" s="22">
        <f>IF(E2171&lt;0,-999999999,B2171*(PRICE_TOM-FERT_TOM)+C2171*(PRICE_CAR-FERT_CAR)+F2171*(PRICE_MES-FERT_MES)-(FARMER_SALARY+A2171*TEMP_COST)-FIXED_COSTS)</f>
        <v>-999999999</v>
      </c>
    </row>
    <row r="2172">
      <c r="A2172" s="5" t="n">
        <v>4</v>
      </c>
      <c r="B2172" s="5" t="n">
        <v>18</v>
      </c>
      <c r="C2172" s="5" t="n">
        <v>17</v>
      </c>
      <c r="D2172" s="18">
        <f>SEASON_HRS_TOM*B2172*(1+DIM_TOM)^B2172+SEASON_HRS_CAR*C2172*(1+DIM_CAR)^C2172</f>
        <v>9783.091361057737</v>
      </c>
      <c r="E2172" s="18">
        <f>(FARMER_FIELD_HRS+A2172*TEMP_HRS)-D2172</f>
        <v>-3303.0913610577372</v>
      </c>
      <c r="F2172" s="21">
        <f>IF(E2172&lt;0,0,MIN(COUNTIF(Labor!$C$59:$C$88,"&lt;="&amp;E2172),MAXBED_MES,TOTAL_BEDS-B2172-C2172))</f>
        <v>0</v>
      </c>
      <c r="G2172" s="21">
        <f>B2172+C2172+F2172</f>
        <v>35</v>
      </c>
      <c r="H2172" s="22">
        <f>IF(E2172&lt;0,-999999999,B2172*(PRICE_TOM-FERT_TOM)+C2172*(PRICE_CAR-FERT_CAR)+F2172*(PRICE_MES-FERT_MES)-(FARMER_SALARY+A2172*TEMP_COST)-FIXED_COSTS)</f>
        <v>-999999999</v>
      </c>
    </row>
    <row r="2173">
      <c r="A2173" s="5" t="n">
        <v>4</v>
      </c>
      <c r="B2173" s="5" t="n">
        <v>18</v>
      </c>
      <c r="C2173" s="5" t="n">
        <v>18</v>
      </c>
      <c r="D2173" s="18">
        <f>SEASON_HRS_TOM*B2173*(1+DIM_TOM)^B2173+SEASON_HRS_CAR*C2173*(1+DIM_CAR)^C2173</f>
        <v>9849.28175541894</v>
      </c>
      <c r="E2173" s="18">
        <f>(FARMER_FIELD_HRS+A2173*TEMP_HRS)-D2173</f>
        <v>-3369.2817554189405</v>
      </c>
      <c r="F2173" s="21">
        <f>IF(E2173&lt;0,0,MIN(COUNTIF(Labor!$C$59:$C$88,"&lt;="&amp;E2173),MAXBED_MES,TOTAL_BEDS-B2173-C2173))</f>
        <v>0</v>
      </c>
      <c r="G2173" s="21">
        <f>B2173+C2173+F2173</f>
        <v>36</v>
      </c>
      <c r="H2173" s="22">
        <f>IF(E2173&lt;0,-999999999,B2173*(PRICE_TOM-FERT_TOM)+C2173*(PRICE_CAR-FERT_CAR)+F2173*(PRICE_MES-FERT_MES)-(FARMER_SALARY+A2173*TEMP_COST)-FIXED_COSTS)</f>
        <v>-999999999</v>
      </c>
    </row>
    <row r="2174">
      <c r="A2174" s="5" t="n">
        <v>4</v>
      </c>
      <c r="B2174" s="5" t="n">
        <v>18</v>
      </c>
      <c r="C2174" s="5" t="n">
        <v>19</v>
      </c>
      <c r="D2174" s="18">
        <f>SEASON_HRS_TOM*B2174*(1+DIM_TOM)^B2174+SEASON_HRS_CAR*C2174*(1+DIM_CAR)^C2174</f>
        <v>9918.296653677453</v>
      </c>
      <c r="E2174" s="18">
        <f>(FARMER_FIELD_HRS+A2174*TEMP_HRS)-D2174</f>
        <v>-3438.296653677453</v>
      </c>
      <c r="F2174" s="21">
        <f>IF(E2174&lt;0,0,MIN(COUNTIF(Labor!$C$59:$C$88,"&lt;="&amp;E2174),MAXBED_MES,TOTAL_BEDS-B2174-C2174))</f>
        <v>0</v>
      </c>
      <c r="G2174" s="21">
        <f>B2174+C2174+F2174</f>
        <v>37</v>
      </c>
      <c r="H2174" s="22">
        <f>IF(E2174&lt;0,-999999999,B2174*(PRICE_TOM-FERT_TOM)+C2174*(PRICE_CAR-FERT_CAR)+F2174*(PRICE_MES-FERT_MES)-(FARMER_SALARY+A2174*TEMP_COST)-FIXED_COSTS)</f>
        <v>-999999999</v>
      </c>
    </row>
    <row r="2175">
      <c r="A2175" s="5" t="n">
        <v>4</v>
      </c>
      <c r="B2175" s="5" t="n">
        <v>18</v>
      </c>
      <c r="C2175" s="5" t="n">
        <v>20</v>
      </c>
      <c r="D2175" s="18">
        <f>SEASON_HRS_TOM*B2175*(1+DIM_TOM)^B2175+SEASON_HRS_CAR*C2175*(1+DIM_CAR)^C2175</f>
        <v>9990.235912031665</v>
      </c>
      <c r="E2175" s="18">
        <f>(FARMER_FIELD_HRS+A2175*TEMP_HRS)-D2175</f>
        <v>-3510.235912031665</v>
      </c>
      <c r="F2175" s="21">
        <f>IF(E2175&lt;0,0,MIN(COUNTIF(Labor!$C$59:$C$88,"&lt;="&amp;E2175),MAXBED_MES,TOTAL_BEDS-B2175-C2175))</f>
        <v>0</v>
      </c>
      <c r="G2175" s="21">
        <f>B2175+C2175+F2175</f>
        <v>38</v>
      </c>
      <c r="H2175" s="22">
        <f>IF(E2175&lt;0,-999999999,B2175*(PRICE_TOM-FERT_TOM)+C2175*(PRICE_CAR-FERT_CAR)+F2175*(PRICE_MES-FERT_MES)-(FARMER_SALARY+A2175*TEMP_COST)-FIXED_COSTS)</f>
        <v>-999999999</v>
      </c>
    </row>
    <row r="2176">
      <c r="A2176" s="5" t="n">
        <v>4</v>
      </c>
      <c r="B2176" s="5" t="n">
        <v>19</v>
      </c>
      <c r="C2176" s="5" t="n">
        <v>0</v>
      </c>
      <c r="D2176" s="18">
        <f>SEASON_HRS_TOM*B2176*(1+DIM_TOM)^B2176+SEASON_HRS_CAR*C2176*(1+DIM_CAR)^C2176</f>
        <v>10458.204466678904</v>
      </c>
      <c r="E2176" s="18">
        <f>(FARMER_FIELD_HRS+A2176*TEMP_HRS)-D2176</f>
        <v>-3978.2044666789043</v>
      </c>
      <c r="F2176" s="21">
        <f>IF(E2176&lt;0,0,MIN(COUNTIF(Labor!$C$59:$C$88,"&lt;="&amp;E2176),MAXBED_MES,TOTAL_BEDS-B2176-C2176))</f>
        <v>0</v>
      </c>
      <c r="G2176" s="21">
        <f>B2176+C2176+F2176</f>
        <v>19</v>
      </c>
      <c r="H2176" s="22">
        <f>IF(E2176&lt;0,-999999999,B2176*(PRICE_TOM-FERT_TOM)+C2176*(PRICE_CAR-FERT_CAR)+F2176*(PRICE_MES-FERT_MES)-(FARMER_SALARY+A2176*TEMP_COST)-FIXED_COSTS)</f>
        <v>-999999999</v>
      </c>
    </row>
    <row r="2177">
      <c r="A2177" s="5" t="n">
        <v>4</v>
      </c>
      <c r="B2177" s="5" t="n">
        <v>19</v>
      </c>
      <c r="C2177" s="5" t="n">
        <v>1</v>
      </c>
      <c r="D2177" s="18">
        <f>SEASON_HRS_TOM*B2177*(1+DIM_TOM)^B2177+SEASON_HRS_CAR*C2177*(1+DIM_CAR)^C2177</f>
        <v>10488.954466678904</v>
      </c>
      <c r="E2177" s="18">
        <f>(FARMER_FIELD_HRS+A2177*TEMP_HRS)-D2177</f>
        <v>-4008.9544666789043</v>
      </c>
      <c r="F2177" s="21">
        <f>IF(E2177&lt;0,0,MIN(COUNTIF(Labor!$C$59:$C$88,"&lt;="&amp;E2177),MAXBED_MES,TOTAL_BEDS-B2177-C2177))</f>
        <v>0</v>
      </c>
      <c r="G2177" s="21">
        <f>B2177+C2177+F2177</f>
        <v>20</v>
      </c>
      <c r="H2177" s="22">
        <f>IF(E2177&lt;0,-999999999,B2177*(PRICE_TOM-FERT_TOM)+C2177*(PRICE_CAR-FERT_CAR)+F2177*(PRICE_MES-FERT_MES)-(FARMER_SALARY+A2177*TEMP_COST)-FIXED_COSTS)</f>
        <v>-999999999</v>
      </c>
    </row>
    <row r="2178">
      <c r="A2178" s="5" t="n">
        <v>4</v>
      </c>
      <c r="B2178" s="5" t="n">
        <v>19</v>
      </c>
      <c r="C2178" s="5" t="n">
        <v>2</v>
      </c>
      <c r="D2178" s="18">
        <f>SEASON_HRS_TOM*B2178*(1+DIM_TOM)^B2178+SEASON_HRS_CAR*C2178*(1+DIM_CAR)^C2178</f>
        <v>10521.241966678905</v>
      </c>
      <c r="E2178" s="18">
        <f>(FARMER_FIELD_HRS+A2178*TEMP_HRS)-D2178</f>
        <v>-4041.2419666789046</v>
      </c>
      <c r="F2178" s="21">
        <f>IF(E2178&lt;0,0,MIN(COUNTIF(Labor!$C$59:$C$88,"&lt;="&amp;E2178),MAXBED_MES,TOTAL_BEDS-B2178-C2178))</f>
        <v>0</v>
      </c>
      <c r="G2178" s="21">
        <f>B2178+C2178+F2178</f>
        <v>21</v>
      </c>
      <c r="H2178" s="22">
        <f>IF(E2178&lt;0,-999999999,B2178*(PRICE_TOM-FERT_TOM)+C2178*(PRICE_CAR-FERT_CAR)+F2178*(PRICE_MES-FERT_MES)-(FARMER_SALARY+A2178*TEMP_COST)-FIXED_COSTS)</f>
        <v>-999999999</v>
      </c>
    </row>
    <row r="2179">
      <c r="A2179" s="5" t="n">
        <v>4</v>
      </c>
      <c r="B2179" s="5" t="n">
        <v>19</v>
      </c>
      <c r="C2179" s="5" t="n">
        <v>3</v>
      </c>
      <c r="D2179" s="18">
        <f>SEASON_HRS_TOM*B2179*(1+DIM_TOM)^B2179+SEASON_HRS_CAR*C2179*(1+DIM_CAR)^C2179</f>
        <v>10555.124622928905</v>
      </c>
      <c r="E2179" s="18">
        <f>(FARMER_FIELD_HRS+A2179*TEMP_HRS)-D2179</f>
        <v>-4075.1246229289045</v>
      </c>
      <c r="F2179" s="21">
        <f>IF(E2179&lt;0,0,MIN(COUNTIF(Labor!$C$59:$C$88,"&lt;="&amp;E2179),MAXBED_MES,TOTAL_BEDS-B2179-C2179))</f>
        <v>0</v>
      </c>
      <c r="G2179" s="21">
        <f>B2179+C2179+F2179</f>
        <v>22</v>
      </c>
      <c r="H2179" s="22">
        <f>IF(E2179&lt;0,-999999999,B2179*(PRICE_TOM-FERT_TOM)+C2179*(PRICE_CAR-FERT_CAR)+F2179*(PRICE_MES-FERT_MES)-(FARMER_SALARY+A2179*TEMP_COST)-FIXED_COSTS)</f>
        <v>-999999999</v>
      </c>
    </row>
    <row r="2180">
      <c r="A2180" s="5" t="n">
        <v>4</v>
      </c>
      <c r="B2180" s="5" t="n">
        <v>19</v>
      </c>
      <c r="C2180" s="5" t="n">
        <v>4</v>
      </c>
      <c r="D2180" s="18">
        <f>SEASON_HRS_TOM*B2180*(1+DIM_TOM)^B2180+SEASON_HRS_CAR*C2180*(1+DIM_CAR)^C2180</f>
        <v>10590.662013553905</v>
      </c>
      <c r="E2180" s="18">
        <f>(FARMER_FIELD_HRS+A2180*TEMP_HRS)-D2180</f>
        <v>-4110.662013553905</v>
      </c>
      <c r="F2180" s="21">
        <f>IF(E2180&lt;0,0,MIN(COUNTIF(Labor!$C$59:$C$88,"&lt;="&amp;E2180),MAXBED_MES,TOTAL_BEDS-B2180-C2180))</f>
        <v>0</v>
      </c>
      <c r="G2180" s="21">
        <f>B2180+C2180+F2180</f>
        <v>23</v>
      </c>
      <c r="H2180" s="22">
        <f>IF(E2180&lt;0,-999999999,B2180*(PRICE_TOM-FERT_TOM)+C2180*(PRICE_CAR-FERT_CAR)+F2180*(PRICE_MES-FERT_MES)-(FARMER_SALARY+A2180*TEMP_COST)-FIXED_COSTS)</f>
        <v>-999999999</v>
      </c>
    </row>
    <row r="2181">
      <c r="A2181" s="5" t="n">
        <v>4</v>
      </c>
      <c r="B2181" s="5" t="n">
        <v>19</v>
      </c>
      <c r="C2181" s="5" t="n">
        <v>5</v>
      </c>
      <c r="D2181" s="18">
        <f>SEASON_HRS_TOM*B2181*(1+DIM_TOM)^B2181+SEASON_HRS_CAR*C2181*(1+DIM_CAR)^C2181</f>
        <v>10627.915698612498</v>
      </c>
      <c r="E2181" s="18">
        <f>(FARMER_FIELD_HRS+A2181*TEMP_HRS)-D2181</f>
        <v>-4147.915698612498</v>
      </c>
      <c r="F2181" s="21">
        <f>IF(E2181&lt;0,0,MIN(COUNTIF(Labor!$C$59:$C$88,"&lt;="&amp;E2181),MAXBED_MES,TOTAL_BEDS-B2181-C2181))</f>
        <v>0</v>
      </c>
      <c r="G2181" s="21">
        <f>B2181+C2181+F2181</f>
        <v>24</v>
      </c>
      <c r="H2181" s="22">
        <f>IF(E2181&lt;0,-999999999,B2181*(PRICE_TOM-FERT_TOM)+C2181*(PRICE_CAR-FERT_CAR)+F2181*(PRICE_MES-FERT_MES)-(FARMER_SALARY+A2181*TEMP_COST)-FIXED_COSTS)</f>
        <v>-999999999</v>
      </c>
    </row>
    <row r="2182">
      <c r="A2182" s="5" t="n">
        <v>4</v>
      </c>
      <c r="B2182" s="5" t="n">
        <v>19</v>
      </c>
      <c r="C2182" s="5" t="n">
        <v>6</v>
      </c>
      <c r="D2182" s="18">
        <f>SEASON_HRS_TOM*B2182*(1+DIM_TOM)^B2182+SEASON_HRS_CAR*C2182*(1+DIM_CAR)^C2182</f>
        <v>10666.949281957224</v>
      </c>
      <c r="E2182" s="18">
        <f>(FARMER_FIELD_HRS+A2182*TEMP_HRS)-D2182</f>
        <v>-4186.949281957224</v>
      </c>
      <c r="F2182" s="21">
        <f>IF(E2182&lt;0,0,MIN(COUNTIF(Labor!$C$59:$C$88,"&lt;="&amp;E2182),MAXBED_MES,TOTAL_BEDS-B2182-C2182))</f>
        <v>0</v>
      </c>
      <c r="G2182" s="21">
        <f>B2182+C2182+F2182</f>
        <v>25</v>
      </c>
      <c r="H2182" s="22">
        <f>IF(E2182&lt;0,-999999999,B2182*(PRICE_TOM-FERT_TOM)+C2182*(PRICE_CAR-FERT_CAR)+F2182*(PRICE_MES-FERT_MES)-(FARMER_SALARY+A2182*TEMP_COST)-FIXED_COSTS)</f>
        <v>-999999999</v>
      </c>
    </row>
    <row r="2183">
      <c r="A2183" s="5" t="n">
        <v>4</v>
      </c>
      <c r="B2183" s="5" t="n">
        <v>19</v>
      </c>
      <c r="C2183" s="5" t="n">
        <v>7</v>
      </c>
      <c r="D2183" s="18">
        <f>SEASON_HRS_TOM*B2183*(1+DIM_TOM)^B2183+SEASON_HRS_CAR*C2183*(1+DIM_CAR)^C2183</f>
        <v>10707.828474949229</v>
      </c>
      <c r="E2183" s="18">
        <f>(FARMER_FIELD_HRS+A2183*TEMP_HRS)-D2183</f>
        <v>-4227.828474949229</v>
      </c>
      <c r="F2183" s="21">
        <f>IF(E2183&lt;0,0,MIN(COUNTIF(Labor!$C$59:$C$88,"&lt;="&amp;E2183),MAXBED_MES,TOTAL_BEDS-B2183-C2183))</f>
        <v>0</v>
      </c>
      <c r="G2183" s="21">
        <f>B2183+C2183+F2183</f>
        <v>26</v>
      </c>
      <c r="H2183" s="22">
        <f>IF(E2183&lt;0,-999999999,B2183*(PRICE_TOM-FERT_TOM)+C2183*(PRICE_CAR-FERT_CAR)+F2183*(PRICE_MES-FERT_MES)-(FARMER_SALARY+A2183*TEMP_COST)-FIXED_COSTS)</f>
        <v>-999999999</v>
      </c>
    </row>
    <row r="2184">
      <c r="A2184" s="5" t="n">
        <v>4</v>
      </c>
      <c r="B2184" s="5" t="n">
        <v>19</v>
      </c>
      <c r="C2184" s="5" t="n">
        <v>8</v>
      </c>
      <c r="D2184" s="18">
        <f>SEASON_HRS_TOM*B2184*(1+DIM_TOM)^B2184+SEASON_HRS_CAR*C2184*(1+DIM_CAR)^C2184</f>
        <v>10750.621162081285</v>
      </c>
      <c r="E2184" s="18">
        <f>(FARMER_FIELD_HRS+A2184*TEMP_HRS)-D2184</f>
        <v>-4270.621162081285</v>
      </c>
      <c r="F2184" s="21">
        <f>IF(E2184&lt;0,0,MIN(COUNTIF(Labor!$C$59:$C$88,"&lt;="&amp;E2184),MAXBED_MES,TOTAL_BEDS-B2184-C2184))</f>
        <v>0</v>
      </c>
      <c r="G2184" s="21">
        <f>B2184+C2184+F2184</f>
        <v>27</v>
      </c>
      <c r="H2184" s="22">
        <f>IF(E2184&lt;0,-999999999,B2184*(PRICE_TOM-FERT_TOM)+C2184*(PRICE_CAR-FERT_CAR)+F2184*(PRICE_MES-FERT_MES)-(FARMER_SALARY+A2184*TEMP_COST)-FIXED_COSTS)</f>
        <v>-999999999</v>
      </c>
    </row>
    <row r="2185">
      <c r="A2185" s="5" t="n">
        <v>4</v>
      </c>
      <c r="B2185" s="5" t="n">
        <v>19</v>
      </c>
      <c r="C2185" s="5" t="n">
        <v>9</v>
      </c>
      <c r="D2185" s="18">
        <f>SEASON_HRS_TOM*B2185*(1+DIM_TOM)^B2185+SEASON_HRS_CAR*C2185*(1+DIM_CAR)^C2185</f>
        <v>10795.397468564774</v>
      </c>
      <c r="E2185" s="18">
        <f>(FARMER_FIELD_HRS+A2185*TEMP_HRS)-D2185</f>
        <v>-4315.397468564774</v>
      </c>
      <c r="F2185" s="21">
        <f>IF(E2185&lt;0,0,MIN(COUNTIF(Labor!$C$59:$C$88,"&lt;="&amp;E2185),MAXBED_MES,TOTAL_BEDS-B2185-C2185))</f>
        <v>0</v>
      </c>
      <c r="G2185" s="21">
        <f>B2185+C2185+F2185</f>
        <v>28</v>
      </c>
      <c r="H2185" s="22">
        <f>IF(E2185&lt;0,-999999999,B2185*(PRICE_TOM-FERT_TOM)+C2185*(PRICE_CAR-FERT_CAR)+F2185*(PRICE_MES-FERT_MES)-(FARMER_SALARY+A2185*TEMP_COST)-FIXED_COSTS)</f>
        <v>-999999999</v>
      </c>
    </row>
    <row r="2186">
      <c r="A2186" s="5" t="n">
        <v>4</v>
      </c>
      <c r="B2186" s="5" t="n">
        <v>19</v>
      </c>
      <c r="C2186" s="5" t="n">
        <v>10</v>
      </c>
      <c r="D2186" s="18">
        <f>SEASON_HRS_TOM*B2186*(1+DIM_TOM)^B2186+SEASON_HRS_CAR*C2186*(1+DIM_CAR)^C2186</f>
        <v>10842.22982993781</v>
      </c>
      <c r="E2186" s="18">
        <f>(FARMER_FIELD_HRS+A2186*TEMP_HRS)-D2186</f>
        <v>-4362.229829937811</v>
      </c>
      <c r="F2186" s="21">
        <f>IF(E2186&lt;0,0,MIN(COUNTIF(Labor!$C$59:$C$88,"&lt;="&amp;E2186),MAXBED_MES,TOTAL_BEDS-B2186-C2186))</f>
        <v>0</v>
      </c>
      <c r="G2186" s="21">
        <f>B2186+C2186+F2186</f>
        <v>29</v>
      </c>
      <c r="H2186" s="22">
        <f>IF(E2186&lt;0,-999999999,B2186*(PRICE_TOM-FERT_TOM)+C2186*(PRICE_CAR-FERT_CAR)+F2186*(PRICE_MES-FERT_MES)-(FARMER_SALARY+A2186*TEMP_COST)-FIXED_COSTS)</f>
        <v>-999999999</v>
      </c>
    </row>
    <row r="2187">
      <c r="A2187" s="5" t="n">
        <v>4</v>
      </c>
      <c r="B2187" s="5" t="n">
        <v>19</v>
      </c>
      <c r="C2187" s="5" t="n">
        <v>11</v>
      </c>
      <c r="D2187" s="18">
        <f>SEASON_HRS_TOM*B2187*(1+DIM_TOM)^B2187+SEASON_HRS_CAR*C2187*(1+DIM_CAR)^C2187</f>
        <v>10891.193063753322</v>
      </c>
      <c r="E2187" s="18">
        <f>(FARMER_FIELD_HRS+A2187*TEMP_HRS)-D2187</f>
        <v>-4411.193063753322</v>
      </c>
      <c r="F2187" s="21">
        <f>IF(E2187&lt;0,0,MIN(COUNTIF(Labor!$C$59:$C$88,"&lt;="&amp;E2187),MAXBED_MES,TOTAL_BEDS-B2187-C2187))</f>
        <v>0</v>
      </c>
      <c r="G2187" s="21">
        <f>B2187+C2187+F2187</f>
        <v>30</v>
      </c>
      <c r="H2187" s="22">
        <f>IF(E2187&lt;0,-999999999,B2187*(PRICE_TOM-FERT_TOM)+C2187*(PRICE_CAR-FERT_CAR)+F2187*(PRICE_MES-FERT_MES)-(FARMER_SALARY+A2187*TEMP_COST)-FIXED_COSTS)</f>
        <v>-999999999</v>
      </c>
    </row>
    <row r="2188">
      <c r="A2188" s="5" t="n">
        <v>4</v>
      </c>
      <c r="B2188" s="5" t="n">
        <v>19</v>
      </c>
      <c r="C2188" s="5" t="n">
        <v>12</v>
      </c>
      <c r="D2188" s="18">
        <f>SEASON_HRS_TOM*B2188*(1+DIM_TOM)^B2188+SEASON_HRS_CAR*C2188*(1+DIM_CAR)^C2188</f>
        <v>10942.36444340757</v>
      </c>
      <c r="E2188" s="18">
        <f>(FARMER_FIELD_HRS+A2188*TEMP_HRS)-D2188</f>
        <v>-4462.36444340757</v>
      </c>
      <c r="F2188" s="21">
        <f>IF(E2188&lt;0,0,MIN(COUNTIF(Labor!$C$59:$C$88,"&lt;="&amp;E2188),MAXBED_MES,TOTAL_BEDS-B2188-C2188))</f>
        <v>0</v>
      </c>
      <c r="G2188" s="21">
        <f>B2188+C2188+F2188</f>
        <v>31</v>
      </c>
      <c r="H2188" s="22">
        <f>IF(E2188&lt;0,-999999999,B2188*(PRICE_TOM-FERT_TOM)+C2188*(PRICE_CAR-FERT_CAR)+F2188*(PRICE_MES-FERT_MES)-(FARMER_SALARY+A2188*TEMP_COST)-FIXED_COSTS)</f>
        <v>-999999999</v>
      </c>
    </row>
    <row r="2189">
      <c r="A2189" s="5" t="n">
        <v>4</v>
      </c>
      <c r="B2189" s="5" t="n">
        <v>19</v>
      </c>
      <c r="C2189" s="5" t="n">
        <v>13</v>
      </c>
      <c r="D2189" s="18">
        <f>SEASON_HRS_TOM*B2189*(1+DIM_TOM)^B2189+SEASON_HRS_CAR*C2189*(1+DIM_CAR)^C2189</f>
        <v>10995.823774171362</v>
      </c>
      <c r="E2189" s="18">
        <f>(FARMER_FIELD_HRS+A2189*TEMP_HRS)-D2189</f>
        <v>-4515.823774171362</v>
      </c>
      <c r="F2189" s="21">
        <f>IF(E2189&lt;0,0,MIN(COUNTIF(Labor!$C$59:$C$88,"&lt;="&amp;E2189),MAXBED_MES,TOTAL_BEDS-B2189-C2189))</f>
        <v>0</v>
      </c>
      <c r="G2189" s="21">
        <f>B2189+C2189+F2189</f>
        <v>32</v>
      </c>
      <c r="H2189" s="22">
        <f>IF(E2189&lt;0,-999999999,B2189*(PRICE_TOM-FERT_TOM)+C2189*(PRICE_CAR-FERT_CAR)+F2189*(PRICE_MES-FERT_MES)-(FARMER_SALARY+A2189*TEMP_COST)-FIXED_COSTS)</f>
        <v>-999999999</v>
      </c>
    </row>
    <row r="2190">
      <c r="A2190" s="5" t="n">
        <v>4</v>
      </c>
      <c r="B2190" s="5" t="n">
        <v>19</v>
      </c>
      <c r="C2190" s="5" t="n">
        <v>14</v>
      </c>
      <c r="D2190" s="18">
        <f>SEASON_HRS_TOM*B2190*(1+DIM_TOM)^B2190+SEASON_HRS_CAR*C2190*(1+DIM_CAR)^C2190</f>
        <v>11051.653471487885</v>
      </c>
      <c r="E2190" s="18">
        <f>(FARMER_FIELD_HRS+A2190*TEMP_HRS)-D2190</f>
        <v>-4571.653471487885</v>
      </c>
      <c r="F2190" s="21">
        <f>IF(E2190&lt;0,0,MIN(COUNTIF(Labor!$C$59:$C$88,"&lt;="&amp;E2190),MAXBED_MES,TOTAL_BEDS-B2190-C2190))</f>
        <v>0</v>
      </c>
      <c r="G2190" s="21">
        <f>B2190+C2190+F2190</f>
        <v>33</v>
      </c>
      <c r="H2190" s="22">
        <f>IF(E2190&lt;0,-999999999,B2190*(PRICE_TOM-FERT_TOM)+C2190*(PRICE_CAR-FERT_CAR)+F2190*(PRICE_MES-FERT_MES)-(FARMER_SALARY+A2190*TEMP_COST)-FIXED_COSTS)</f>
        <v>-999999999</v>
      </c>
    </row>
    <row r="2191">
      <c r="A2191" s="5" t="n">
        <v>4</v>
      </c>
      <c r="B2191" s="5" t="n">
        <v>19</v>
      </c>
      <c r="C2191" s="5" t="n">
        <v>15</v>
      </c>
      <c r="D2191" s="18">
        <f>SEASON_HRS_TOM*B2191*(1+DIM_TOM)^B2191+SEASON_HRS_CAR*C2191*(1+DIM_CAR)^C2191</f>
        <v>11109.938641603054</v>
      </c>
      <c r="E2191" s="18">
        <f>(FARMER_FIELD_HRS+A2191*TEMP_HRS)-D2191</f>
        <v>-4629.938641603054</v>
      </c>
      <c r="F2191" s="21">
        <f>IF(E2191&lt;0,0,MIN(COUNTIF(Labor!$C$59:$C$88,"&lt;="&amp;E2191),MAXBED_MES,TOTAL_BEDS-B2191-C2191))</f>
        <v>0</v>
      </c>
      <c r="G2191" s="21">
        <f>B2191+C2191+F2191</f>
        <v>34</v>
      </c>
      <c r="H2191" s="22">
        <f>IF(E2191&lt;0,-999999999,B2191*(PRICE_TOM-FERT_TOM)+C2191*(PRICE_CAR-FERT_CAR)+F2191*(PRICE_MES-FERT_MES)-(FARMER_SALARY+A2191*TEMP_COST)-FIXED_COSTS)</f>
        <v>-999999999</v>
      </c>
    </row>
    <row r="2192">
      <c r="A2192" s="5" t="n">
        <v>4</v>
      </c>
      <c r="B2192" s="5" t="n">
        <v>19</v>
      </c>
      <c r="C2192" s="5" t="n">
        <v>16</v>
      </c>
      <c r="D2192" s="18">
        <f>SEASON_HRS_TOM*B2192*(1+DIM_TOM)^B2192+SEASON_HRS_CAR*C2192*(1+DIM_CAR)^C2192</f>
        <v>11170.767164595974</v>
      </c>
      <c r="E2192" s="18">
        <f>(FARMER_FIELD_HRS+A2192*TEMP_HRS)-D2192</f>
        <v>-4690.7671645959745</v>
      </c>
      <c r="F2192" s="21">
        <f>IF(E2192&lt;0,0,MIN(COUNTIF(Labor!$C$59:$C$88,"&lt;="&amp;E2192),MAXBED_MES,TOTAL_BEDS-B2192-C2192))</f>
        <v>0</v>
      </c>
      <c r="G2192" s="21">
        <f>B2192+C2192+F2192</f>
        <v>35</v>
      </c>
      <c r="H2192" s="22">
        <f>IF(E2192&lt;0,-999999999,B2192*(PRICE_TOM-FERT_TOM)+C2192*(PRICE_CAR-FERT_CAR)+F2192*(PRICE_MES-FERT_MES)-(FARMER_SALARY+A2192*TEMP_COST)-FIXED_COSTS)</f>
        <v>-999999999</v>
      </c>
    </row>
    <row r="2193">
      <c r="A2193" s="5" t="n">
        <v>4</v>
      </c>
      <c r="B2193" s="5" t="n">
        <v>19</v>
      </c>
      <c r="C2193" s="5" t="n">
        <v>17</v>
      </c>
      <c r="D2193" s="18">
        <f>SEASON_HRS_TOM*B2193*(1+DIM_TOM)^B2193+SEASON_HRS_CAR*C2193*(1+DIM_CAR)^C2193</f>
        <v>11234.229779879213</v>
      </c>
      <c r="E2193" s="18">
        <f>(FARMER_FIELD_HRS+A2193*TEMP_HRS)-D2193</f>
        <v>-4754.229779879213</v>
      </c>
      <c r="F2193" s="21">
        <f>IF(E2193&lt;0,0,MIN(COUNTIF(Labor!$C$59:$C$88,"&lt;="&amp;E2193),MAXBED_MES,TOTAL_BEDS-B2193-C2193))</f>
        <v>0</v>
      </c>
      <c r="G2193" s="21">
        <f>B2193+C2193+F2193</f>
        <v>36</v>
      </c>
      <c r="H2193" s="22">
        <f>IF(E2193&lt;0,-999999999,B2193*(PRICE_TOM-FERT_TOM)+C2193*(PRICE_CAR-FERT_CAR)+F2193*(PRICE_MES-FERT_MES)-(FARMER_SALARY+A2193*TEMP_COST)-FIXED_COSTS)</f>
        <v>-999999999</v>
      </c>
    </row>
    <row r="2194">
      <c r="A2194" s="5" t="n">
        <v>4</v>
      </c>
      <c r="B2194" s="5" t="n">
        <v>19</v>
      </c>
      <c r="C2194" s="5" t="n">
        <v>18</v>
      </c>
      <c r="D2194" s="18">
        <f>SEASON_HRS_TOM*B2194*(1+DIM_TOM)^B2194+SEASON_HRS_CAR*C2194*(1+DIM_CAR)^C2194</f>
        <v>11300.420174240417</v>
      </c>
      <c r="E2194" s="18">
        <f>(FARMER_FIELD_HRS+A2194*TEMP_HRS)-D2194</f>
        <v>-4820.420174240417</v>
      </c>
      <c r="F2194" s="21">
        <f>IF(E2194&lt;0,0,MIN(COUNTIF(Labor!$C$59:$C$88,"&lt;="&amp;E2194),MAXBED_MES,TOTAL_BEDS-B2194-C2194))</f>
        <v>0</v>
      </c>
      <c r="G2194" s="21">
        <f>B2194+C2194+F2194</f>
        <v>37</v>
      </c>
      <c r="H2194" s="22">
        <f>IF(E2194&lt;0,-999999999,B2194*(PRICE_TOM-FERT_TOM)+C2194*(PRICE_CAR-FERT_CAR)+F2194*(PRICE_MES-FERT_MES)-(FARMER_SALARY+A2194*TEMP_COST)-FIXED_COSTS)</f>
        <v>-999999999</v>
      </c>
    </row>
    <row r="2195">
      <c r="A2195" s="5" t="n">
        <v>4</v>
      </c>
      <c r="B2195" s="5" t="n">
        <v>19</v>
      </c>
      <c r="C2195" s="5" t="n">
        <v>19</v>
      </c>
      <c r="D2195" s="18">
        <f>SEASON_HRS_TOM*B2195*(1+DIM_TOM)^B2195+SEASON_HRS_CAR*C2195*(1+DIM_CAR)^C2195</f>
        <v>11369.435072498929</v>
      </c>
      <c r="E2195" s="18">
        <f>(FARMER_FIELD_HRS+A2195*TEMP_HRS)-D2195</f>
        <v>-4889.435072498929</v>
      </c>
      <c r="F2195" s="21">
        <f>IF(E2195&lt;0,0,MIN(COUNTIF(Labor!$C$59:$C$88,"&lt;="&amp;E2195),MAXBED_MES,TOTAL_BEDS-B2195-C2195))</f>
        <v>0</v>
      </c>
      <c r="G2195" s="21">
        <f>B2195+C2195+F2195</f>
        <v>38</v>
      </c>
      <c r="H2195" s="22">
        <f>IF(E2195&lt;0,-999999999,B2195*(PRICE_TOM-FERT_TOM)+C2195*(PRICE_CAR-FERT_CAR)+F2195*(PRICE_MES-FERT_MES)-(FARMER_SALARY+A2195*TEMP_COST)-FIXED_COSTS)</f>
        <v>-999999999</v>
      </c>
    </row>
    <row r="2196">
      <c r="A2196" s="5" t="n">
        <v>4</v>
      </c>
      <c r="B2196" s="5" t="n">
        <v>19</v>
      </c>
      <c r="C2196" s="5" t="n">
        <v>20</v>
      </c>
      <c r="D2196" s="18">
        <f>SEASON_HRS_TOM*B2196*(1+DIM_TOM)^B2196+SEASON_HRS_CAR*C2196*(1+DIM_CAR)^C2196</f>
        <v>11441.374330853141</v>
      </c>
      <c r="E2196" s="18">
        <f>(FARMER_FIELD_HRS+A2196*TEMP_HRS)-D2196</f>
        <v>-4961.374330853141</v>
      </c>
      <c r="F2196" s="21">
        <f>IF(E2196&lt;0,0,MIN(COUNTIF(Labor!$C$59:$C$88,"&lt;="&amp;E2196),MAXBED_MES,TOTAL_BEDS-B2196-C2196))</f>
        <v>0</v>
      </c>
      <c r="G2196" s="21">
        <f>B2196+C2196+F2196</f>
        <v>39</v>
      </c>
      <c r="H2196" s="22">
        <f>IF(E2196&lt;0,-999999999,B2196*(PRICE_TOM-FERT_TOM)+C2196*(PRICE_CAR-FERT_CAR)+F2196*(PRICE_MES-FERT_MES)-(FARMER_SALARY+A2196*TEMP_COST)-FIXED_COSTS)</f>
        <v>-999999999</v>
      </c>
    </row>
    <row r="2197">
      <c r="A2197" s="5" t="n">
        <v>4</v>
      </c>
      <c r="B2197" s="5" t="n">
        <v>20</v>
      </c>
      <c r="C2197" s="5" t="n">
        <v>0</v>
      </c>
      <c r="D2197" s="18">
        <f>SEASON_HRS_TOM*B2197*(1+DIM_TOM)^B2197+SEASON_HRS_CAR*C2197*(1+DIM_CAR)^C2197</f>
        <v>12109.4999087861</v>
      </c>
      <c r="E2197" s="18">
        <f>(FARMER_FIELD_HRS+A2197*TEMP_HRS)-D2197</f>
        <v>-5629.4999087861</v>
      </c>
      <c r="F2197" s="21">
        <f>IF(E2197&lt;0,0,MIN(COUNTIF(Labor!$C$59:$C$88,"&lt;="&amp;E2197),MAXBED_MES,TOTAL_BEDS-B2197-C2197))</f>
        <v>0</v>
      </c>
      <c r="G2197" s="21">
        <f>B2197+C2197+F2197</f>
        <v>20</v>
      </c>
      <c r="H2197" s="22">
        <f>IF(E2197&lt;0,-999999999,B2197*(PRICE_TOM-FERT_TOM)+C2197*(PRICE_CAR-FERT_CAR)+F2197*(PRICE_MES-FERT_MES)-(FARMER_SALARY+A2197*TEMP_COST)-FIXED_COSTS)</f>
        <v>-999999999</v>
      </c>
    </row>
    <row r="2198">
      <c r="A2198" s="5" t="n">
        <v>4</v>
      </c>
      <c r="B2198" s="5" t="n">
        <v>20</v>
      </c>
      <c r="C2198" s="5" t="n">
        <v>1</v>
      </c>
      <c r="D2198" s="18">
        <f>SEASON_HRS_TOM*B2198*(1+DIM_TOM)^B2198+SEASON_HRS_CAR*C2198*(1+DIM_CAR)^C2198</f>
        <v>12140.2499087861</v>
      </c>
      <c r="E2198" s="18">
        <f>(FARMER_FIELD_HRS+A2198*TEMP_HRS)-D2198</f>
        <v>-5660.2499087861</v>
      </c>
      <c r="F2198" s="21">
        <f>IF(E2198&lt;0,0,MIN(COUNTIF(Labor!$C$59:$C$88,"&lt;="&amp;E2198),MAXBED_MES,TOTAL_BEDS-B2198-C2198))</f>
        <v>0</v>
      </c>
      <c r="G2198" s="21">
        <f>B2198+C2198+F2198</f>
        <v>21</v>
      </c>
      <c r="H2198" s="22">
        <f>IF(E2198&lt;0,-999999999,B2198*(PRICE_TOM-FERT_TOM)+C2198*(PRICE_CAR-FERT_CAR)+F2198*(PRICE_MES-FERT_MES)-(FARMER_SALARY+A2198*TEMP_COST)-FIXED_COSTS)</f>
        <v>-999999999</v>
      </c>
    </row>
    <row r="2199">
      <c r="A2199" s="5" t="n">
        <v>4</v>
      </c>
      <c r="B2199" s="5" t="n">
        <v>20</v>
      </c>
      <c r="C2199" s="5" t="n">
        <v>2</v>
      </c>
      <c r="D2199" s="18">
        <f>SEASON_HRS_TOM*B2199*(1+DIM_TOM)^B2199+SEASON_HRS_CAR*C2199*(1+DIM_CAR)^C2199</f>
        <v>12172.5374087861</v>
      </c>
      <c r="E2199" s="18">
        <f>(FARMER_FIELD_HRS+A2199*TEMP_HRS)-D2199</f>
        <v>-5692.5374087861</v>
      </c>
      <c r="F2199" s="21">
        <f>IF(E2199&lt;0,0,MIN(COUNTIF(Labor!$C$59:$C$88,"&lt;="&amp;E2199),MAXBED_MES,TOTAL_BEDS-B2199-C2199))</f>
        <v>0</v>
      </c>
      <c r="G2199" s="21">
        <f>B2199+C2199+F2199</f>
        <v>22</v>
      </c>
      <c r="H2199" s="22">
        <f>IF(E2199&lt;0,-999999999,B2199*(PRICE_TOM-FERT_TOM)+C2199*(PRICE_CAR-FERT_CAR)+F2199*(PRICE_MES-FERT_MES)-(FARMER_SALARY+A2199*TEMP_COST)-FIXED_COSTS)</f>
        <v>-999999999</v>
      </c>
    </row>
    <row r="2200">
      <c r="A2200" s="5" t="n">
        <v>4</v>
      </c>
      <c r="B2200" s="5" t="n">
        <v>20</v>
      </c>
      <c r="C2200" s="5" t="n">
        <v>3</v>
      </c>
      <c r="D2200" s="18">
        <f>SEASON_HRS_TOM*B2200*(1+DIM_TOM)^B2200+SEASON_HRS_CAR*C2200*(1+DIM_CAR)^C2200</f>
        <v>12206.4200650361</v>
      </c>
      <c r="E2200" s="18">
        <f>(FARMER_FIELD_HRS+A2200*TEMP_HRS)-D2200</f>
        <v>-5726.4200650361</v>
      </c>
      <c r="F2200" s="21">
        <f>IF(E2200&lt;0,0,MIN(COUNTIF(Labor!$C$59:$C$88,"&lt;="&amp;E2200),MAXBED_MES,TOTAL_BEDS-B2200-C2200))</f>
        <v>0</v>
      </c>
      <c r="G2200" s="21">
        <f>B2200+C2200+F2200</f>
        <v>23</v>
      </c>
      <c r="H2200" s="22">
        <f>IF(E2200&lt;0,-999999999,B2200*(PRICE_TOM-FERT_TOM)+C2200*(PRICE_CAR-FERT_CAR)+F2200*(PRICE_MES-FERT_MES)-(FARMER_SALARY+A2200*TEMP_COST)-FIXED_COSTS)</f>
        <v>-999999999</v>
      </c>
    </row>
    <row r="2201">
      <c r="A2201" s="5" t="n">
        <v>4</v>
      </c>
      <c r="B2201" s="5" t="n">
        <v>20</v>
      </c>
      <c r="C2201" s="5" t="n">
        <v>4</v>
      </c>
      <c r="D2201" s="18">
        <f>SEASON_HRS_TOM*B2201*(1+DIM_TOM)^B2201+SEASON_HRS_CAR*C2201*(1+DIM_CAR)^C2201</f>
        <v>12241.9574556611</v>
      </c>
      <c r="E2201" s="18">
        <f>(FARMER_FIELD_HRS+A2201*TEMP_HRS)-D2201</f>
        <v>-5761.9574556611005</v>
      </c>
      <c r="F2201" s="21">
        <f>IF(E2201&lt;0,0,MIN(COUNTIF(Labor!$C$59:$C$88,"&lt;="&amp;E2201),MAXBED_MES,TOTAL_BEDS-B2201-C2201))</f>
        <v>0</v>
      </c>
      <c r="G2201" s="21">
        <f>B2201+C2201+F2201</f>
        <v>24</v>
      </c>
      <c r="H2201" s="22">
        <f>IF(E2201&lt;0,-999999999,B2201*(PRICE_TOM-FERT_TOM)+C2201*(PRICE_CAR-FERT_CAR)+F2201*(PRICE_MES-FERT_MES)-(FARMER_SALARY+A2201*TEMP_COST)-FIXED_COSTS)</f>
        <v>-999999999</v>
      </c>
    </row>
    <row r="2202">
      <c r="A2202" s="5" t="n">
        <v>4</v>
      </c>
      <c r="B2202" s="5" t="n">
        <v>20</v>
      </c>
      <c r="C2202" s="5" t="n">
        <v>5</v>
      </c>
      <c r="D2202" s="18">
        <f>SEASON_HRS_TOM*B2202*(1+DIM_TOM)^B2202+SEASON_HRS_CAR*C2202*(1+DIM_CAR)^C2202</f>
        <v>12279.211140719694</v>
      </c>
      <c r="E2202" s="18">
        <f>(FARMER_FIELD_HRS+A2202*TEMP_HRS)-D2202</f>
        <v>-5799.2111407196935</v>
      </c>
      <c r="F2202" s="21">
        <f>IF(E2202&lt;0,0,MIN(COUNTIF(Labor!$C$59:$C$88,"&lt;="&amp;E2202),MAXBED_MES,TOTAL_BEDS-B2202-C2202))</f>
        <v>0</v>
      </c>
      <c r="G2202" s="21">
        <f>B2202+C2202+F2202</f>
        <v>25</v>
      </c>
      <c r="H2202" s="22">
        <f>IF(E2202&lt;0,-999999999,B2202*(PRICE_TOM-FERT_TOM)+C2202*(PRICE_CAR-FERT_CAR)+F2202*(PRICE_MES-FERT_MES)-(FARMER_SALARY+A2202*TEMP_COST)-FIXED_COSTS)</f>
        <v>-999999999</v>
      </c>
    </row>
    <row r="2203">
      <c r="A2203" s="5" t="n">
        <v>4</v>
      </c>
      <c r="B2203" s="5" t="n">
        <v>20</v>
      </c>
      <c r="C2203" s="5" t="n">
        <v>6</v>
      </c>
      <c r="D2203" s="18">
        <f>SEASON_HRS_TOM*B2203*(1+DIM_TOM)^B2203+SEASON_HRS_CAR*C2203*(1+DIM_CAR)^C2203</f>
        <v>12318.24472406442</v>
      </c>
      <c r="E2203" s="18">
        <f>(FARMER_FIELD_HRS+A2203*TEMP_HRS)-D2203</f>
        <v>-5838.24472406442</v>
      </c>
      <c r="F2203" s="21">
        <f>IF(E2203&lt;0,0,MIN(COUNTIF(Labor!$C$59:$C$88,"&lt;="&amp;E2203),MAXBED_MES,TOTAL_BEDS-B2203-C2203))</f>
        <v>0</v>
      </c>
      <c r="G2203" s="21">
        <f>B2203+C2203+F2203</f>
        <v>26</v>
      </c>
      <c r="H2203" s="22">
        <f>IF(E2203&lt;0,-999999999,B2203*(PRICE_TOM-FERT_TOM)+C2203*(PRICE_CAR-FERT_CAR)+F2203*(PRICE_MES-FERT_MES)-(FARMER_SALARY+A2203*TEMP_COST)-FIXED_COSTS)</f>
        <v>-999999999</v>
      </c>
    </row>
    <row r="2204">
      <c r="A2204" s="5" t="n">
        <v>4</v>
      </c>
      <c r="B2204" s="5" t="n">
        <v>20</v>
      </c>
      <c r="C2204" s="5" t="n">
        <v>7</v>
      </c>
      <c r="D2204" s="18">
        <f>SEASON_HRS_TOM*B2204*(1+DIM_TOM)^B2204+SEASON_HRS_CAR*C2204*(1+DIM_CAR)^C2204</f>
        <v>12359.123917056424</v>
      </c>
      <c r="E2204" s="18">
        <f>(FARMER_FIELD_HRS+A2204*TEMP_HRS)-D2204</f>
        <v>-5879.123917056424</v>
      </c>
      <c r="F2204" s="21">
        <f>IF(E2204&lt;0,0,MIN(COUNTIF(Labor!$C$59:$C$88,"&lt;="&amp;E2204),MAXBED_MES,TOTAL_BEDS-B2204-C2204))</f>
        <v>0</v>
      </c>
      <c r="G2204" s="21">
        <f>B2204+C2204+F2204</f>
        <v>27</v>
      </c>
      <c r="H2204" s="22">
        <f>IF(E2204&lt;0,-999999999,B2204*(PRICE_TOM-FERT_TOM)+C2204*(PRICE_CAR-FERT_CAR)+F2204*(PRICE_MES-FERT_MES)-(FARMER_SALARY+A2204*TEMP_COST)-FIXED_COSTS)</f>
        <v>-999999999</v>
      </c>
    </row>
    <row r="2205">
      <c r="A2205" s="5" t="n">
        <v>4</v>
      </c>
      <c r="B2205" s="5" t="n">
        <v>20</v>
      </c>
      <c r="C2205" s="5" t="n">
        <v>8</v>
      </c>
      <c r="D2205" s="18">
        <f>SEASON_HRS_TOM*B2205*(1+DIM_TOM)^B2205+SEASON_HRS_CAR*C2205*(1+DIM_CAR)^C2205</f>
        <v>12401.91660418848</v>
      </c>
      <c r="E2205" s="18">
        <f>(FARMER_FIELD_HRS+A2205*TEMP_HRS)-D2205</f>
        <v>-5921.91660418848</v>
      </c>
      <c r="F2205" s="21">
        <f>IF(E2205&lt;0,0,MIN(COUNTIF(Labor!$C$59:$C$88,"&lt;="&amp;E2205),MAXBED_MES,TOTAL_BEDS-B2205-C2205))</f>
        <v>0</v>
      </c>
      <c r="G2205" s="21">
        <f>B2205+C2205+F2205</f>
        <v>28</v>
      </c>
      <c r="H2205" s="22">
        <f>IF(E2205&lt;0,-999999999,B2205*(PRICE_TOM-FERT_TOM)+C2205*(PRICE_CAR-FERT_CAR)+F2205*(PRICE_MES-FERT_MES)-(FARMER_SALARY+A2205*TEMP_COST)-FIXED_COSTS)</f>
        <v>-999999999</v>
      </c>
    </row>
    <row r="2206">
      <c r="A2206" s="5" t="n">
        <v>4</v>
      </c>
      <c r="B2206" s="5" t="n">
        <v>20</v>
      </c>
      <c r="C2206" s="5" t="n">
        <v>9</v>
      </c>
      <c r="D2206" s="18">
        <f>SEASON_HRS_TOM*B2206*(1+DIM_TOM)^B2206+SEASON_HRS_CAR*C2206*(1+DIM_CAR)^C2206</f>
        <v>12446.692910671969</v>
      </c>
      <c r="E2206" s="18">
        <f>(FARMER_FIELD_HRS+A2206*TEMP_HRS)-D2206</f>
        <v>-5966.692910671969</v>
      </c>
      <c r="F2206" s="21">
        <f>IF(E2206&lt;0,0,MIN(COUNTIF(Labor!$C$59:$C$88,"&lt;="&amp;E2206),MAXBED_MES,TOTAL_BEDS-B2206-C2206))</f>
        <v>0</v>
      </c>
      <c r="G2206" s="21">
        <f>B2206+C2206+F2206</f>
        <v>29</v>
      </c>
      <c r="H2206" s="22">
        <f>IF(E2206&lt;0,-999999999,B2206*(PRICE_TOM-FERT_TOM)+C2206*(PRICE_CAR-FERT_CAR)+F2206*(PRICE_MES-FERT_MES)-(FARMER_SALARY+A2206*TEMP_COST)-FIXED_COSTS)</f>
        <v>-999999999</v>
      </c>
    </row>
    <row r="2207">
      <c r="A2207" s="5" t="n">
        <v>4</v>
      </c>
      <c r="B2207" s="5" t="n">
        <v>20</v>
      </c>
      <c r="C2207" s="5" t="n">
        <v>10</v>
      </c>
      <c r="D2207" s="18">
        <f>SEASON_HRS_TOM*B2207*(1+DIM_TOM)^B2207+SEASON_HRS_CAR*C2207*(1+DIM_CAR)^C2207</f>
        <v>12493.525272045006</v>
      </c>
      <c r="E2207" s="18">
        <f>(FARMER_FIELD_HRS+A2207*TEMP_HRS)-D2207</f>
        <v>-6013.525272045006</v>
      </c>
      <c r="F2207" s="21">
        <f>IF(E2207&lt;0,0,MIN(COUNTIF(Labor!$C$59:$C$88,"&lt;="&amp;E2207),MAXBED_MES,TOTAL_BEDS-B2207-C2207))</f>
        <v>0</v>
      </c>
      <c r="G2207" s="21">
        <f>B2207+C2207+F2207</f>
        <v>30</v>
      </c>
      <c r="H2207" s="22">
        <f>IF(E2207&lt;0,-999999999,B2207*(PRICE_TOM-FERT_TOM)+C2207*(PRICE_CAR-FERT_CAR)+F2207*(PRICE_MES-FERT_MES)-(FARMER_SALARY+A2207*TEMP_COST)-FIXED_COSTS)</f>
        <v>-999999999</v>
      </c>
    </row>
    <row r="2208">
      <c r="A2208" s="5" t="n">
        <v>4</v>
      </c>
      <c r="B2208" s="5" t="n">
        <v>20</v>
      </c>
      <c r="C2208" s="5" t="n">
        <v>11</v>
      </c>
      <c r="D2208" s="18">
        <f>SEASON_HRS_TOM*B2208*(1+DIM_TOM)^B2208+SEASON_HRS_CAR*C2208*(1+DIM_CAR)^C2208</f>
        <v>12542.488505860518</v>
      </c>
      <c r="E2208" s="18">
        <f>(FARMER_FIELD_HRS+A2208*TEMP_HRS)-D2208</f>
        <v>-6062.488505860518</v>
      </c>
      <c r="F2208" s="21">
        <f>IF(E2208&lt;0,0,MIN(COUNTIF(Labor!$C$59:$C$88,"&lt;="&amp;E2208),MAXBED_MES,TOTAL_BEDS-B2208-C2208))</f>
        <v>0</v>
      </c>
      <c r="G2208" s="21">
        <f>B2208+C2208+F2208</f>
        <v>31</v>
      </c>
      <c r="H2208" s="22">
        <f>IF(E2208&lt;0,-999999999,B2208*(PRICE_TOM-FERT_TOM)+C2208*(PRICE_CAR-FERT_CAR)+F2208*(PRICE_MES-FERT_MES)-(FARMER_SALARY+A2208*TEMP_COST)-FIXED_COSTS)</f>
        <v>-999999999</v>
      </c>
    </row>
    <row r="2209">
      <c r="A2209" s="5" t="n">
        <v>4</v>
      </c>
      <c r="B2209" s="5" t="n">
        <v>20</v>
      </c>
      <c r="C2209" s="5" t="n">
        <v>12</v>
      </c>
      <c r="D2209" s="18">
        <f>SEASON_HRS_TOM*B2209*(1+DIM_TOM)^B2209+SEASON_HRS_CAR*C2209*(1+DIM_CAR)^C2209</f>
        <v>12593.659885514766</v>
      </c>
      <c r="E2209" s="18">
        <f>(FARMER_FIELD_HRS+A2209*TEMP_HRS)-D2209</f>
        <v>-6113.659885514766</v>
      </c>
      <c r="F2209" s="21">
        <f>IF(E2209&lt;0,0,MIN(COUNTIF(Labor!$C$59:$C$88,"&lt;="&amp;E2209),MAXBED_MES,TOTAL_BEDS-B2209-C2209))</f>
        <v>0</v>
      </c>
      <c r="G2209" s="21">
        <f>B2209+C2209+F2209</f>
        <v>32</v>
      </c>
      <c r="H2209" s="22">
        <f>IF(E2209&lt;0,-999999999,B2209*(PRICE_TOM-FERT_TOM)+C2209*(PRICE_CAR-FERT_CAR)+F2209*(PRICE_MES-FERT_MES)-(FARMER_SALARY+A2209*TEMP_COST)-FIXED_COSTS)</f>
        <v>-999999999</v>
      </c>
    </row>
    <row r="2210">
      <c r="A2210" s="5" t="n">
        <v>4</v>
      </c>
      <c r="B2210" s="5" t="n">
        <v>20</v>
      </c>
      <c r="C2210" s="5" t="n">
        <v>13</v>
      </c>
      <c r="D2210" s="18">
        <f>SEASON_HRS_TOM*B2210*(1+DIM_TOM)^B2210+SEASON_HRS_CAR*C2210*(1+DIM_CAR)^C2210</f>
        <v>12647.119216278557</v>
      </c>
      <c r="E2210" s="18">
        <f>(FARMER_FIELD_HRS+A2210*TEMP_HRS)-D2210</f>
        <v>-6167.119216278557</v>
      </c>
      <c r="F2210" s="21">
        <f>IF(E2210&lt;0,0,MIN(COUNTIF(Labor!$C$59:$C$88,"&lt;="&amp;E2210),MAXBED_MES,TOTAL_BEDS-B2210-C2210))</f>
        <v>0</v>
      </c>
      <c r="G2210" s="21">
        <f>B2210+C2210+F2210</f>
        <v>33</v>
      </c>
      <c r="H2210" s="22">
        <f>IF(E2210&lt;0,-999999999,B2210*(PRICE_TOM-FERT_TOM)+C2210*(PRICE_CAR-FERT_CAR)+F2210*(PRICE_MES-FERT_MES)-(FARMER_SALARY+A2210*TEMP_COST)-FIXED_COSTS)</f>
        <v>-999999999</v>
      </c>
    </row>
    <row r="2211">
      <c r="A2211" s="5" t="n">
        <v>4</v>
      </c>
      <c r="B2211" s="5" t="n">
        <v>20</v>
      </c>
      <c r="C2211" s="5" t="n">
        <v>14</v>
      </c>
      <c r="D2211" s="18">
        <f>SEASON_HRS_TOM*B2211*(1+DIM_TOM)^B2211+SEASON_HRS_CAR*C2211*(1+DIM_CAR)^C2211</f>
        <v>12702.94891359508</v>
      </c>
      <c r="E2211" s="18">
        <f>(FARMER_FIELD_HRS+A2211*TEMP_HRS)-D2211</f>
        <v>-6222.948913595081</v>
      </c>
      <c r="F2211" s="21">
        <f>IF(E2211&lt;0,0,MIN(COUNTIF(Labor!$C$59:$C$88,"&lt;="&amp;E2211),MAXBED_MES,TOTAL_BEDS-B2211-C2211))</f>
        <v>0</v>
      </c>
      <c r="G2211" s="21">
        <f>B2211+C2211+F2211</f>
        <v>34</v>
      </c>
      <c r="H2211" s="22">
        <f>IF(E2211&lt;0,-999999999,B2211*(PRICE_TOM-FERT_TOM)+C2211*(PRICE_CAR-FERT_CAR)+F2211*(PRICE_MES-FERT_MES)-(FARMER_SALARY+A2211*TEMP_COST)-FIXED_COSTS)</f>
        <v>-999999999</v>
      </c>
    </row>
    <row r="2212">
      <c r="A2212" s="5" t="n">
        <v>4</v>
      </c>
      <c r="B2212" s="5" t="n">
        <v>20</v>
      </c>
      <c r="C2212" s="5" t="n">
        <v>15</v>
      </c>
      <c r="D2212" s="18">
        <f>SEASON_HRS_TOM*B2212*(1+DIM_TOM)^B2212+SEASON_HRS_CAR*C2212*(1+DIM_CAR)^C2212</f>
        <v>12761.23408371025</v>
      </c>
      <c r="E2212" s="18">
        <f>(FARMER_FIELD_HRS+A2212*TEMP_HRS)-D2212</f>
        <v>-6281.234083710249</v>
      </c>
      <c r="F2212" s="21">
        <f>IF(E2212&lt;0,0,MIN(COUNTIF(Labor!$C$59:$C$88,"&lt;="&amp;E2212),MAXBED_MES,TOTAL_BEDS-B2212-C2212))</f>
        <v>0</v>
      </c>
      <c r="G2212" s="21">
        <f>B2212+C2212+F2212</f>
        <v>35</v>
      </c>
      <c r="H2212" s="22">
        <f>IF(E2212&lt;0,-999999999,B2212*(PRICE_TOM-FERT_TOM)+C2212*(PRICE_CAR-FERT_CAR)+F2212*(PRICE_MES-FERT_MES)-(FARMER_SALARY+A2212*TEMP_COST)-FIXED_COSTS)</f>
        <v>-999999999</v>
      </c>
    </row>
    <row r="2213">
      <c r="A2213" s="5" t="n">
        <v>4</v>
      </c>
      <c r="B2213" s="5" t="n">
        <v>20</v>
      </c>
      <c r="C2213" s="5" t="n">
        <v>16</v>
      </c>
      <c r="D2213" s="18">
        <f>SEASON_HRS_TOM*B2213*(1+DIM_TOM)^B2213+SEASON_HRS_CAR*C2213*(1+DIM_CAR)^C2213</f>
        <v>12822.06260670317</v>
      </c>
      <c r="E2213" s="18">
        <f>(FARMER_FIELD_HRS+A2213*TEMP_HRS)-D2213</f>
        <v>-6342.06260670317</v>
      </c>
      <c r="F2213" s="21">
        <f>IF(E2213&lt;0,0,MIN(COUNTIF(Labor!$C$59:$C$88,"&lt;="&amp;E2213),MAXBED_MES,TOTAL_BEDS-B2213-C2213))</f>
        <v>0</v>
      </c>
      <c r="G2213" s="21">
        <f>B2213+C2213+F2213</f>
        <v>36</v>
      </c>
      <c r="H2213" s="22">
        <f>IF(E2213&lt;0,-999999999,B2213*(PRICE_TOM-FERT_TOM)+C2213*(PRICE_CAR-FERT_CAR)+F2213*(PRICE_MES-FERT_MES)-(FARMER_SALARY+A2213*TEMP_COST)-FIXED_COSTS)</f>
        <v>-999999999</v>
      </c>
    </row>
    <row r="2214">
      <c r="A2214" s="5" t="n">
        <v>4</v>
      </c>
      <c r="B2214" s="5" t="n">
        <v>20</v>
      </c>
      <c r="C2214" s="5" t="n">
        <v>17</v>
      </c>
      <c r="D2214" s="18">
        <f>SEASON_HRS_TOM*B2214*(1+DIM_TOM)^B2214+SEASON_HRS_CAR*C2214*(1+DIM_CAR)^C2214</f>
        <v>12885.525221986409</v>
      </c>
      <c r="E2214" s="18">
        <f>(FARMER_FIELD_HRS+A2214*TEMP_HRS)-D2214</f>
        <v>-6405.525221986409</v>
      </c>
      <c r="F2214" s="21">
        <f>IF(E2214&lt;0,0,MIN(COUNTIF(Labor!$C$59:$C$88,"&lt;="&amp;E2214),MAXBED_MES,TOTAL_BEDS-B2214-C2214))</f>
        <v>0</v>
      </c>
      <c r="G2214" s="21">
        <f>B2214+C2214+F2214</f>
        <v>37</v>
      </c>
      <c r="H2214" s="22">
        <f>IF(E2214&lt;0,-999999999,B2214*(PRICE_TOM-FERT_TOM)+C2214*(PRICE_CAR-FERT_CAR)+F2214*(PRICE_MES-FERT_MES)-(FARMER_SALARY+A2214*TEMP_COST)-FIXED_COSTS)</f>
        <v>-999999999</v>
      </c>
    </row>
    <row r="2215">
      <c r="A2215" s="5" t="n">
        <v>4</v>
      </c>
      <c r="B2215" s="5" t="n">
        <v>20</v>
      </c>
      <c r="C2215" s="5" t="n">
        <v>18</v>
      </c>
      <c r="D2215" s="18">
        <f>SEASON_HRS_TOM*B2215*(1+DIM_TOM)^B2215+SEASON_HRS_CAR*C2215*(1+DIM_CAR)^C2215</f>
        <v>12951.715616347612</v>
      </c>
      <c r="E2215" s="18">
        <f>(FARMER_FIELD_HRS+A2215*TEMP_HRS)-D2215</f>
        <v>-6471.715616347612</v>
      </c>
      <c r="F2215" s="21">
        <f>IF(E2215&lt;0,0,MIN(COUNTIF(Labor!$C$59:$C$88,"&lt;="&amp;E2215),MAXBED_MES,TOTAL_BEDS-B2215-C2215))</f>
        <v>0</v>
      </c>
      <c r="G2215" s="21">
        <f>B2215+C2215+F2215</f>
        <v>38</v>
      </c>
      <c r="H2215" s="22">
        <f>IF(E2215&lt;0,-999999999,B2215*(PRICE_TOM-FERT_TOM)+C2215*(PRICE_CAR-FERT_CAR)+F2215*(PRICE_MES-FERT_MES)-(FARMER_SALARY+A2215*TEMP_COST)-FIXED_COSTS)</f>
        <v>-999999999</v>
      </c>
    </row>
    <row r="2216">
      <c r="A2216" s="5" t="n">
        <v>4</v>
      </c>
      <c r="B2216" s="5" t="n">
        <v>20</v>
      </c>
      <c r="C2216" s="5" t="n">
        <v>19</v>
      </c>
      <c r="D2216" s="18">
        <f>SEASON_HRS_TOM*B2216*(1+DIM_TOM)^B2216+SEASON_HRS_CAR*C2216*(1+DIM_CAR)^C2216</f>
        <v>13020.730514606124</v>
      </c>
      <c r="E2216" s="18">
        <f>(FARMER_FIELD_HRS+A2216*TEMP_HRS)-D2216</f>
        <v>-6540.730514606124</v>
      </c>
      <c r="F2216" s="21">
        <f>IF(E2216&lt;0,0,MIN(COUNTIF(Labor!$C$59:$C$88,"&lt;="&amp;E2216),MAXBED_MES,TOTAL_BEDS-B2216-C2216))</f>
        <v>0</v>
      </c>
      <c r="G2216" s="21">
        <f>B2216+C2216+F2216</f>
        <v>39</v>
      </c>
      <c r="H2216" s="22">
        <f>IF(E2216&lt;0,-999999999,B2216*(PRICE_TOM-FERT_TOM)+C2216*(PRICE_CAR-FERT_CAR)+F2216*(PRICE_MES-FERT_MES)-(FARMER_SALARY+A2216*TEMP_COST)-FIXED_COSTS)</f>
        <v>-999999999</v>
      </c>
    </row>
    <row r="2217">
      <c r="A2217" s="5" t="n">
        <v>4</v>
      </c>
      <c r="B2217" s="5" t="n">
        <v>20</v>
      </c>
      <c r="C2217" s="5" t="n">
        <v>20</v>
      </c>
      <c r="D2217" s="18">
        <f>SEASON_HRS_TOM*B2217*(1+DIM_TOM)^B2217+SEASON_HRS_CAR*C2217*(1+DIM_CAR)^C2217</f>
        <v>13092.669772960337</v>
      </c>
      <c r="E2217" s="18">
        <f>(FARMER_FIELD_HRS+A2217*TEMP_HRS)-D2217</f>
        <v>-6612.669772960337</v>
      </c>
      <c r="F2217" s="21">
        <f>IF(E2217&lt;0,0,MIN(COUNTIF(Labor!$C$59:$C$88,"&lt;="&amp;E2217),MAXBED_MES,TOTAL_BEDS-B2217-C2217))</f>
        <v>0</v>
      </c>
      <c r="G2217" s="21">
        <f>B2217+C2217+F2217</f>
        <v>40</v>
      </c>
      <c r="H2217" s="22">
        <f>IF(E2217&lt;0,-999999999,B2217*(PRICE_TOM-FERT_TOM)+C2217*(PRICE_CAR-FERT_CAR)+F2217*(PRICE_MES-FERT_MES)-(FARMER_SALARY+A2217*TEMP_COST)-FIXED_COSTS)</f>
        <v>-999999999</v>
      </c>
    </row>
  </sheetData>
  <mergeCells count="1">
    <mergeCell ref="A2:H2"/>
  </mergeCells>
  <pageMargins left="0.75" right="0.75" top="1" bottom="1" header="0.5" footer="0.5"/>
</worksheet>
</file>

<file path=xl/worksheets/sheet4.xml><?xml version="1.0" encoding="utf-8"?>
<worksheet xmlns="http://schemas.openxmlformats.org/spreadsheetml/2006/main">
  <sheetPr>
    <tabColor rgb="003D7A5F"/>
    <outlinePr summaryBelow="1" summaryRight="1"/>
    <pageSetUpPr/>
  </sheetPr>
  <dimension ref="A1:G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8" customWidth="1" min="7" max="7"/>
  </cols>
  <sheetData>
    <row r="1">
      <c r="A1" s="1" t="inlineStr">
        <is>
          <t>Optimize — hiring sweep and bed mix</t>
        </is>
      </c>
    </row>
    <row r="2" ht="60" customHeight="1">
      <c r="A2" s="14" t="inlineStr">
        <is>
          <t>Each of the 5 columns below is a separate integer optimization: for that N_TEMP, which Q_TOM/Q_CAR/Q_MES maximizes PROFIT subject to BEDS_USED&lt;=TOTAL_BEDS, Q_c&lt;=MAXBED_c, and LABOR_HRS_USED&lt;=LABOR_SUPPLY. Solved by exhaustive integer search (21x21x31 combinations per column, 68,355 total) — reproducible in Excel via Data &gt; Solver on any column: Objective = that column's PROFIT cell (max), By Changing = that column's Q_TOM/Q_CAR/Q_MES cells, Constraints = that column's BEDS_USED&lt;=TOTAL_BEDS, Q_TOM&lt;=MAXBED_TOM, Q_CAR&lt;=MAXBED_CAR, Q_MES&lt;=MAXBED_MES, LABOR_HRS_USED&lt;=LABOR_SUPPLY, all changing cells integer &gt;= 0. GRG Nonlinear will not reliably solve this (the labor formula is non-convex in q); Evolutionary is the setting to use.</t>
        </is>
      </c>
    </row>
    <row r="4">
      <c r="A4" s="4" t="inlineStr">
        <is>
          <t>Scenario</t>
        </is>
      </c>
      <c r="B4" s="4" t="inlineStr">
        <is>
          <t>N_TEMP = 0</t>
        </is>
      </c>
      <c r="C4" s="4" t="inlineStr">
        <is>
          <t>N_TEMP = 1</t>
        </is>
      </c>
      <c r="D4" s="4" t="inlineStr">
        <is>
          <t>N_TEMP = 2</t>
        </is>
      </c>
      <c r="E4" s="4" t="inlineStr">
        <is>
          <t>N_TEMP = 3</t>
        </is>
      </c>
      <c r="F4" s="4" t="inlineStr">
        <is>
          <t>N_TEMP = 4</t>
        </is>
      </c>
      <c r="G4" s="23" t="inlineStr">
        <is>
          <t>Recommended</t>
        </is>
      </c>
    </row>
    <row r="5">
      <c r="A5" s="24" t="inlineStr">
        <is>
          <t>N_TEMP</t>
        </is>
      </c>
      <c r="B5" s="25" t="n">
        <v>0</v>
      </c>
      <c r="C5" s="25" t="n">
        <v>1</v>
      </c>
      <c r="D5" s="25" t="n">
        <v>2</v>
      </c>
      <c r="E5" s="25" t="n">
        <v>3</v>
      </c>
      <c r="F5" s="25" t="n">
        <v>4</v>
      </c>
      <c r="G5" s="26">
        <f>INDEX(OPT_NTEMP_RNG,WINIDX)</f>
        <v>3</v>
      </c>
    </row>
    <row r="6">
      <c r="A6" s="15" t="inlineStr">
        <is>
          <t>Q_TOM (beds)</t>
        </is>
      </c>
      <c r="B6" s="6" t="n">
        <v>4</v>
      </c>
      <c r="C6" s="6" t="n">
        <v>6</v>
      </c>
      <c r="D6" s="6" t="n">
        <v>7</v>
      </c>
      <c r="E6" s="6" t="n">
        <v>10</v>
      </c>
      <c r="F6" s="6" t="n">
        <v>12</v>
      </c>
      <c r="G6" s="26">
        <f>INDEX(OPT_QTOM_RNG,WINIDX)</f>
        <v>10</v>
      </c>
    </row>
    <row r="7">
      <c r="A7" s="15" t="inlineStr">
        <is>
          <t>Q_CAR (beds)</t>
        </is>
      </c>
      <c r="B7" s="6" t="n">
        <v>3</v>
      </c>
      <c r="C7" s="6" t="n">
        <v>10</v>
      </c>
      <c r="D7" s="6" t="n">
        <v>19</v>
      </c>
      <c r="E7" s="6" t="n">
        <v>19</v>
      </c>
      <c r="F7" s="6" t="n">
        <v>20</v>
      </c>
      <c r="G7" s="26">
        <f>INDEX(OPT_QCAR_RNG,WINIDX)</f>
        <v>19</v>
      </c>
    </row>
    <row r="8">
      <c r="A8" s="15" t="inlineStr">
        <is>
          <t>Q_MES (beds)</t>
        </is>
      </c>
      <c r="B8" s="6" t="n">
        <v>2</v>
      </c>
      <c r="C8" s="6" t="n">
        <v>15</v>
      </c>
      <c r="D8" s="6" t="n">
        <v>24</v>
      </c>
      <c r="E8" s="6" t="n">
        <v>28</v>
      </c>
      <c r="F8" s="6" t="n">
        <v>30</v>
      </c>
      <c r="G8" s="26">
        <f>INDEX(OPT_QMES_RNG,WINIDX)</f>
        <v>28</v>
      </c>
    </row>
    <row r="10">
      <c r="A10" s="15" t="inlineStr">
        <is>
          <t>BEDS_USED</t>
        </is>
      </c>
      <c r="B10" s="21">
        <f>B6+B7+B8</f>
        <v>9</v>
      </c>
      <c r="C10" s="21">
        <f>C6+C7+C8</f>
        <v>31</v>
      </c>
      <c r="D10" s="21">
        <f>D6+D7+D8</f>
        <v>50</v>
      </c>
      <c r="E10" s="21">
        <f>E6+E7+E8</f>
        <v>57</v>
      </c>
      <c r="F10" s="21">
        <f>F6+F7+F8</f>
        <v>62</v>
      </c>
      <c r="G10" s="26">
        <f>INDEX(OPT_BEDSUSED_RNG,WINIDX)</f>
        <v>57</v>
      </c>
    </row>
    <row r="11">
      <c r="A11" s="15" t="inlineStr">
        <is>
          <t>BEDS_FALLOW</t>
        </is>
      </c>
      <c r="B11" s="21">
        <f>TOTAL_BEDS-B10</f>
        <v>55</v>
      </c>
      <c r="C11" s="21">
        <f>TOTAL_BEDS-C10</f>
        <v>33</v>
      </c>
      <c r="D11" s="21">
        <f>TOTAL_BEDS-D10</f>
        <v>14</v>
      </c>
      <c r="E11" s="21">
        <f>TOTAL_BEDS-E10</f>
        <v>7</v>
      </c>
      <c r="F11" s="21">
        <f>TOTAL_BEDS-F10</f>
        <v>2</v>
      </c>
    </row>
    <row r="13">
      <c r="A13" s="15" t="inlineStr">
        <is>
          <t>LABOR_HRS_USED</t>
        </is>
      </c>
      <c r="B13" s="18">
        <f>SEASON_HRS_TOM*B6*(1+DIM_TOM)^B6+SEASON_HRS_CAR*B7*(1+DIM_CAR)^B7+SEASON_HRS_MES*B8*(1+DIM_MES)^B8</f>
        <v>716.2602187500001</v>
      </c>
      <c r="C13" s="18">
        <f>SEASON_HRS_TOM*C6*(1+DIM_TOM)^C6+SEASON_HRS_CAR*C7*(1+DIM_CAR)^C7+SEASON_HRS_MES*C8*(1+DIM_MES)^C8</f>
        <v>2153.928001727518</v>
      </c>
      <c r="D13" s="18">
        <f>SEASON_HRS_TOM*D6*(1+DIM_TOM)^D6+SEASON_HRS_CAR*D7*(1+DIM_CAR)^D7+SEASON_HRS_MES*D8*(1+DIM_MES)^D8</f>
        <v>3594.061513267523</v>
      </c>
      <c r="E13" s="18">
        <f>SEASON_HRS_TOM*E6*(1+DIM_TOM)^E6+SEASON_HRS_CAR*E7*(1+DIM_CAR)^E7+SEASON_HRS_MES*E8*(1+DIM_MES)^E8</f>
        <v>5029.74912247025</v>
      </c>
      <c r="F13" s="18">
        <f>SEASON_HRS_TOM*F6*(1+DIM_TOM)^F6+SEASON_HRS_CAR*F7*(1+DIM_CAR)^F7+SEASON_HRS_MES*F8*(1+DIM_MES)^F8</f>
        <v>6332.350547042566</v>
      </c>
    </row>
    <row r="14">
      <c r="A14" s="15" t="inlineStr">
        <is>
          <t>LABOR_SUPPLY</t>
        </is>
      </c>
      <c r="B14" s="18">
        <f>FARMER_FIELD_HRS+B5*TEMP_HRS</f>
        <v>720</v>
      </c>
      <c r="C14" s="18">
        <f>FARMER_FIELD_HRS+C5*TEMP_HRS</f>
        <v>2160</v>
      </c>
      <c r="D14" s="18">
        <f>FARMER_FIELD_HRS+D5*TEMP_HRS</f>
        <v>3600</v>
      </c>
      <c r="E14" s="18">
        <f>FARMER_FIELD_HRS+E5*TEMP_HRS</f>
        <v>5040</v>
      </c>
      <c r="F14" s="18">
        <f>FARMER_FIELD_HRS+F5*TEMP_HRS</f>
        <v>6480</v>
      </c>
    </row>
    <row r="15">
      <c r="A15" s="15" t="inlineStr">
        <is>
          <t>LABOR_SLACK</t>
        </is>
      </c>
      <c r="B15" s="18">
        <f>B14-B13</f>
        <v>3.739781249999851</v>
      </c>
      <c r="C15" s="18">
        <f>C14-C13</f>
        <v>6.071998272481778</v>
      </c>
      <c r="D15" s="18">
        <f>D14-D13</f>
        <v>5.938486732477031</v>
      </c>
      <c r="E15" s="18">
        <f>E14-E13</f>
        <v>10.250877529750142</v>
      </c>
      <c r="F15" s="18">
        <f>F14-F13</f>
        <v>147.64945295743382</v>
      </c>
      <c r="G15" s="27">
        <f>INDEX(OPT_LABORSLACK_RNG,WINIDX)</f>
        <v>10.250877529750142</v>
      </c>
    </row>
    <row r="17">
      <c r="A17" s="15" t="inlineStr">
        <is>
          <t>REVENUE</t>
        </is>
      </c>
      <c r="B17" s="22">
        <f>B6*PRICE_TOM+B7*PRICE_CAR+B8*PRICE_MES</f>
        <v>46882</v>
      </c>
      <c r="C17" s="22">
        <f>C6*PRICE_TOM+C7*PRICE_CAR+C8*PRICE_MES</f>
        <v>114240</v>
      </c>
      <c r="D17" s="22">
        <f>D6*PRICE_TOM+D7*PRICE_CAR+D8*PRICE_MES</f>
        <v>166186</v>
      </c>
      <c r="E17" s="22">
        <f>E6*PRICE_TOM+E7*PRICE_CAR+E8*PRICE_MES</f>
        <v>203386</v>
      </c>
      <c r="F17" s="22">
        <f>F6*PRICE_TOM+F7*PRICE_CAR+F8*PRICE_MES</f>
        <v>228480</v>
      </c>
    </row>
    <row r="18">
      <c r="A18" s="15" t="inlineStr">
        <is>
          <t>FERT_COST</t>
        </is>
      </c>
      <c r="B18" s="22">
        <f>B6*FERT_TOM+B7*FERT_CAR+B8*FERT_MES</f>
        <v>6600</v>
      </c>
      <c r="C18" s="22">
        <f>C6*FERT_TOM+C7*FERT_CAR+C8*FERT_MES</f>
        <v>22880</v>
      </c>
      <c r="D18" s="22">
        <f>D6*FERT_TOM+D7*FERT_CAR+D8*FERT_MES</f>
        <v>35640</v>
      </c>
      <c r="E18" s="22">
        <f>E6*FERT_TOM+E7*FERT_CAR+E8*FERT_MES</f>
        <v>41800</v>
      </c>
      <c r="F18" s="22">
        <f>F6*FERT_TOM+F7*FERT_CAR+F8*FERT_MES</f>
        <v>45760</v>
      </c>
    </row>
    <row r="19">
      <c r="A19" s="15" t="inlineStr">
        <is>
          <t>LABOR_CASH_COST</t>
        </is>
      </c>
      <c r="B19" s="22">
        <f>FARMER_SALARY+B5*TEMP_COST</f>
        <v>50000</v>
      </c>
      <c r="C19" s="22">
        <f>FARMER_SALARY+C5*TEMP_COST</f>
        <v>75000</v>
      </c>
      <c r="D19" s="22">
        <f>FARMER_SALARY+D5*TEMP_COST</f>
        <v>100000</v>
      </c>
      <c r="E19" s="22">
        <f>FARMER_SALARY+E5*TEMP_COST</f>
        <v>125000</v>
      </c>
      <c r="F19" s="22">
        <f>FARMER_SALARY+F5*TEMP_COST</f>
        <v>150000</v>
      </c>
    </row>
    <row r="20">
      <c r="A20" s="15" t="inlineStr">
        <is>
          <t>FIXED_COSTS</t>
        </is>
      </c>
      <c r="B20" s="22">
        <f>FIXED_COSTS</f>
        <v>20000</v>
      </c>
      <c r="C20" s="22">
        <f>FIXED_COSTS</f>
        <v>20000</v>
      </c>
      <c r="D20" s="22">
        <f>FIXED_COSTS</f>
        <v>20000</v>
      </c>
      <c r="E20" s="22">
        <f>FIXED_COSTS</f>
        <v>20000</v>
      </c>
      <c r="F20" s="22">
        <f>FIXED_COSTS</f>
        <v>20000</v>
      </c>
    </row>
    <row r="21">
      <c r="A21" s="24" t="inlineStr">
        <is>
          <t>PROFIT</t>
        </is>
      </c>
      <c r="B21" s="28">
        <f>B17-B18-B19-B20</f>
        <v>-29718</v>
      </c>
      <c r="C21" s="28">
        <f>C17-C18-C19-C20</f>
        <v>-3640</v>
      </c>
      <c r="D21" s="28">
        <f>D17-D18-D19-D20</f>
        <v>10546</v>
      </c>
      <c r="E21" s="28">
        <f>E17-E18-E19-E20</f>
        <v>16586</v>
      </c>
      <c r="F21" s="28">
        <f>F17-F18-F19-F20</f>
        <v>12720</v>
      </c>
      <c r="G21" s="29">
        <f>INDEX(OPT_PROFIT_RNG,WINIDX)</f>
        <v>16586</v>
      </c>
    </row>
    <row r="23">
      <c r="A23" s="15" t="inlineStr">
        <is>
          <t>Profit-maximizing?</t>
        </is>
      </c>
      <c r="B23" s="30" t="str">
        <f>IF(B21=MAX($B$21:$F$21),"◄ MAX","")</f>
        <v/>
      </c>
      <c r="C23" s="30" t="str">
        <f>IF(C21=MAX($B$21:$F$21),"◄ MAX","")</f>
        <v/>
      </c>
      <c r="D23" s="30" t="str">
        <f>IF(D21=MAX($B$21:$F$21),"◄ MAX","")</f>
        <v/>
      </c>
      <c r="E23" s="30" t="str">
        <f>IF(E21=MAX($B$21:$F$21),"◄ MAX","")</f>
        <v>◄ MAX</v>
      </c>
      <c r="F23" s="30" t="str">
        <f>IF(F21=MAX($B$21:$F$21),"◄ MAX","")</f>
        <v/>
      </c>
    </row>
    <row r="25">
      <c r="A25" s="3" t="inlineStr">
        <is>
          <t>Winning column index</t>
        </is>
      </c>
      <c r="B25" s="31">
        <f>MATCH(MAX(OPT_PROFIT_RNG),OPT_PROFIT_RNG,0)</f>
        <v>4</v>
      </c>
    </row>
    <row r="27">
      <c r="A27" s="15" t="inlineStr">
        <is>
          <t>Binding constraint, per crop, at the recommendation:</t>
        </is>
      </c>
    </row>
    <row r="28">
      <c r="A28" s="15" t="inlineStr">
        <is>
          <t>BINDING_TOM</t>
        </is>
      </c>
      <c r="B28" s="15" t="str">
        <f>IF(REC_QTOM=MAXBED_TOM,"BED CAP",IF(REC_QTOM=STOP_TOM,"MC=PRICE","LABOR"))</f>
        <v>MC=PRICE</v>
      </c>
    </row>
    <row r="29">
      <c r="A29" s="15" t="inlineStr">
        <is>
          <t>BINDING_CAR</t>
        </is>
      </c>
      <c r="B29" s="15" t="str">
        <f>IF(REC_QCAR=MAXBED_CAR,"BED CAP",IF(REC_QCAR=STOP_CAR,"MC=PRICE","LABOR"))</f>
        <v>LABOR</v>
      </c>
    </row>
    <row r="30">
      <c r="A30" s="15" t="inlineStr">
        <is>
          <t>BINDING_MES</t>
        </is>
      </c>
      <c r="B30" s="15" t="str">
        <f>IF(REC_QMES=MAXBED_MES,"BED CAP",IF(REC_QMES=STOP_MES,"MC=PRICE","LABOR"))</f>
        <v>LABOR</v>
      </c>
    </row>
    <row r="32">
      <c r="A32" s="15" t="inlineStr">
        <is>
          <t>MC_TOM last bed</t>
        </is>
      </c>
      <c r="B32" s="32">
        <f>IF(REC_QTOM=0,"n/a",INDEX(Labor!$D$7:$D$26,REC_QTOM))</f>
        <v>8248.586534375007</v>
      </c>
    </row>
    <row r="33">
      <c r="A33" s="15" t="inlineStr">
        <is>
          <t>MC_CAR last bed</t>
        </is>
      </c>
      <c r="B33" s="32">
        <f>IF(REC_QCAR=0,"n/a",INDEX(Labor!$D$33:$D$52,REC_QCAR))</f>
        <v>1638.1753169880687</v>
      </c>
    </row>
    <row r="34">
      <c r="A34" s="15" t="inlineStr">
        <is>
          <t>MC_MES last bed</t>
        </is>
      </c>
      <c r="B34" s="32">
        <f>IF(REC_QMES=0,"n/a",INDEX(Labor!$D$59:$D$88,REC_QMES))</f>
        <v>2354.9919829366927</v>
      </c>
    </row>
    <row r="36">
      <c r="A36" s="15" t="inlineStr">
        <is>
          <t>BED_SHADOW_PRICE</t>
        </is>
      </c>
      <c r="B36" t="str">
        <f>IF(REC_BEDSUSED=TOTAL_BEDS,"binding — see Audit","0 (beds not binding)")</f>
        <v>0 (beds not binding)</v>
      </c>
    </row>
  </sheetData>
  <mergeCells count="1">
    <mergeCell ref="A2:G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4E3D"/>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28" customWidth="1" min="1" max="1"/>
    <col width="16" customWidth="1" min="2" max="2"/>
    <col width="55" customWidth="1" min="3" max="3"/>
  </cols>
  <sheetData>
    <row r="1">
      <c r="A1" s="1" t="inlineStr">
        <is>
          <t>P&amp;L — recommended scenario, built independently from cash outlays</t>
        </is>
      </c>
    </row>
    <row r="2">
      <c r="A2" s="3" t="inlineStr">
        <is>
          <t>Every figure here is computed from REC_* cells and Inputs directly — it does not reference Optimize!PROFIT. Validation rule 7 checks that the two totals agree.</t>
        </is>
      </c>
    </row>
    <row r="4">
      <c r="A4" s="2" t="inlineStr">
        <is>
          <t>Decision</t>
        </is>
      </c>
    </row>
    <row r="5">
      <c r="A5" s="15" t="inlineStr">
        <is>
          <t>N_TEMP (temps hired)</t>
        </is>
      </c>
      <c r="B5" s="33">
        <f>REC_NTEMP</f>
        <v>3</v>
      </c>
    </row>
    <row r="6">
      <c r="A6" s="15" t="inlineStr">
        <is>
          <t>Q_TOM (beds)</t>
        </is>
      </c>
      <c r="B6" s="33">
        <f>REC_QTOM</f>
        <v>10</v>
      </c>
    </row>
    <row r="7">
      <c r="A7" s="15" t="inlineStr">
        <is>
          <t>Q_CAR (beds)</t>
        </is>
      </c>
      <c r="B7" s="33">
        <f>REC_QCAR</f>
        <v>19</v>
      </c>
    </row>
    <row r="8">
      <c r="A8" s="15" t="inlineStr">
        <is>
          <t>Q_MES (beds)</t>
        </is>
      </c>
      <c r="B8" s="33">
        <f>REC_QMES</f>
        <v>28</v>
      </c>
    </row>
    <row r="10">
      <c r="A10" s="2" t="inlineStr">
        <is>
          <t>Revenue</t>
        </is>
      </c>
    </row>
    <row r="11">
      <c r="A11" s="15" t="inlineStr">
        <is>
          <t>Tomatoes</t>
        </is>
      </c>
      <c r="B11" s="34">
        <f>REC_QTOM*PRICE_TOM</f>
        <v>88000</v>
      </c>
    </row>
    <row r="12">
      <c r="A12" s="15" t="inlineStr">
        <is>
          <t>Carrots</t>
        </is>
      </c>
      <c r="B12" s="34">
        <f>REC_QCAR*PRICE_CAR</f>
        <v>39786</v>
      </c>
    </row>
    <row r="13">
      <c r="A13" s="15" t="inlineStr">
        <is>
          <t>Mesclun</t>
        </is>
      </c>
      <c r="B13" s="34">
        <f>REC_QMES*PRICE_MES</f>
        <v>75600</v>
      </c>
    </row>
    <row r="14">
      <c r="A14" s="24" t="inlineStr">
        <is>
          <t>Total revenue</t>
        </is>
      </c>
      <c r="B14" s="35">
        <f>SUM(B11:B13)</f>
        <v>203386</v>
      </c>
    </row>
    <row r="16">
      <c r="A16" s="2" t="inlineStr">
        <is>
          <t>Variable costs</t>
        </is>
      </c>
    </row>
    <row r="17">
      <c r="A17" s="15" t="inlineStr">
        <is>
          <t>Fertilizer — tomatoes</t>
        </is>
      </c>
      <c r="B17" s="34">
        <f>REC_QTOM*FERT_TOM</f>
        <v>8800</v>
      </c>
    </row>
    <row r="18">
      <c r="A18" s="15" t="inlineStr">
        <is>
          <t>Fertilizer — carrots</t>
        </is>
      </c>
      <c r="B18" s="34">
        <f>REC_QCAR*FERT_CAR</f>
        <v>8360</v>
      </c>
    </row>
    <row r="19">
      <c r="A19" s="15" t="inlineStr">
        <is>
          <t>Fertilizer — mesclun</t>
        </is>
      </c>
      <c r="B19" s="34">
        <f>REC_QMES*FERT_MES</f>
        <v>24640</v>
      </c>
    </row>
    <row r="20">
      <c r="A20" s="24" t="inlineStr">
        <is>
          <t>Total fertilizer</t>
        </is>
      </c>
      <c r="B20" s="35">
        <f>SUM(B17:B19)</f>
        <v>41800</v>
      </c>
    </row>
    <row r="22">
      <c r="A22" s="2" t="inlineStr">
        <is>
          <t>Labor cash cost</t>
        </is>
      </c>
    </row>
    <row r="23">
      <c r="A23" s="15" t="inlineStr">
        <is>
          <t>Farmer salary (fixed, paid regardless)</t>
        </is>
      </c>
      <c r="B23" s="34">
        <f>FARMER_SALARY</f>
        <v>50000</v>
      </c>
    </row>
    <row r="24">
      <c r="A24" s="15" t="inlineStr">
        <is>
          <t>Temp wages (N_TEMP x TEMP_COST)</t>
        </is>
      </c>
      <c r="B24" s="34">
        <f>REC_NTEMP*TEMP_COST</f>
        <v>75000</v>
      </c>
    </row>
    <row r="25">
      <c r="A25" s="24" t="inlineStr">
        <is>
          <t>Total labor cash cost</t>
        </is>
      </c>
      <c r="B25" s="35">
        <f>B23+B24</f>
        <v>125000</v>
      </c>
    </row>
    <row r="27">
      <c r="A27" s="2" t="inlineStr">
        <is>
          <t>Fixed costs</t>
        </is>
      </c>
    </row>
    <row r="28">
      <c r="A28" s="15" t="inlineStr">
        <is>
          <t>Fixed costs (season)</t>
        </is>
      </c>
      <c r="B28" s="34">
        <f>FIXED_COSTS</f>
        <v>20000</v>
      </c>
    </row>
    <row r="30">
      <c r="A30" s="36" t="inlineStr">
        <is>
          <t>PROFIT</t>
        </is>
      </c>
      <c r="B30" s="37">
        <f>B14-B20-B25-B28</f>
        <v>16586</v>
      </c>
    </row>
    <row r="32">
      <c r="A32" s="15" t="inlineStr">
        <is>
          <t>Reconciles to Optimize!PROFIT*?</t>
        </is>
      </c>
      <c r="B32" s="24" t="str">
        <f>IF(ROUND(B30-REC_PROFIT,2)=0,"PASS","FAIL")</f>
        <v>PASS</v>
      </c>
    </row>
  </sheetData>
  <mergeCells count="1">
    <mergeCell ref="A2:C2"/>
  </mergeCells>
  <pageMargins left="0.75" right="0.75" top="1" bottom="1" header="0.5" footer="0.5"/>
</worksheet>
</file>

<file path=xl/worksheets/sheet6.xml><?xml version="1.0" encoding="utf-8"?>
<worksheet xmlns="http://schemas.openxmlformats.org/spreadsheetml/2006/main">
  <sheetPr>
    <tabColor rgb="007A3D3D"/>
    <outlinePr summaryBelow="1" summaryRight="1"/>
    <pageSetUpPr/>
  </sheetPr>
  <dimension ref="A1:D24"/>
  <sheetViews>
    <sheetView showGridLines="0" workbookViewId="0">
      <pane ySplit="3" topLeftCell="A4" activePane="bottomLeft" state="frozen"/>
      <selection pane="bottomLeft" activeCell="A1" sqref="A1"/>
    </sheetView>
  </sheetViews>
  <sheetFormatPr baseColWidth="8" defaultRowHeight="15"/>
  <cols>
    <col width="6" customWidth="1" min="1" max="1"/>
    <col width="42" customWidth="1" min="2" max="2"/>
    <col width="20" customWidth="1" min="3" max="3"/>
    <col width="60" customWidth="1" min="4" max="4"/>
  </cols>
  <sheetData>
    <row r="1">
      <c r="A1" s="1" t="inlineStr">
        <is>
          <t>Checks — validation rules, run against the recommended scenario</t>
        </is>
      </c>
    </row>
    <row r="3">
      <c r="A3" s="4" t="inlineStr">
        <is>
          <t>#</t>
        </is>
      </c>
      <c r="B3" s="4" t="inlineStr">
        <is>
          <t>Rule</t>
        </is>
      </c>
      <c r="C3" s="4" t="inlineStr">
        <is>
          <t>Result</t>
        </is>
      </c>
      <c r="D3" s="4" t="inlineStr">
        <is>
          <t>Note</t>
        </is>
      </c>
    </row>
    <row r="4">
      <c r="A4" s="5" t="n">
        <v>1</v>
      </c>
      <c r="B4" s="38" t="inlineStr">
        <is>
          <t>BEDS_USED &lt;= TOTAL_BEDS and each Q_c &lt;= MAXBED_c</t>
        </is>
      </c>
      <c r="C4" s="39" t="str">
        <f>IF(AND(REC_BEDSUSED&lt;=TOTAL_BEDS,REC_QTOM&lt;=MAXBED_TOM,REC_QCAR&lt;=MAXBED_CAR,REC_QMES&lt;=MAXBED_MES),"PASS","FAIL")</f>
        <v>PASS</v>
      </c>
      <c r="D4" s="40" t="inlineStr"/>
    </row>
    <row r="5">
      <c r="A5" s="5" t="n">
        <v>2</v>
      </c>
      <c r="B5" s="38" t="inlineStr">
        <is>
          <t>LABOR_SLACK &gt;= 0 at the chosen N_TEMP</t>
        </is>
      </c>
      <c r="C5" s="39" t="str">
        <f>IF(REC_LABORSLACK&gt;=0,"PASS","FAIL")</f>
        <v>PASS</v>
      </c>
      <c r="D5" s="40" t="inlineStr"/>
    </row>
    <row r="6">
      <c r="A6" s="5" t="n">
        <v>3</v>
      </c>
      <c r="B6" s="38" t="inlineStr">
        <is>
          <t>LABOR_SLACK &lt; TEMP_HRS (no temp paid for nothing)</t>
        </is>
      </c>
      <c r="C6" s="39" t="str">
        <f>IF(REC_LABORSLACK&lt;TEMP_HRS,"PASS","FAIL")</f>
        <v>PASS</v>
      </c>
      <c r="D6" s="40" t="inlineStr"/>
    </row>
    <row r="7">
      <c r="A7" s="5" t="n">
        <v>4</v>
      </c>
      <c r="B7" s="38" t="inlineStr">
        <is>
          <t>Price-taker test — Tomatoes: MC(Q)&lt;PRICE&lt;=MC(Q+1) where the constraint isn't binding</t>
        </is>
      </c>
      <c r="C7" s="39" t="str">
        <f>IF(REC_QTOM=0,"n/a (0 beds)",IF(AND(REC_QTOM&lt;MAXBED_TOM,REC_BEDSUSED&lt;TOTAL_BEDS,REC_LABORSLACK&gt;0),IF(AND(INDEX(Labor!$D$7:$D$26,REC_QTOM)&lt;PRICE_TOM,PRICE_TOM&lt;=INDEX(Labor!$D$7:$D$26,REC_QTOM+1)),"PASS","FAIL"),"n/a — at a binding constraint"))</f>
        <v>PASS</v>
      </c>
      <c r="D7" s="40" t="inlineStr">
        <is>
          <t>See Audit finding 2: this test is only meaningful when the crop stopped for its own MC=PRICE reason, not for lack of shared labor.</t>
        </is>
      </c>
    </row>
    <row r="8">
      <c r="A8" s="5" t="n">
        <v>5</v>
      </c>
      <c r="B8" s="38" t="inlineStr">
        <is>
          <t>Price-taker test — Carrots</t>
        </is>
      </c>
      <c r="C8" s="39" t="str">
        <f>IF(REC_QCAR=0,"n/a (0 beds)",IF(AND(REC_QCAR&lt;MAXBED_CAR,REC_BEDSUSED&lt;TOTAL_BEDS,REC_LABORSLACK&gt;0),IF(AND(INDEX(Labor!$D$33:$D$52,REC_QCAR)&lt;PRICE_CAR,PRICE_CAR&lt;=INDEX(Labor!$D$33:$D$52,REC_QCAR+1)),"PASS","FAIL"),"n/a — at a binding constraint"))</f>
        <v>FAIL</v>
      </c>
      <c r="D8" s="40" t="inlineStr">
        <is>
          <t>Expected to read FAIL here as literally worded — carrots stop because labor runs out, not because the next bed is unprofitable. See Audit finding 2.</t>
        </is>
      </c>
    </row>
    <row r="9">
      <c r="A9" s="5" t="n">
        <v>6</v>
      </c>
      <c r="B9" s="38" t="inlineStr">
        <is>
          <t>Price-taker test — Mesclun</t>
        </is>
      </c>
      <c r="C9" s="39" t="str">
        <f>IF(REC_QMES=0,"n/a (0 beds)",IF(AND(REC_QMES&lt;MAXBED_MES,REC_BEDSUSED&lt;TOTAL_BEDS,REC_LABORSLACK&gt;0),IF(AND(INDEX(Labor!$D$59:$D$88,REC_QMES)&lt;PRICE_MES,PRICE_MES&lt;=INDEX(Labor!$D$59:$D$88,REC_QMES+1)),"PASS","FAIL"),"n/a — at a binding constraint"))</f>
        <v>FAIL</v>
      </c>
      <c r="D9" s="40" t="inlineStr">
        <is>
          <t>Expected to read FAIL here as literally worded, for the same reason as Carrots. See Audit finding 2.</t>
        </is>
      </c>
    </row>
    <row r="10">
      <c r="A10" s="5" t="n">
        <v>7</v>
      </c>
      <c r="B10" s="38" t="inlineStr">
        <is>
          <t>Constraint attribution — every crop's stopping point is traceable</t>
        </is>
      </c>
      <c r="C10" s="39" t="str">
        <f>IF(AND(Optimize!$B$28&lt;&gt;"",Optimize!$B$29&lt;&gt;"",Optimize!$B$30&lt;&gt;""),"PASS","FAIL")</f>
        <v>PASS</v>
      </c>
      <c r="D10" s="40" t="inlineStr">
        <is>
          <t>See Optimize sheet, BINDING_TOM/CAR/MES (rows 28-30).</t>
        </is>
      </c>
    </row>
    <row r="11">
      <c r="A11" s="5" t="n">
        <v>8</v>
      </c>
      <c r="B11" s="38" t="inlineStr">
        <is>
          <t>Hand calculation — Tomatoes bed 10 vs. published check figures</t>
        </is>
      </c>
      <c r="C11" s="39" t="inlineStr"/>
      <c r="D11" s="40" t="inlineStr">
        <is>
          <t>Three sub-checks below.</t>
        </is>
      </c>
    </row>
    <row r="12">
      <c r="A12" s="41" t="n"/>
      <c r="B12" s="5" t="inlineStr">
        <is>
          <t xml:space="preserve">  LABOR_HRS_TOM(10) = 2,334.37 hrs</t>
        </is>
      </c>
      <c r="C12" s="39" t="str">
        <f>IF(ROUND(Labor!C16,2)=2334.37,"PASS","FAIL")</f>
        <v>PASS</v>
      </c>
      <c r="D12" s="7" t="inlineStr">
        <is>
          <t>Model value: see Labor!C16</t>
        </is>
      </c>
    </row>
    <row r="13">
      <c r="A13" s="41" t="n"/>
      <c r="B13" s="5" t="inlineStr">
        <is>
          <t xml:space="preserve">  MARGINAL_LABOR_HRS_TOM(10) = 424.43 hrs</t>
        </is>
      </c>
      <c r="C13" s="39" t="str">
        <f>IF(ROUND(Labor!B16,2)=424.43,"PASS","FAIL")</f>
        <v>PASS</v>
      </c>
      <c r="D13" s="7" t="inlineStr">
        <is>
          <t>Model value: see Labor!B16</t>
        </is>
      </c>
    </row>
    <row r="14">
      <c r="A14" s="41" t="n"/>
      <c r="B14" s="5" t="inlineStr">
        <is>
          <t xml:space="preserve">  MC_TOM(10) ≈ 8,248.59</t>
        </is>
      </c>
      <c r="C14" s="39" t="str">
        <f>IF(ROUND(Labor!D16,2)=8248.59,"PASS","FAIL")</f>
        <v>PASS</v>
      </c>
      <c r="D14" s="7" t="inlineStr">
        <is>
          <t>Model value: see Labor!D16</t>
        </is>
      </c>
    </row>
    <row r="16">
      <c r="A16" s="5" t="n">
        <v>9</v>
      </c>
      <c r="B16" s="38" t="inlineStr">
        <is>
          <t>Cash reconciliation — P&amp;L PROFIT ties to Optimize PROFIT*</t>
        </is>
      </c>
      <c r="C16" s="39" t="str">
        <f>'P&amp;L'!B32</f>
        <v>PASS</v>
      </c>
      <c r="D16" s="40" t="inlineStr">
        <is>
          <t>See P&amp;L sheet.</t>
        </is>
      </c>
    </row>
    <row r="17">
      <c r="A17" s="5" t="n">
        <v>10</v>
      </c>
      <c r="B17" s="38" t="inlineStr">
        <is>
          <t>Hiring sweep — REC_PROFIT is the max across all 5 N_TEMP scenarios</t>
        </is>
      </c>
      <c r="C17" s="39" t="str">
        <f>IF(REC_PROFIT=MAX(OPT_PROFIT_RNG),"PASS","FAIL")</f>
        <v>PASS</v>
      </c>
      <c r="D17" s="40" t="inlineStr"/>
    </row>
    <row r="18">
      <c r="A18" s="5" t="n">
        <v>11</v>
      </c>
      <c r="B18" s="38" t="inlineStr">
        <is>
          <t>No hardcoded results outside Inputs and the Optimize decision cells</t>
        </is>
      </c>
      <c r="C18" s="39" t="inlineStr">
        <is>
          <t>Manual review</t>
        </is>
      </c>
      <c r="D18" s="40" t="inlineStr">
        <is>
          <t>Decision cells (Q_TOM/Q_CAR/Q_MES/N_TEMP on Optimize) are legitimately hardcoded — they are Solver's changing cells. Every other cell in Labor/Optimize/P&amp;L is a formula.</t>
        </is>
      </c>
    </row>
    <row r="19">
      <c r="A19" s="5" t="n">
        <v>12</v>
      </c>
      <c r="B19" s="38" t="inlineStr">
        <is>
          <t>No error values anywhere in the workbook</t>
        </is>
      </c>
      <c r="C19" s="39" t="str">
        <f>IF(SUMPRODUCT(--ISERROR(OPT_PROFIT_RNG))+SUMPRODUCT(--ISERROR(Labor!D7:D26))+SUMPRODUCT(--ISERROR(Labor!D33:D52))+SUMPRODUCT(--ISERROR(Labor!D59:D88))=0,"PASS","FAIL")</f>
        <v>PASS</v>
      </c>
      <c r="D19" s="40" t="inlineStr">
        <is>
          <t>Spot-checks the profit sweep and all three marginal-cost columns; confirm no errors elsewhere via recalc.</t>
        </is>
      </c>
    </row>
    <row r="20">
      <c r="A20" s="5" t="n">
        <v>13</v>
      </c>
      <c r="B20" s="38" t="inlineStr">
        <is>
          <t>Sweep-verified — Optimize's decision cells match the Sweep sheet's independent search, all 5 N_TEMP</t>
        </is>
      </c>
      <c r="C20" s="39" t="str">
        <f>IF(AND(Optimize!B6=Sweep!B6,Optimize!B7=Sweep!C6,Optimize!B8=Sweep!D6,ROUND(Optimize!B21-Sweep!E6,2)=0,Optimize!C6=Sweep!B7,Optimize!C7=Sweep!C7,Optimize!C8=Sweep!D7,ROUND(Optimize!C21-Sweep!E7,2)=0,Optimize!D6=Sweep!B8,Optimize!D7=Sweep!C8,Optimize!D8=Sweep!D8,ROUND(Optimize!D21-Sweep!E8,2)=0,Optimize!E6=Sweep!B9,Optimize!E7=Sweep!C9,Optimize!E8=Sweep!D9,ROUND(Optimize!E21-Sweep!E9,2)=0,Optimize!F6=Sweep!B10,Optimize!F7=Sweep!C10,Optimize!F8=Sweep!D10,ROUND(Optimize!F21-Sweep!E10,2)=0),"PASS","FAIL")</f>
        <v>PASS</v>
      </c>
      <c r="D20" s="40" t="inlineStr">
        <is>
          <t>Optimize's Q_TOM/Q_CAR/Q_MES/PROFIT for every N_TEMP are hardcoded — this row proves they equal the Sweep sheet's exhaustively re-derived optimum, computed by an entirely independent formula path (explicit pairwise terms, not a range comparison — Optimize's N_TEMP scenarios run across columns, Sweep's run down rows).</t>
        </is>
      </c>
    </row>
    <row r="22">
      <c r="A22" s="2" t="inlineStr">
        <is>
          <t>Audit findings</t>
        </is>
      </c>
    </row>
    <row r="23">
      <c r="A23" s="14" t="inlineStr">
        <is>
          <t>See the spec's own Audit findings section for the full narrative (FARMER_RATE bug, the price-taker test gap for Carrots/Mesclun, why a $/hour greedy ranking fails here, and the LibreOffice/Excel-automation substitution used to verify this workbook).</t>
        </is>
      </c>
    </row>
    <row r="24"/>
  </sheetData>
  <mergeCells count="1">
    <mergeCell ref="A23:D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2026-09-29T07:19:16Z</dcterms:created>
  <dcterms:modified xsi:type="dcterms:W3CDTF">2026-09-29T07:19:17Z</dcterms:modified>
</cp:coreProperties>
</file>