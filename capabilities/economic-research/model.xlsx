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ensitivity" sheetId="2" state="visible" r:id="rId2"/>
    <sheet name="Engine" sheetId="3" state="visible" r:id="rId3"/>
    <sheet name="Lists" sheetId="4" state="visible" r:id="rId4"/>
  </sheets>
  <definedNames>
    <definedName name="Total_Daily_Visitors">Model!$C$6</definedName>
    <definedName name="Percentage_Locals_Init">Model!$C$7</definedName>
    <definedName name="Total_Daily_AudioTour">Model!$C$8</definedName>
    <definedName name="AudioTour_Price">Model!$C$9</definedName>
    <definedName name="Local_AudioTour_Rate_Init">Model!$C$10</definedName>
    <definedName name="Local_AudioTour_Rate_PWYW">Model!$C$11</definedName>
    <definedName name="PWYW_Suggested_Price">Model!$C$12</definedName>
    <definedName name="PWYW_Payment_Ratio">Model!$C$13</definedName>
    <definedName name="Payment_Fade_Total">Model!$C$14</definedName>
    <definedName name="Fade_Timescale_Days">Model!$C$15</definedName>
    <definedName name="GiftShop_Net_Spend_Local">Model!$C$16</definedName>
    <definedName name="GiftShop_Spillover">Model!$C$17</definedName>
    <definedName name="Marketing_Spend">Model!$C$18</definedName>
    <definedName name="Locals_Share_Ceiling">Model!$C$19</definedName>
    <definedName name="Marketing_Saturation_Spend">Model!$C$20</definedName>
    <definedName name="Campaign_Days">Model!$C$21</definedName>
    <definedName name="Headset_Cost">Model!$C$22</definedName>
    <definedName name="Card_Fee_Rate">Model!$C$23</definedName>
    <definedName name="Card_Fee_Museum_Share">Model!$C$24</definedName>
    <definedName name="Device_Capacity">Model!$C$25</definedName>
    <definedName name="Device_Block_Size">Model!$C$26</definedName>
    <definedName name="Device_Block_Cost">Model!$C$27</definedName>
    <definedName name="Device_Amort_Days">Model!$C$28</definedName>
    <definedName name="Tourists_Base">Model!$C$31</definedName>
    <definedName name="Locals_Base">Model!$C$32</definedName>
    <definedName name="AudioLocal_Base">Model!$C$33</definedName>
    <definedName name="AudioTourist_Base">Model!$C$34</definedName>
    <definedName name="Fee_Keep">Model!$C$35</definedName>
    <definedName name="Average_PWYW_Start">Model!$C$36</definedName>
    <definedName name="Fade_Multiplier">Model!$C$37</definedName>
    <definedName name="Average_PWYW">Model!$C$38</definedName>
    <definedName name="Awareness">Model!$C$39</definedName>
    <definedName name="Percentage_Locals_Final">Model!$C$40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;[Red]($#,##0.00);&quot;-&quot;"/>
    <numFmt numFmtId="166" formatCode="$#,##0;[Red]($#,##0);&quot;-&quot;"/>
    <numFmt numFmtId="167" formatCode="#,##0.0;[Red](#,##0.0);&quot;-&quot;"/>
    <numFmt numFmtId="168" formatCode="0%;[Red]-0%"/>
    <numFmt numFmtId="169" formatCode="0.0&quot;x&quot;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3" fontId="6" fillId="3" borderId="1" pivotButton="0" quotePrefix="0" xfId="0"/>
    <xf numFmtId="0" fontId="1" fillId="0" borderId="0" applyAlignment="1" pivotButton="0" quotePrefix="0" xfId="0">
      <alignment vertical="top" wrapText="1"/>
    </xf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3" fontId="1" fillId="0" borderId="0" pivotButton="0" quotePrefix="0" xfId="0"/>
    <xf numFmtId="167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5" fillId="2" borderId="0" applyAlignment="1" pivotButton="0" quotePrefix="0" xfId="0">
      <alignment horizontal="right"/>
    </xf>
    <xf numFmtId="166" fontId="1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168" fontId="1" fillId="0" borderId="0" pivotButton="0" quotePrefix="0" xfId="0"/>
    <xf numFmtId="167" fontId="7" fillId="0" borderId="0" pivotButton="0" quotePrefix="0" xfId="0"/>
    <xf numFmtId="10" fontId="1" fillId="0" borderId="0" pivotButton="0" quotePrefix="0" xfId="0"/>
    <xf numFmtId="169" fontId="1" fillId="0" borderId="0" pivotButton="0" quotePrefix="0" xfId="0"/>
    <xf numFmtId="0" fontId="7" fillId="4" borderId="0" pivotButton="0" quotePrefix="0" xfId="0"/>
    <xf numFmtId="9" fontId="6" fillId="3" borderId="1" pivotButton="0" quotePrefix="0" xfId="0"/>
    <xf numFmtId="0" fontId="7" fillId="4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4">
    <dxf>
      <font>
        <name val="Arial"/>
        <b val="1"/>
        <color rgb="00FF0000"/>
      </font>
    </dxf>
    <dxf>
      <font>
        <name val="Arial"/>
        <b val="1"/>
        <color rgb="0000803C"/>
      </font>
    </dxf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F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54" customWidth="1" min="2" max="2"/>
    <col width="15" customWidth="1" min="3" max="3"/>
    <col width="15" customWidth="1" min="4" max="4"/>
    <col width="15" customWidth="1" min="5" max="5"/>
    <col width="80" customWidth="1" min="6" max="6"/>
  </cols>
  <sheetData>
    <row r="2">
      <c r="B2" s="1" t="inlineStr">
        <is>
          <t>Pay-What-You-Want Audio Tour: Profitability Model</t>
        </is>
      </c>
    </row>
    <row r="3">
      <c r="B3" s="2" t="inlineStr">
        <is>
          <t>Museum is free. Locals pay what they want for the audio tour (normally $7); tourists still pay $7. Yellow cells with blue text are inputs. Everything else recalculates.</t>
        </is>
      </c>
    </row>
    <row r="4">
      <c r="B4" s="2" t="inlineStr">
        <is>
          <t>Structure: capabilities/economic-research/spec.md. PLACEHOLDER = not yet backed by a verified source; results that depend on one are only as good as that number.</t>
        </is>
      </c>
    </row>
    <row r="5">
      <c r="B5" s="3" t="inlineStr">
        <is>
          <t>INPUTS (the named contract)</t>
        </is>
      </c>
      <c r="C5" s="4" t="inlineStr">
        <is>
          <t>Value</t>
        </is>
      </c>
      <c r="D5" s="4" t="inlineStr">
        <is>
          <t>Unit</t>
        </is>
      </c>
      <c r="E5" s="5" t="n"/>
      <c r="F5" s="4" t="inlineStr">
        <is>
          <t>Source / status</t>
        </is>
      </c>
    </row>
    <row r="6">
      <c r="B6" s="6" t="inlineStr">
        <is>
          <t>Total_Daily_Visitors</t>
        </is>
      </c>
      <c r="C6" s="7" t="n">
        <v>5000</v>
      </c>
      <c r="D6" s="6" t="inlineStr">
        <is>
          <t>people/day</t>
        </is>
      </c>
      <c r="F6" s="8" t="inlineStr">
        <is>
          <t>Spec: assumed.</t>
        </is>
      </c>
    </row>
    <row r="7">
      <c r="B7" s="6" t="inlineStr">
        <is>
          <t>Percentage_Locals_Init</t>
        </is>
      </c>
      <c r="C7" s="9" t="n">
        <v>0.075</v>
      </c>
      <c r="D7" s="6" t="inlineStr">
        <is>
          <t>% of visitors</t>
        </is>
      </c>
      <c r="F7" s="8" t="inlineStr">
        <is>
          <t>You: 5-10%. Midpoint used.</t>
        </is>
      </c>
    </row>
    <row r="8">
      <c r="B8" s="6" t="inlineStr">
        <is>
          <t>Total_Daily_AudioTour</t>
        </is>
      </c>
      <c r="C8" s="7" t="n">
        <v>250</v>
      </c>
      <c r="D8" s="6" t="inlineStr">
        <is>
          <t>people/day</t>
        </is>
      </c>
      <c r="F8" s="8" t="inlineStr">
        <is>
          <t>Spec: assumed. Includes the locals who already take the tour.</t>
        </is>
      </c>
    </row>
    <row r="9">
      <c r="B9" s="6" t="inlineStr">
        <is>
          <t>AudioTour_Price</t>
        </is>
      </c>
      <c r="C9" s="10" t="n">
        <v>7</v>
      </c>
      <c r="D9" s="6" t="inlineStr">
        <is>
          <t>$</t>
        </is>
      </c>
      <c r="F9" s="8" t="inlineStr">
        <is>
          <t>Spec (written there as Audio_Tour_Cost; this is the price tourists pay).</t>
        </is>
      </c>
    </row>
    <row r="10">
      <c r="B10" s="6" t="inlineStr">
        <is>
          <t>Local_AudioTour_Rate_Init</t>
        </is>
      </c>
      <c r="C10" s="9" t="n">
        <v>0.1</v>
      </c>
      <c r="D10" s="6" t="inlineStr">
        <is>
          <t>% of locals</t>
        </is>
      </c>
      <c r="F10" s="8" t="inlineStr">
        <is>
          <t>You: 10% of locals take the audio tour today.</t>
        </is>
      </c>
    </row>
    <row r="11">
      <c r="B11" s="6" t="inlineStr">
        <is>
          <t>Local_AudioTour_Rate_PWYW</t>
        </is>
      </c>
      <c r="C11" s="9" t="n">
        <v>0.2</v>
      </c>
      <c r="D11" s="6" t="inlineStr">
        <is>
          <t>% of locals</t>
        </is>
      </c>
      <c r="F11" s="8" t="inlineStr">
        <is>
          <t>PLACEHOLDER. You expect take-up to rise under PWYW. Test 10-50%.</t>
        </is>
      </c>
    </row>
    <row r="12">
      <c r="B12" s="6" t="inlineStr">
        <is>
          <t>PWYW_Suggested_Price</t>
        </is>
      </c>
      <c r="C12" s="10" t="n">
        <v>7</v>
      </c>
      <c r="D12" s="6" t="inlineStr">
        <is>
          <t>$</t>
        </is>
      </c>
      <c r="F12" s="8" t="inlineStr">
        <is>
          <t>Recommended price shown to locals.</t>
        </is>
      </c>
    </row>
    <row r="13">
      <c r="B13" s="6" t="inlineStr">
        <is>
          <t>PWYW_Payment_Ratio</t>
        </is>
      </c>
      <c r="C13" s="9" t="n">
        <v>0.6</v>
      </c>
      <c r="D13" s="6" t="inlineStr">
        <is>
          <t>payment / suggested</t>
        </is>
      </c>
      <c r="F13" s="8" t="inlineStr">
        <is>
          <t>PLACEHOLDER. Day-1 average payment as a share of the suggested price, including $0 payers. Test 40-80%.</t>
        </is>
      </c>
    </row>
    <row r="14">
      <c r="B14" s="6" t="inlineStr">
        <is>
          <t>Payment_Fade_Total</t>
        </is>
      </c>
      <c r="C14" s="9" t="n">
        <v>0.15</v>
      </c>
      <c r="D14" s="6" t="inlineStr">
        <is>
          <t>% decline</t>
        </is>
      </c>
      <c r="F14" s="8" t="inlineStr">
        <is>
          <t>PLACEHOLDER. Fall in the average payment from day 1 to the end of the campaign.</t>
        </is>
      </c>
    </row>
    <row r="15">
      <c r="B15" s="6" t="inlineStr">
        <is>
          <t>Fade_Timescale_Days</t>
        </is>
      </c>
      <c r="C15" s="7" t="n">
        <v>30</v>
      </c>
      <c r="D15" s="6" t="inlineStr">
        <is>
          <t>days</t>
        </is>
      </c>
      <c r="F15" s="8" t="inlineStr">
        <is>
          <t>PLACEHOLDER. How fast the fade happens; the decline slows over time. Smaller = faster early drop.</t>
        </is>
      </c>
    </row>
    <row r="16">
      <c r="B16" s="6" t="inlineStr">
        <is>
          <t>GiftShop_Net_Spend_Local</t>
        </is>
      </c>
      <c r="C16" s="10" t="n">
        <v>5</v>
      </c>
      <c r="D16" s="6" t="inlineStr">
        <is>
          <t>$/incremental local</t>
        </is>
      </c>
      <c r="F16" s="8" t="inlineStr">
        <is>
          <t>You: $5 or $10. Net contribution per NEW local visitor. See break-even below.</t>
        </is>
      </c>
    </row>
    <row r="17">
      <c r="B17" s="6" t="inlineStr">
        <is>
          <t>GiftShop_Spillover</t>
        </is>
      </c>
      <c r="C17" s="10" t="n">
        <v>0</v>
      </c>
      <c r="D17" s="6" t="inlineStr">
        <is>
          <t>$/existing local</t>
        </is>
      </c>
      <c r="F17" s="8" t="inlineStr">
        <is>
          <t>PLACEHOLDER. Extra net spend by an aware existing local who takes the PWYW tour. 0 is conservative.</t>
        </is>
      </c>
    </row>
    <row r="18">
      <c r="B18" s="6" t="inlineStr">
        <is>
          <t>Marketing_Spend</t>
        </is>
      </c>
      <c r="C18" s="11" t="n">
        <v>10000</v>
      </c>
      <c r="D18" s="6" t="inlineStr">
        <is>
          <t>$</t>
        </is>
      </c>
      <c r="F18" s="8" t="inlineStr">
        <is>
          <t>Spec: variable up to $20,000. One-time cost of the campaign.</t>
        </is>
      </c>
    </row>
    <row r="19">
      <c r="B19" s="6" t="inlineStr">
        <is>
          <t>Locals_Share_Ceiling</t>
        </is>
      </c>
      <c r="C19" s="9" t="n">
        <v>0.125</v>
      </c>
      <c r="D19" s="6" t="inlineStr">
        <is>
          <t>% of visitors</t>
        </is>
      </c>
      <c r="F19" s="8" t="inlineStr">
        <is>
          <t>PLACEHOLDER. Highest local share of daily visitors the campaign could reach. Equal to the initial share = no draw.</t>
        </is>
      </c>
    </row>
    <row r="20">
      <c r="B20" s="6" t="inlineStr">
        <is>
          <t>Marketing_Saturation_Spend</t>
        </is>
      </c>
      <c r="C20" s="11" t="n">
        <v>10000</v>
      </c>
      <c r="D20" s="6" t="inlineStr">
        <is>
          <t>$</t>
        </is>
      </c>
      <c r="F20" s="8" t="inlineStr">
        <is>
          <t>PLACEHOLDER. Spend at which ~63% of the achievable effect is reached (diminishing returns).</t>
        </is>
      </c>
    </row>
    <row r="21">
      <c r="B21" s="6" t="inlineStr">
        <is>
          <t>Campaign_Days</t>
        </is>
      </c>
      <c r="C21" s="7" t="n">
        <v>90</v>
      </c>
      <c r="D21" s="6" t="inlineStr">
        <is>
          <t>days</t>
        </is>
      </c>
      <c r="F21" s="8" t="inlineStr">
        <is>
          <t>You: 3-month campaign. Locals' visit lift is held at its average level for all days.</t>
        </is>
      </c>
    </row>
    <row r="22">
      <c r="B22" s="6" t="inlineStr">
        <is>
          <t>Headset_Cost</t>
        </is>
      </c>
      <c r="C22" s="10" t="n">
        <v>1</v>
      </c>
      <c r="D22" s="6" t="inlineStr">
        <is>
          <t>$/audio user</t>
        </is>
      </c>
      <c r="F22" s="8" t="inlineStr">
        <is>
          <t>You: $1 per headset per visitor.</t>
        </is>
      </c>
    </row>
    <row r="23">
      <c r="B23" s="6" t="inlineStr">
        <is>
          <t>Card_Fee_Rate</t>
        </is>
      </c>
      <c r="C23" s="9" t="n">
        <v>0.028</v>
      </c>
      <c r="D23" s="6" t="inlineStr">
        <is>
          <t>% of payment</t>
        </is>
      </c>
      <c r="F23" s="8" t="inlineStr">
        <is>
          <t>You: 2.8% credit card processing fee on local audio-tour payments.</t>
        </is>
      </c>
    </row>
    <row r="24">
      <c r="B24" s="6" t="inlineStr">
        <is>
          <t>Card_Fee_Museum_Share</t>
        </is>
      </c>
      <c r="C24" s="9" t="n">
        <v>0</v>
      </c>
      <c r="D24" s="6" t="inlineStr">
        <is>
          <t>% borne by museum</t>
        </is>
      </c>
      <c r="F24" s="8" t="inlineStr">
        <is>
          <t>You: the fee is charged to the customer, so 0%. Set above 0 to test the museum paying it.</t>
        </is>
      </c>
    </row>
    <row r="25">
      <c r="B25" s="6" t="inlineStr">
        <is>
          <t>Device_Capacity</t>
        </is>
      </c>
      <c r="C25" s="7" t="n">
        <v>500</v>
      </c>
      <c r="D25" s="6" t="inlineStr">
        <is>
          <t>devices</t>
        </is>
      </c>
      <c r="F25" s="8" t="inlineStr">
        <is>
          <t>Spec: extra devices needed above 500 audio-tour users per day.</t>
        </is>
      </c>
    </row>
    <row r="26">
      <c r="B26" s="6" t="inlineStr">
        <is>
          <t>Device_Block_Size</t>
        </is>
      </c>
      <c r="C26" s="7" t="n">
        <v>25</v>
      </c>
      <c r="D26" s="6" t="inlineStr">
        <is>
          <t>guests</t>
        </is>
      </c>
      <c r="F26" s="8" t="inlineStr">
        <is>
          <t>You: devices are bought in blocks of 25 guests/day of capacity.</t>
        </is>
      </c>
    </row>
    <row r="27">
      <c r="B27" s="6" t="inlineStr">
        <is>
          <t>Device_Block_Cost</t>
        </is>
      </c>
      <c r="C27" s="11" t="n">
        <v>5000</v>
      </c>
      <c r="D27" s="6" t="inlineStr">
        <is>
          <t>$/block</t>
        </is>
      </c>
      <c r="F27" s="8" t="inlineStr">
        <is>
          <t>You: $5,000 per additional block.</t>
        </is>
      </c>
    </row>
    <row r="28">
      <c r="B28" s="6" t="inlineStr">
        <is>
          <t>Device_Amort_Days</t>
        </is>
      </c>
      <c r="C28" s="7" t="n">
        <v>365</v>
      </c>
      <c r="D28" s="6" t="inlineStr">
        <is>
          <t>days</t>
        </is>
      </c>
      <c r="F28" s="8" t="inlineStr">
        <is>
          <t>You: amortize over one year. Only the campaign's share is charged here.</t>
        </is>
      </c>
    </row>
    <row r="30">
      <c r="B30" s="3" t="inlineStr">
        <is>
          <t>DERIVED INPUTS</t>
        </is>
      </c>
      <c r="C30" s="5" t="n"/>
      <c r="D30" s="5" t="n"/>
      <c r="E30" s="5" t="n"/>
      <c r="F30" s="5" t="n"/>
    </row>
    <row r="31">
      <c r="B31" s="6" t="inlineStr">
        <is>
          <t>Tourists_Base</t>
        </is>
      </c>
      <c r="C31" s="12">
        <f>Total_Daily_Visitors*(1-Percentage_Locals_Init)</f>
        <v/>
      </c>
      <c r="F31" s="8" t="inlineStr">
        <is>
          <t>Total_Daily_Tourists in the spec.</t>
        </is>
      </c>
    </row>
    <row r="32">
      <c r="B32" s="6" t="inlineStr">
        <is>
          <t>Locals_Base</t>
        </is>
      </c>
      <c r="C32" s="12">
        <f>Total_Daily_Visitors*Percentage_Locals_Init</f>
        <v/>
      </c>
      <c r="F32" s="8" t="inlineStr">
        <is>
          <t>Total_Daily_Locals in the spec.</t>
        </is>
      </c>
    </row>
    <row r="33">
      <c r="B33" s="6" t="inlineStr">
        <is>
          <t>AudioLocal_Base</t>
        </is>
      </c>
      <c r="C33" s="13">
        <f>Locals_Base*Local_AudioTour_Rate_Init</f>
        <v/>
      </c>
      <c r="F33" s="8" t="inlineStr">
        <is>
          <t>Locals who take the tour today (and pay $7).</t>
        </is>
      </c>
    </row>
    <row r="34">
      <c r="B34" s="6" t="inlineStr">
        <is>
          <t>AudioTourist_Base</t>
        </is>
      </c>
      <c r="C34" s="13">
        <f>Total_Daily_AudioTour-AudioLocal_Base</f>
        <v/>
      </c>
      <c r="F34" s="8" t="inlineStr">
        <is>
          <t>Remainder of the 250 are tourists.</t>
        </is>
      </c>
    </row>
    <row r="35">
      <c r="B35" s="6" t="inlineStr">
        <is>
          <t>Fee_Keep</t>
        </is>
      </c>
      <c r="C35" s="14">
        <f>1-Card_Fee_Rate*Card_Fee_Museum_Share</f>
        <v/>
      </c>
      <c r="F35" s="8" t="inlineStr">
        <is>
          <t>Share of each local audio-tour payment the museum keeps after any card fee it bears.</t>
        </is>
      </c>
    </row>
    <row r="36">
      <c r="B36" s="6" t="inlineStr">
        <is>
          <t>Average_PWYW_Start</t>
        </is>
      </c>
      <c r="C36" s="15">
        <f>PWYW_Suggested_Price*PWYW_Payment_Ratio</f>
        <v/>
      </c>
      <c r="F36" s="8" t="inlineStr">
        <is>
          <t>Day-1 average payment per aware local audio-tour user.</t>
        </is>
      </c>
    </row>
    <row r="37">
      <c r="B37" s="6" t="inlineStr">
        <is>
          <t>Fade_Multiplier</t>
        </is>
      </c>
      <c r="C37" s="14">
        <f>1-Payment_Fade_Total*((1-(Fade_Timescale_Days/Campaign_Days)*(1-EXP(-Campaign_Days/Fade_Timescale_Days)))/(1-EXP(-Campaign_Days/Fade_Timescale_Days)))</f>
        <v/>
      </c>
      <c r="F37" s="8" t="inlineStr">
        <is>
          <t>Average of the fading payment over the campaign, as a share of day 1. Fade shape: 1 - e^(-t/timescale), scaled to reach the total decline on the last day.</t>
        </is>
      </c>
    </row>
    <row r="38">
      <c r="B38" s="6" t="inlineStr">
        <is>
          <t>Average_PWYW</t>
        </is>
      </c>
      <c r="C38" s="15">
        <f>Average_PWYW_Start*Fade_Multiplier</f>
        <v/>
      </c>
      <c r="F38" s="8" t="inlineStr">
        <is>
          <t>Campaign-average payment per aware local audio-tour user.</t>
        </is>
      </c>
    </row>
    <row r="39">
      <c r="B39" s="6" t="inlineStr">
        <is>
          <t>Awareness</t>
        </is>
      </c>
      <c r="C39" s="14">
        <f>1-EXP(-Marketing_Spend/Marketing_Saturation_Spend)</f>
        <v/>
      </c>
      <c r="F39" s="8" t="inlineStr">
        <is>
          <t>Share of the achievable marketing effect reached: 1 - e^(-spend / saturation). 0 at $0 spend. Also the share of existing locals who know PWYW exists.</t>
        </is>
      </c>
    </row>
    <row r="40">
      <c r="B40" s="6" t="inlineStr">
        <is>
          <t>Percentage_Locals_Final</t>
        </is>
      </c>
      <c r="C40" s="14">
        <f>Percentage_Locals_Init+(Locals_Share_Ceiling-Percentage_Locals_Init)*Awareness</f>
        <v/>
      </c>
      <c r="F40" s="8" t="inlineStr">
        <is>
          <t>Init + (ceiling - Init) x Awareness. Diminishing returns on marketing.</t>
        </is>
      </c>
    </row>
    <row r="42">
      <c r="B42" s="3" t="inlineStr">
        <is>
          <t>DAILY VIEW (campaign average day)</t>
        </is>
      </c>
      <c r="C42" s="16" t="inlineStr">
        <is>
          <t>Baseline</t>
        </is>
      </c>
      <c r="D42" s="16" t="inlineStr">
        <is>
          <t>Campaign</t>
        </is>
      </c>
      <c r="E42" s="16" t="inlineStr">
        <is>
          <t>Change</t>
        </is>
      </c>
      <c r="F42" s="4" t="inlineStr">
        <is>
          <t>Notes</t>
        </is>
      </c>
    </row>
    <row r="43">
      <c r="B43" s="6" t="inlineStr">
        <is>
          <t>Local visitors</t>
        </is>
      </c>
      <c r="C43" s="12">
        <f>Locals_Base</f>
        <v/>
      </c>
      <c r="D43" s="12">
        <f>Tourists_Base*Percentage_Locals_Final/(1-Percentage_Locals_Final)</f>
        <v/>
      </c>
      <c r="E43" s="12">
        <f>D43-C43</f>
        <v/>
      </c>
      <c r="F43" s="8" t="inlineStr">
        <is>
          <t>Final share is of ALL visitors, so locals = tourists x final / (1 - final). Tourists do not change.</t>
        </is>
      </c>
    </row>
    <row r="44">
      <c r="B44" s="6" t="inlineStr">
        <is>
          <t>Tourist visitors</t>
        </is>
      </c>
      <c r="C44" s="12">
        <f>Tourists_Base</f>
        <v/>
      </c>
      <c r="D44" s="12">
        <f>Tourists_Base</f>
        <v/>
      </c>
      <c r="E44" s="12">
        <f>D44-C44</f>
        <v/>
      </c>
      <c r="F44" s="8" t="inlineStr"/>
    </row>
    <row r="45">
      <c r="B45" s="6" t="inlineStr">
        <is>
          <t>Local share of visitors</t>
        </is>
      </c>
      <c r="C45" s="14">
        <f>Percentage_Locals_Init</f>
        <v/>
      </c>
      <c r="D45" s="14">
        <f>Percentage_Locals_Final</f>
        <v/>
      </c>
      <c r="E45" s="14">
        <f>D45-C45</f>
        <v/>
      </c>
      <c r="F45" s="8" t="inlineStr"/>
    </row>
    <row r="46">
      <c r="B46" s="6" t="inlineStr">
        <is>
          <t>Local audio-tour users</t>
        </is>
      </c>
      <c r="C46" s="13">
        <f>AudioLocal_Base</f>
        <v/>
      </c>
      <c r="D46" s="13">
        <f>Locals_Base*(1-Awareness)*Local_AudioTour_Rate_Init+(D43-Locals_Base*(1-Awareness))*Local_AudioTour_Rate_PWYW</f>
        <v/>
      </c>
      <c r="E46" s="13">
        <f>D46-C46</f>
        <v/>
      </c>
      <c r="F46" s="8" t="inlineStr">
        <is>
          <t>Unaware existing locals behave as today (10%, pay $7). Aware locals, incl. all new ones, take the tour at the PWYW rate and pay Average_PWYW.</t>
        </is>
      </c>
    </row>
    <row r="47">
      <c r="B47" s="6" t="inlineStr">
        <is>
          <t>Tourist audio-tour users</t>
        </is>
      </c>
      <c r="C47" s="13">
        <f>AudioTourist_Base</f>
        <v/>
      </c>
      <c r="D47" s="13">
        <f>AudioTourist_Base</f>
        <v/>
      </c>
      <c r="E47" s="13">
        <f>D47-C47</f>
        <v/>
      </c>
      <c r="F47" s="8" t="inlineStr">
        <is>
          <t>Tourists keep paying $7.</t>
        </is>
      </c>
    </row>
    <row r="48">
      <c r="B48" s="6" t="inlineStr">
        <is>
          <t>Total audio-tour users</t>
        </is>
      </c>
      <c r="C48" s="13">
        <f>C46+C47</f>
        <v/>
      </c>
      <c r="D48" s="13">
        <f>D46+D47</f>
        <v/>
      </c>
      <c r="E48" s="13">
        <f>D48-C48</f>
        <v/>
      </c>
      <c r="F48" s="8" t="inlineStr"/>
    </row>
    <row r="49">
      <c r="B49" s="6" t="inlineStr">
        <is>
          <t>Avg payment per local audio user ($)</t>
        </is>
      </c>
      <c r="C49" s="15">
        <f>AudioTour_Price</f>
        <v/>
      </c>
      <c r="D49" s="15">
        <f>IF(D46=0,0,(Locals_Base*(1-Awareness)*Local_AudioTour_Rate_Init*AudioTour_Price+(D43-Locals_Base*(1-Awareness))*Local_AudioTour_Rate_PWYW*Average_PWYW)/D46)</f>
        <v/>
      </c>
      <c r="E49" s="15">
        <f>D49-C49</f>
        <v/>
      </c>
      <c r="F49" s="8" t="inlineStr">
        <is>
          <t>Blend of unaware locals paying $7 and aware locals paying the campaign-average PWYW payment.</t>
        </is>
      </c>
    </row>
    <row r="50">
      <c r="B50" s="6" t="inlineStr">
        <is>
          <t>Audio-tour revenue ($)</t>
        </is>
      </c>
      <c r="C50" s="17">
        <f>C46*C49+C47*AudioTour_Price</f>
        <v/>
      </c>
      <c r="D50" s="17">
        <f>D46*D49+D47*AudioTour_Price</f>
        <v/>
      </c>
      <c r="E50" s="17">
        <f>D50-C50</f>
        <v/>
      </c>
      <c r="F50" s="8" t="inlineStr">
        <is>
          <t>Change includes the $7 revenue lost when an aware existing local moves to PWYW.</t>
        </is>
      </c>
    </row>
    <row r="51">
      <c r="B51" s="6" t="inlineStr">
        <is>
          <t>Card fee borne by museum ($)</t>
        </is>
      </c>
      <c r="C51" s="17">
        <f>-Card_Fee_Rate*Card_Fee_Museum_Share*C46*C49</f>
        <v/>
      </c>
      <c r="D51" s="17">
        <f>-Card_Fee_Rate*Card_Fee_Museum_Share*D46*D49</f>
        <v/>
      </c>
      <c r="E51" s="17">
        <f>D51-C51</f>
        <v/>
      </c>
      <c r="F51" s="8" t="inlineStr">
        <is>
          <t>On local audio-tour payments only. 0 while the customer pays the fee.</t>
        </is>
      </c>
    </row>
    <row r="52">
      <c r="B52" s="6" t="inlineStr">
        <is>
          <t>Headset cost ($)</t>
        </is>
      </c>
      <c r="C52" s="17">
        <f>-C48*Headset_Cost</f>
        <v/>
      </c>
      <c r="D52" s="17">
        <f>-D48*Headset_Cost</f>
        <v/>
      </c>
      <c r="E52" s="17">
        <f>D52-C52</f>
        <v/>
      </c>
      <c r="F52" s="8" t="inlineStr">
        <is>
          <t>$1 per audio-tour user, including those who pay $0.</t>
        </is>
      </c>
    </row>
    <row r="53">
      <c r="B53" s="6" t="inlineStr">
        <is>
          <t>Extra device blocks needed</t>
        </is>
      </c>
      <c r="C53" s="12">
        <f>MAX(0,ROUNDUP((C48-Device_Capacity)/Device_Block_Size,0))</f>
        <v/>
      </c>
      <c r="D53" s="12">
        <f>MAX(0,ROUNDUP((D48-Device_Capacity)/Device_Block_Size,0))</f>
        <v/>
      </c>
      <c r="E53" s="12">
        <f>D53-C53</f>
        <v/>
      </c>
      <c r="F53" s="8" t="inlineStr">
        <is>
          <t>Blocks of 25 above the 500 capacity.</t>
        </is>
      </c>
    </row>
    <row r="54">
      <c r="B54" s="6" t="inlineStr">
        <is>
          <t>Device cost, amortized per day ($)</t>
        </is>
      </c>
      <c r="C54" s="17">
        <f>-C53*Device_Block_Cost/Device_Amort_Days</f>
        <v/>
      </c>
      <c r="D54" s="17">
        <f>-D53*Device_Block_Cost/Device_Amort_Days</f>
        <v/>
      </c>
      <c r="E54" s="17">
        <f>D54-C54</f>
        <v/>
      </c>
      <c r="F54" s="8" t="inlineStr">
        <is>
          <t>Block cost spread over the amortization period.</t>
        </is>
      </c>
    </row>
    <row r="55">
      <c r="B55" s="6" t="inlineStr">
        <is>
          <t>Gift shop contribution, incremental ($)</t>
        </is>
      </c>
      <c r="C55" s="17" t="n">
        <v>0</v>
      </c>
      <c r="D55" s="17">
        <f>E43*GiftShop_Net_Spend_Local+Locals_Base*Awareness*Local_AudioTour_Rate_PWYW*GiftShop_Spillover</f>
        <v/>
      </c>
      <c r="E55" s="17">
        <f>D55-C55</f>
        <v/>
      </c>
      <c r="F55" s="8" t="inlineStr">
        <is>
          <t>New locals x net spend, plus spillover from aware existing locals. Baseline gift shop is not modeled (increments only).</t>
        </is>
      </c>
    </row>
    <row r="56">
      <c r="B56" s="18" t="inlineStr">
        <is>
          <t>Daily contribution ($)</t>
        </is>
      </c>
      <c r="C56" s="19">
        <f>C50+C51+C52+C54+C55</f>
        <v/>
      </c>
      <c r="D56" s="19">
        <f>D50+D51+D52+D54+D55</f>
        <v/>
      </c>
      <c r="E56" s="19">
        <f>D56-C56</f>
        <v/>
      </c>
      <c r="F56" s="8" t="inlineStr">
        <is>
          <t>Revenue less card fee, headsets and devices, before marketing.</t>
        </is>
      </c>
    </row>
    <row r="58">
      <c r="B58" s="3" t="inlineStr">
        <is>
          <t>CAMPAIGN RESULTS</t>
        </is>
      </c>
      <c r="C58" s="5" t="n"/>
      <c r="D58" s="5" t="n"/>
      <c r="E58" s="5" t="n"/>
      <c r="F58" s="5" t="n"/>
    </row>
    <row r="59">
      <c r="B59" s="6" t="inlineStr">
        <is>
          <t>Incremental contribution over the campaign ($)</t>
        </is>
      </c>
      <c r="C59" s="17">
        <f>E56*Campaign_Days</f>
        <v/>
      </c>
      <c r="F59" s="8" t="inlineStr">
        <is>
          <t>Daily change x campaign days.</t>
        </is>
      </c>
    </row>
    <row r="60">
      <c r="B60" s="6" t="inlineStr">
        <is>
          <t>Marketing spend ($)</t>
        </is>
      </c>
      <c r="C60" s="17">
        <f>-Marketing_Spend</f>
        <v/>
      </c>
      <c r="F60" s="8" t="inlineStr"/>
    </row>
    <row r="61">
      <c r="B61" s="18" t="inlineStr">
        <is>
          <t>NET PROFIT ($)</t>
        </is>
      </c>
      <c r="C61" s="19">
        <f>C59+C60</f>
        <v/>
      </c>
      <c r="F61" s="8" t="inlineStr">
        <is>
          <t>Positive = the PWYW program pays for itself within the campaign.</t>
        </is>
      </c>
    </row>
    <row r="62">
      <c r="B62" s="6" t="inlineStr">
        <is>
          <t>ROI (%)</t>
        </is>
      </c>
      <c r="C62" s="20">
        <f>IF(Marketing_Spend=0,"n/a",C61/Marketing_Spend)</f>
        <v/>
      </c>
      <c r="F62" s="8" t="inlineStr">
        <is>
          <t>Net profit / marketing spend.</t>
        </is>
      </c>
    </row>
    <row r="63">
      <c r="B63" s="6" t="inlineStr">
        <is>
          <t>Break-even gift shop spend per incremental local ($)</t>
        </is>
      </c>
      <c r="C63" s="15">
        <f>IF(E43&lt;=0,"n/a",GiftShop_Net_Spend_Local-C61/(E43*Campaign_Days))</f>
        <v/>
      </c>
      <c r="F63" s="8" t="inlineStr">
        <is>
          <t>Spend at which net profit = 0, holding everything else. Negative means it is profitable even at $0 of gift shop spend.</t>
        </is>
      </c>
    </row>
    <row r="64">
      <c r="B64" s="6" t="inlineStr">
        <is>
          <t>Break-even campaign-average PWYW payment ($)</t>
        </is>
      </c>
      <c r="C64" s="15">
        <f>IF((D43-Locals_Base*(1-Awareness))*Local_AudioTour_Rate_PWYW&lt;=0,"n/a",Average_PWYW-C61/((D43-Locals_Base*(1-Awareness))*Local_AudioTour_Rate_PWYW*Fee_Keep*Campaign_Days))</f>
        <v/>
      </c>
      <c r="F64" s="8" t="inlineStr">
        <is>
          <t>Average payment by aware locals at which net profit = 0, holding everything else.</t>
        </is>
      </c>
    </row>
    <row r="65">
      <c r="B65" s="6" t="inlineStr">
        <is>
          <t xml:space="preserve">   as % of suggested price</t>
        </is>
      </c>
      <c r="C65" s="14">
        <f>IF(ISNUMBER(C64),C64/PWYW_Suggested_Price,"n/a")</f>
        <v/>
      </c>
      <c r="F65" s="8" t="inlineStr"/>
    </row>
    <row r="66">
      <c r="B66" s="6" t="inlineStr">
        <is>
          <t>Net profit with the gift shop effect removed ($)</t>
        </is>
      </c>
      <c r="C66" s="17">
        <f>C61-E55*Campaign_Days</f>
        <v/>
      </c>
      <c r="F66" s="8" t="inlineStr">
        <is>
          <t>Audio tour only: revenue, headsets, devices and marketing. Shows how much of the result depends on gift shop spend.</t>
        </is>
      </c>
    </row>
    <row r="67">
      <c r="B67" s="6" t="inlineStr">
        <is>
          <t>Gift shop share of campaign contribution</t>
        </is>
      </c>
      <c r="C67" s="14">
        <f>IF(C59&lt;=0,"n/a",E55*Campaign_Days/C59)</f>
        <v/>
      </c>
      <c r="F67" s="8" t="inlineStr"/>
    </row>
    <row r="68">
      <c r="B68" s="18" t="inlineStr">
        <is>
          <t>Verdict</t>
        </is>
      </c>
      <c r="C68" s="18">
        <f>IF(C61&gt;0,"PROFITABLE under these inputs","NOT PROFITABLE under these inputs")</f>
        <v/>
      </c>
      <c r="F68" s="8" t="inlineStr"/>
    </row>
    <row r="70">
      <c r="B70" s="3" t="inlineStr">
        <is>
          <t>BREAK-EVEN DRAW (how many added locals per day does PWYW need?)</t>
        </is>
      </c>
      <c r="C70" s="5" t="n"/>
      <c r="D70" s="5" t="n"/>
      <c r="E70" s="5" t="n"/>
      <c r="F70" s="5" t="n"/>
    </row>
    <row r="71">
      <c r="B71" s="6" t="inlineStr">
        <is>
          <t>Existing locals: price effect ($/day)</t>
        </is>
      </c>
      <c r="C71" s="17">
        <f>Locals_Base*Awareness*Local_AudioTour_Rate_Init*Fee_Keep*(Average_PWYW-AudioTour_Price)</f>
        <v/>
      </c>
      <c r="F71" s="8" t="inlineStr">
        <is>
          <t>Aware existing locals who already took the tour now pay the PWYW average instead of $7. Cannibalization.</t>
        </is>
      </c>
    </row>
    <row r="72">
      <c r="B72" s="6" t="inlineStr">
        <is>
          <t>Existing locals: extra tour takers, net ($/day)</t>
        </is>
      </c>
      <c r="C72" s="17">
        <f>Locals_Base*Awareness*(Local_AudioTour_Rate_PWYW-Local_AudioTour_Rate_Init)*(Fee_Keep*Average_PWYW-Headset_Cost)</f>
        <v/>
      </c>
      <c r="F72" s="8" t="inlineStr">
        <is>
          <t>Aware existing locals who newly take the tour, net of the headset.</t>
        </is>
      </c>
    </row>
    <row r="73">
      <c r="B73" s="6" t="inlineStr">
        <is>
          <t>Existing locals: gift shop spillover ($/day)</t>
        </is>
      </c>
      <c r="C73" s="17">
        <f>Locals_Base*Awareness*Local_AudioTour_Rate_PWYW*GiftShop_Spillover</f>
        <v/>
      </c>
      <c r="F73" s="8" t="inlineStr"/>
    </row>
    <row r="74">
      <c r="B74" s="6" t="inlineStr">
        <is>
          <t>Existing-local effect, total ($/day)</t>
        </is>
      </c>
      <c r="C74" s="17">
        <f>C71+C72+C73</f>
        <v/>
      </c>
      <c r="F74" s="8" t="inlineStr">
        <is>
          <t>Usually negative: this is what the added locals must overcome.</t>
        </is>
      </c>
    </row>
    <row r="75">
      <c r="B75" s="6" t="inlineStr">
        <is>
          <t>Contribution per added local ($/day)</t>
        </is>
      </c>
      <c r="C75" s="15">
        <f>Local_AudioTour_Rate_PWYW*(Fee_Keep*Average_PWYW-Headset_Cost)+GiftShop_Net_Spend_Local</f>
        <v/>
      </c>
      <c r="F75" s="8" t="inlineStr">
        <is>
          <t>Tour take-up x (payment net of fee and headset) + gift shop spend per new local.</t>
        </is>
      </c>
    </row>
    <row r="76">
      <c r="B76" s="18" t="inlineStr">
        <is>
          <t>BREAK-EVEN added locals per day</t>
        </is>
      </c>
      <c r="C76" s="21">
        <f>IF(C75&lt;=0,"n/a",(Marketing_Spend/Campaign_Days-C74)/C75)</f>
        <v/>
      </c>
      <c r="F76" s="8" t="inlineStr">
        <is>
          <t>Added locals/day at which net profit over the campaign = 0, at this marketing spend. n/a = each added local loses money.</t>
        </is>
      </c>
    </row>
    <row r="77">
      <c r="B77" s="6" t="inlineStr">
        <is>
          <t xml:space="preserve">   as % of today's local visitors</t>
        </is>
      </c>
      <c r="C77" s="14">
        <f>IF(ISNUMBER(C76),C76/Locals_Base,"n/a")</f>
        <v/>
      </c>
      <c r="F77" s="8" t="inlineStr">
        <is>
          <t>The rise in local visitors PWYW has to produce.</t>
        </is>
      </c>
    </row>
    <row r="78">
      <c r="B78" s="6" t="inlineStr">
        <is>
          <t xml:space="preserve">   as % of all daily visitors</t>
        </is>
      </c>
      <c r="C78" s="22">
        <f>IF(ISNUMBER(C76),C76/Total_Daily_Visitors,"n/a")</f>
        <v/>
      </c>
      <c r="F78" s="8" t="inlineStr"/>
    </row>
    <row r="79">
      <c r="B79" s="6" t="inlineStr">
        <is>
          <t>Added locals per day this model assumes</t>
        </is>
      </c>
      <c r="C79" s="13">
        <f>E43</f>
        <v/>
      </c>
      <c r="F79" s="8" t="inlineStr">
        <is>
          <t>From the marketing response (ceiling and saturation placeholders).</t>
        </is>
      </c>
    </row>
    <row r="80">
      <c r="B80" s="6" t="inlineStr">
        <is>
          <t>Assumed draw / required draw</t>
        </is>
      </c>
      <c r="C80" s="23">
        <f>IF(ISNUMBER(C76),IF(C76&lt;=0,"n/a",C79/C76),"n/a")</f>
        <v/>
      </c>
      <c r="F80" s="8" t="inlineStr">
        <is>
          <t>Above 1.0x the assumed draw clears break-even. This ratio is the real test of the first falsifier.</t>
        </is>
      </c>
    </row>
    <row r="81">
      <c r="B81" s="6" t="inlineStr">
        <is>
          <t>Extra devices needed at the break-even draw?</t>
        </is>
      </c>
      <c r="C81" s="6">
        <f>IF(ISNUMBER(C76),IF(Total_Daily_AudioTour+Locals_Base*Awareness*(Local_AudioTour_Rate_PWYW-Local_AudioTour_Rate_Init)+C76*Local_AudioTour_Rate_PWYW&gt;Device_Capacity,"YES: break-even is understated","No"),"n/a")</f>
        <v/>
      </c>
      <c r="F81" s="8" t="inlineStr"/>
    </row>
    <row r="83">
      <c r="B83" s="3" t="inlineStr">
        <is>
          <t>CHECKS</t>
        </is>
      </c>
      <c r="C83" s="5" t="n"/>
      <c r="D83" s="5" t="n"/>
      <c r="E83" s="5" t="n"/>
      <c r="F83" s="5" t="n"/>
    </row>
    <row r="84">
      <c r="B84" s="6" t="inlineStr">
        <is>
          <t>Tourist audio users are not negative</t>
        </is>
      </c>
      <c r="C84" s="18">
        <f>IF(AudioTourist_Base&gt;=0,"OK","FAIL")</f>
        <v/>
      </c>
    </row>
    <row r="85">
      <c r="B85" s="6" t="inlineStr">
        <is>
          <t>Baseline audio revenue = daily audio users x price</t>
        </is>
      </c>
      <c r="C85" s="18">
        <f>IF(ABS(C50-Total_Daily_AudioTour*AudioTour_Price)&lt;0.005,"OK","FAIL")</f>
        <v/>
      </c>
    </row>
    <row r="86">
      <c r="B86" s="6" t="inlineStr">
        <is>
          <t>Final local share is between initial share and 100%</t>
        </is>
      </c>
      <c r="C86" s="18">
        <f>IF(AND(Percentage_Locals_Final&gt;=Percentage_Locals_Init,Percentage_Locals_Final&lt;1),"OK","FAIL")</f>
        <v/>
      </c>
    </row>
    <row r="87">
      <c r="B87" s="6" t="inlineStr">
        <is>
          <t>Fade multiplier is between 0 and 100%</t>
        </is>
      </c>
      <c r="C87" s="18">
        <f>IF(AND(Fade_Multiplier&gt;0,Fade_Multiplier&lt;=1),"OK","FAIL")</f>
        <v/>
      </c>
    </row>
    <row r="88">
      <c r="B88" s="6" t="inlineStr">
        <is>
          <t>Break-even gift shop spend zeroes net profit</t>
        </is>
      </c>
      <c r="C88" s="18">
        <f>IF(ISNUMBER(C63),IF(ABS(C61+(C63-GiftShop_Net_Spend_Local)*E43*Campaign_Days)&lt;0.01,"OK","FAIL"),"n/a")</f>
        <v/>
      </c>
    </row>
    <row r="89">
      <c r="B89" s="6" t="inlineStr">
        <is>
          <t>Break-even PWYW payment zeroes net profit</t>
        </is>
      </c>
      <c r="C89" s="18">
        <f>IF(ISNUMBER(C64),IF(ABS(C61+(C64-Average_PWYW)*(D43-Locals_Base*(1-Awareness))*Local_AudioTour_Rate_PWYW*Fee_Keep*Campaign_Days)&lt;0.01,"OK","FAIL"),"n/a")</f>
        <v/>
      </c>
    </row>
    <row r="90">
      <c r="B90" s="6" t="inlineStr">
        <is>
          <t>Engine base scenario matches this sheet's net profit</t>
        </is>
      </c>
      <c r="C90" s="18">
        <f>IF(ABS(Engine!R2-C61)&lt;0.01,"OK","FAIL")</f>
        <v/>
      </c>
    </row>
    <row r="91">
      <c r="B91" s="6" t="inlineStr">
        <is>
          <t>Zero marketing gives zero profit (Engine row 3 is a $0 test)</t>
        </is>
      </c>
      <c r="C91" s="18">
        <f>IF(ABS(Engine!R3)&lt;0.01,"OK","FAIL")</f>
        <v/>
      </c>
    </row>
    <row r="92">
      <c r="B92" s="6" t="inlineStr">
        <is>
          <t>Daily contribution = existing-local effect + added locals x per-local contribution</t>
        </is>
      </c>
      <c r="C92" s="18">
        <f>IF(D53=0,IF(ABS(E56-(C74+C75*E43))&lt;0.01,"OK","FAIL"),"n/a")</f>
        <v/>
      </c>
    </row>
    <row r="93">
      <c r="B93" s="6" t="inlineStr">
        <is>
          <t>Net profit at the break-even draw is zero (Engine row 4)</t>
        </is>
      </c>
      <c r="C93" s="18">
        <f>IF(AND(ISNUMBER(C76),Awareness&gt;0,C81="No"),IF(ABS(Engine!R4)&lt;0.01,"OK","FAIL"),"n/a")</f>
        <v/>
      </c>
    </row>
    <row r="94">
      <c r="B94" s="6" t="inlineStr">
        <is>
          <t>Extra devices needed in campaign?</t>
        </is>
      </c>
      <c r="C94" s="18">
        <f>IF(D53=0,"No (under capacity)","YES: "&amp;D53&amp;" block(s)")</f>
        <v/>
      </c>
    </row>
  </sheetData>
  <conditionalFormatting sqref="C84:C93">
    <cfRule type="expression" priority="1" dxfId="0">
      <formula>C84="FAIL"</formula>
    </cfRule>
    <cfRule type="expression" priority="2" dxfId="1">
      <formula>C84="OK"</formula>
    </cfRule>
  </conditionalFormatting>
  <conditionalFormatting sqref="C68">
    <cfRule type="expression" priority="3" dxfId="0">
      <formula>LEFT(C68,3)="NOT"</formula>
    </cfRule>
    <cfRule type="expression" priority="4" dxfId="1">
      <formula>LEFT(C68,3)="PRO"</formula>
    </cfRule>
  </conditionalFormatting>
  <dataValidations count="2">
    <dataValidation sqref="C18" showDropDown="0" showInputMessage="0" showErrorMessage="0" allowBlank="0" type="list">
      <formula1>=Lists!$A$2:$A$10</formula1>
    </dataValidation>
    <dataValidation sqref="C7 C10 C11 C13 C14 C19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/>
  </sheetPr>
  <dimension ref="B2:I7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Sensitivity Tables: Net Profit Over the Campaign</t>
        </is>
      </c>
    </row>
    <row r="3">
      <c r="B3" s="2" t="inlineStr">
        <is>
          <t>Each table varies two levers; everything else comes from the Model tab. Axis values are editable. Green = profit, red = loss.</t>
        </is>
      </c>
    </row>
    <row r="5">
      <c r="B5" s="3" t="inlineStr">
        <is>
          <t>1. Marketing spend vs. gift shop spend per new local</t>
        </is>
      </c>
      <c r="C5" s="5" t="n"/>
      <c r="D5" s="5" t="n"/>
      <c r="E5" s="5" t="n"/>
      <c r="F5" s="5" t="n"/>
      <c r="G5" s="5" t="n"/>
      <c r="H5" s="5" t="n"/>
      <c r="I5" s="5" t="n"/>
    </row>
    <row r="6">
      <c r="B6" s="24" t="inlineStr">
        <is>
          <t>Marketing ($) \ Gift shop $ / new local</t>
        </is>
      </c>
      <c r="C6" s="10" t="n">
        <v>0</v>
      </c>
      <c r="D6" s="10" t="n">
        <v>1</v>
      </c>
      <c r="E6" s="10" t="n">
        <v>2.5</v>
      </c>
      <c r="F6" s="10" t="n">
        <v>5</v>
      </c>
      <c r="G6" s="10" t="n">
        <v>7.5</v>
      </c>
      <c r="H6" s="10" t="n">
        <v>10</v>
      </c>
      <c r="I6" s="10" t="n">
        <v>15</v>
      </c>
    </row>
    <row r="7">
      <c r="B7" s="11" t="n">
        <v>0</v>
      </c>
      <c r="C7" s="17">
        <f>Engine!R5</f>
        <v/>
      </c>
      <c r="D7" s="17">
        <f>Engine!R6</f>
        <v/>
      </c>
      <c r="E7" s="17">
        <f>Engine!R7</f>
        <v/>
      </c>
      <c r="F7" s="17">
        <f>Engine!R8</f>
        <v/>
      </c>
      <c r="G7" s="17">
        <f>Engine!R9</f>
        <v/>
      </c>
      <c r="H7" s="17">
        <f>Engine!R10</f>
        <v/>
      </c>
      <c r="I7" s="17">
        <f>Engine!R11</f>
        <v/>
      </c>
    </row>
    <row r="8">
      <c r="B8" s="11" t="n">
        <v>2500</v>
      </c>
      <c r="C8" s="17">
        <f>Engine!R12</f>
        <v/>
      </c>
      <c r="D8" s="17">
        <f>Engine!R13</f>
        <v/>
      </c>
      <c r="E8" s="17">
        <f>Engine!R14</f>
        <v/>
      </c>
      <c r="F8" s="17">
        <f>Engine!R15</f>
        <v/>
      </c>
      <c r="G8" s="17">
        <f>Engine!R16</f>
        <v/>
      </c>
      <c r="H8" s="17">
        <f>Engine!R17</f>
        <v/>
      </c>
      <c r="I8" s="17">
        <f>Engine!R18</f>
        <v/>
      </c>
    </row>
    <row r="9">
      <c r="B9" s="11" t="n">
        <v>5000</v>
      </c>
      <c r="C9" s="17">
        <f>Engine!R19</f>
        <v/>
      </c>
      <c r="D9" s="17">
        <f>Engine!R20</f>
        <v/>
      </c>
      <c r="E9" s="17">
        <f>Engine!R21</f>
        <v/>
      </c>
      <c r="F9" s="17">
        <f>Engine!R22</f>
        <v/>
      </c>
      <c r="G9" s="17">
        <f>Engine!R23</f>
        <v/>
      </c>
      <c r="H9" s="17">
        <f>Engine!R24</f>
        <v/>
      </c>
      <c r="I9" s="17">
        <f>Engine!R25</f>
        <v/>
      </c>
    </row>
    <row r="10">
      <c r="B10" s="11" t="n">
        <v>10000</v>
      </c>
      <c r="C10" s="17">
        <f>Engine!R26</f>
        <v/>
      </c>
      <c r="D10" s="17">
        <f>Engine!R27</f>
        <v/>
      </c>
      <c r="E10" s="17">
        <f>Engine!R28</f>
        <v/>
      </c>
      <c r="F10" s="17">
        <f>Engine!R29</f>
        <v/>
      </c>
      <c r="G10" s="17">
        <f>Engine!R30</f>
        <v/>
      </c>
      <c r="H10" s="17">
        <f>Engine!R31</f>
        <v/>
      </c>
      <c r="I10" s="17">
        <f>Engine!R32</f>
        <v/>
      </c>
    </row>
    <row r="11">
      <c r="B11" s="11" t="n">
        <v>15000</v>
      </c>
      <c r="C11" s="17">
        <f>Engine!R33</f>
        <v/>
      </c>
      <c r="D11" s="17">
        <f>Engine!R34</f>
        <v/>
      </c>
      <c r="E11" s="17">
        <f>Engine!R35</f>
        <v/>
      </c>
      <c r="F11" s="17">
        <f>Engine!R36</f>
        <v/>
      </c>
      <c r="G11" s="17">
        <f>Engine!R37</f>
        <v/>
      </c>
      <c r="H11" s="17">
        <f>Engine!R38</f>
        <v/>
      </c>
      <c r="I11" s="17">
        <f>Engine!R39</f>
        <v/>
      </c>
    </row>
    <row r="12">
      <c r="B12" s="11" t="n">
        <v>20000</v>
      </c>
      <c r="C12" s="17">
        <f>Engine!R40</f>
        <v/>
      </c>
      <c r="D12" s="17">
        <f>Engine!R41</f>
        <v/>
      </c>
      <c r="E12" s="17">
        <f>Engine!R42</f>
        <v/>
      </c>
      <c r="F12" s="17">
        <f>Engine!R43</f>
        <v/>
      </c>
      <c r="G12" s="17">
        <f>Engine!R44</f>
        <v/>
      </c>
      <c r="H12" s="17">
        <f>Engine!R45</f>
        <v/>
      </c>
      <c r="I12" s="17">
        <f>Engine!R46</f>
        <v/>
      </c>
    </row>
    <row r="15">
      <c r="B15" s="3" t="inlineStr">
        <is>
          <t>2. Campaign-average payment vs. local take-up</t>
        </is>
      </c>
      <c r="C15" s="5" t="n"/>
      <c r="D15" s="5" t="n"/>
      <c r="E15" s="5" t="n"/>
      <c r="F15" s="5" t="n"/>
      <c r="G15" s="5" t="n"/>
    </row>
    <row r="16">
      <c r="B16" s="24" t="inlineStr">
        <is>
          <t>Avg payment ($) \ Take-up (% of locals)</t>
        </is>
      </c>
      <c r="C16" s="25" t="n">
        <v>0.1</v>
      </c>
      <c r="D16" s="25" t="n">
        <v>0.2</v>
      </c>
      <c r="E16" s="25" t="n">
        <v>0.3</v>
      </c>
      <c r="F16" s="25" t="n">
        <v>0.4</v>
      </c>
      <c r="G16" s="25" t="n">
        <v>0.5</v>
      </c>
    </row>
    <row r="17">
      <c r="B17" s="10" t="n">
        <v>0</v>
      </c>
      <c r="C17" s="17">
        <f>Engine!R47</f>
        <v/>
      </c>
      <c r="D17" s="17">
        <f>Engine!R48</f>
        <v/>
      </c>
      <c r="E17" s="17">
        <f>Engine!R49</f>
        <v/>
      </c>
      <c r="F17" s="17">
        <f>Engine!R50</f>
        <v/>
      </c>
      <c r="G17" s="17">
        <f>Engine!R51</f>
        <v/>
      </c>
    </row>
    <row r="18">
      <c r="B18" s="10" t="n">
        <v>1</v>
      </c>
      <c r="C18" s="17">
        <f>Engine!R52</f>
        <v/>
      </c>
      <c r="D18" s="17">
        <f>Engine!R53</f>
        <v/>
      </c>
      <c r="E18" s="17">
        <f>Engine!R54</f>
        <v/>
      </c>
      <c r="F18" s="17">
        <f>Engine!R55</f>
        <v/>
      </c>
      <c r="G18" s="17">
        <f>Engine!R56</f>
        <v/>
      </c>
    </row>
    <row r="19">
      <c r="B19" s="10" t="n">
        <v>2</v>
      </c>
      <c r="C19" s="17">
        <f>Engine!R57</f>
        <v/>
      </c>
      <c r="D19" s="17">
        <f>Engine!R58</f>
        <v/>
      </c>
      <c r="E19" s="17">
        <f>Engine!R59</f>
        <v/>
      </c>
      <c r="F19" s="17">
        <f>Engine!R60</f>
        <v/>
      </c>
      <c r="G19" s="17">
        <f>Engine!R61</f>
        <v/>
      </c>
    </row>
    <row r="20">
      <c r="B20" s="10" t="n">
        <v>3</v>
      </c>
      <c r="C20" s="17">
        <f>Engine!R62</f>
        <v/>
      </c>
      <c r="D20" s="17">
        <f>Engine!R63</f>
        <v/>
      </c>
      <c r="E20" s="17">
        <f>Engine!R64</f>
        <v/>
      </c>
      <c r="F20" s="17">
        <f>Engine!R65</f>
        <v/>
      </c>
      <c r="G20" s="17">
        <f>Engine!R66</f>
        <v/>
      </c>
    </row>
    <row r="21">
      <c r="B21" s="10" t="n">
        <v>4</v>
      </c>
      <c r="C21" s="17">
        <f>Engine!R67</f>
        <v/>
      </c>
      <c r="D21" s="17">
        <f>Engine!R68</f>
        <v/>
      </c>
      <c r="E21" s="17">
        <f>Engine!R69</f>
        <v/>
      </c>
      <c r="F21" s="17">
        <f>Engine!R70</f>
        <v/>
      </c>
      <c r="G21" s="17">
        <f>Engine!R71</f>
        <v/>
      </c>
    </row>
    <row r="22">
      <c r="B22" s="10" t="n">
        <v>5</v>
      </c>
      <c r="C22" s="17">
        <f>Engine!R72</f>
        <v/>
      </c>
      <c r="D22" s="17">
        <f>Engine!R73</f>
        <v/>
      </c>
      <c r="E22" s="17">
        <f>Engine!R74</f>
        <v/>
      </c>
      <c r="F22" s="17">
        <f>Engine!R75</f>
        <v/>
      </c>
      <c r="G22" s="17">
        <f>Engine!R76</f>
        <v/>
      </c>
    </row>
    <row r="23">
      <c r="B23" s="10" t="n">
        <v>6</v>
      </c>
      <c r="C23" s="17">
        <f>Engine!R77</f>
        <v/>
      </c>
      <c r="D23" s="17">
        <f>Engine!R78</f>
        <v/>
      </c>
      <c r="E23" s="17">
        <f>Engine!R79</f>
        <v/>
      </c>
      <c r="F23" s="17">
        <f>Engine!R80</f>
        <v/>
      </c>
      <c r="G23" s="17">
        <f>Engine!R81</f>
        <v/>
      </c>
    </row>
    <row r="24">
      <c r="B24" s="10" t="n">
        <v>7</v>
      </c>
      <c r="C24" s="17">
        <f>Engine!R82</f>
        <v/>
      </c>
      <c r="D24" s="17">
        <f>Engine!R83</f>
        <v/>
      </c>
      <c r="E24" s="17">
        <f>Engine!R84</f>
        <v/>
      </c>
      <c r="F24" s="17">
        <f>Engine!R85</f>
        <v/>
      </c>
      <c r="G24" s="17">
        <f>Engine!R86</f>
        <v/>
      </c>
    </row>
    <row r="27">
      <c r="B27" s="3" t="inlineStr">
        <is>
          <t>3. Marketing spend vs. local traffic ceiling (7.5% = no draw)</t>
        </is>
      </c>
      <c r="C27" s="5" t="n"/>
      <c r="D27" s="5" t="n"/>
      <c r="E27" s="5" t="n"/>
      <c r="F27" s="5" t="n"/>
      <c r="G27" s="5" t="n"/>
      <c r="H27" s="5" t="n"/>
    </row>
    <row r="28">
      <c r="B28" s="24" t="inlineStr">
        <is>
          <t>Marketing ($) \ Locals % of visitors (ceiling)</t>
        </is>
      </c>
      <c r="C28" s="9" t="n">
        <v>0.075</v>
      </c>
      <c r="D28" s="9" t="n">
        <v>0.09</v>
      </c>
      <c r="E28" s="9" t="n">
        <v>0.1</v>
      </c>
      <c r="F28" s="9" t="n">
        <v>0.125</v>
      </c>
      <c r="G28" s="9" t="n">
        <v>0.15</v>
      </c>
      <c r="H28" s="9" t="n">
        <v>0.2</v>
      </c>
    </row>
    <row r="29">
      <c r="B29" s="11" t="n">
        <v>0</v>
      </c>
      <c r="C29" s="17">
        <f>Engine!R87</f>
        <v/>
      </c>
      <c r="D29" s="17">
        <f>Engine!R88</f>
        <v/>
      </c>
      <c r="E29" s="17">
        <f>Engine!R89</f>
        <v/>
      </c>
      <c r="F29" s="17">
        <f>Engine!R90</f>
        <v/>
      </c>
      <c r="G29" s="17">
        <f>Engine!R91</f>
        <v/>
      </c>
      <c r="H29" s="17">
        <f>Engine!R92</f>
        <v/>
      </c>
    </row>
    <row r="30">
      <c r="B30" s="11" t="n">
        <v>2500</v>
      </c>
      <c r="C30" s="17">
        <f>Engine!R93</f>
        <v/>
      </c>
      <c r="D30" s="17">
        <f>Engine!R94</f>
        <v/>
      </c>
      <c r="E30" s="17">
        <f>Engine!R95</f>
        <v/>
      </c>
      <c r="F30" s="17">
        <f>Engine!R96</f>
        <v/>
      </c>
      <c r="G30" s="17">
        <f>Engine!R97</f>
        <v/>
      </c>
      <c r="H30" s="17">
        <f>Engine!R98</f>
        <v/>
      </c>
    </row>
    <row r="31">
      <c r="B31" s="11" t="n">
        <v>5000</v>
      </c>
      <c r="C31" s="17">
        <f>Engine!R99</f>
        <v/>
      </c>
      <c r="D31" s="17">
        <f>Engine!R100</f>
        <v/>
      </c>
      <c r="E31" s="17">
        <f>Engine!R101</f>
        <v/>
      </c>
      <c r="F31" s="17">
        <f>Engine!R102</f>
        <v/>
      </c>
      <c r="G31" s="17">
        <f>Engine!R103</f>
        <v/>
      </c>
      <c r="H31" s="17">
        <f>Engine!R104</f>
        <v/>
      </c>
    </row>
    <row r="32">
      <c r="B32" s="11" t="n">
        <v>10000</v>
      </c>
      <c r="C32" s="17">
        <f>Engine!R105</f>
        <v/>
      </c>
      <c r="D32" s="17">
        <f>Engine!R106</f>
        <v/>
      </c>
      <c r="E32" s="17">
        <f>Engine!R107</f>
        <v/>
      </c>
      <c r="F32" s="17">
        <f>Engine!R108</f>
        <v/>
      </c>
      <c r="G32" s="17">
        <f>Engine!R109</f>
        <v/>
      </c>
      <c r="H32" s="17">
        <f>Engine!R110</f>
        <v/>
      </c>
    </row>
    <row r="33">
      <c r="B33" s="11" t="n">
        <v>15000</v>
      </c>
      <c r="C33" s="17">
        <f>Engine!R111</f>
        <v/>
      </c>
      <c r="D33" s="17">
        <f>Engine!R112</f>
        <v/>
      </c>
      <c r="E33" s="17">
        <f>Engine!R113</f>
        <v/>
      </c>
      <c r="F33" s="17">
        <f>Engine!R114</f>
        <v/>
      </c>
      <c r="G33" s="17">
        <f>Engine!R115</f>
        <v/>
      </c>
      <c r="H33" s="17">
        <f>Engine!R116</f>
        <v/>
      </c>
    </row>
    <row r="34">
      <c r="B34" s="11" t="n">
        <v>20000</v>
      </c>
      <c r="C34" s="17">
        <f>Engine!R117</f>
        <v/>
      </c>
      <c r="D34" s="17">
        <f>Engine!R118</f>
        <v/>
      </c>
      <c r="E34" s="17">
        <f>Engine!R119</f>
        <v/>
      </c>
      <c r="F34" s="17">
        <f>Engine!R120</f>
        <v/>
      </c>
      <c r="G34" s="17">
        <f>Engine!R121</f>
        <v/>
      </c>
      <c r="H34" s="17">
        <f>Engine!R122</f>
        <v/>
      </c>
    </row>
    <row r="37">
      <c r="B37" s="3" t="inlineStr">
        <is>
          <t>4. Local traffic ceiling vs. gift shop spend (base marketing)</t>
        </is>
      </c>
      <c r="C37" s="5" t="n"/>
      <c r="D37" s="5" t="n"/>
      <c r="E37" s="5" t="n"/>
      <c r="F37" s="5" t="n"/>
      <c r="G37" s="5" t="n"/>
      <c r="H37" s="5" t="n"/>
      <c r="I37" s="5" t="n"/>
    </row>
    <row r="38">
      <c r="B38" s="24" t="inlineStr">
        <is>
          <t>Locals % ceiling \ Gift shop $ / new local</t>
        </is>
      </c>
      <c r="C38" s="10" t="n">
        <v>0</v>
      </c>
      <c r="D38" s="10" t="n">
        <v>1</v>
      </c>
      <c r="E38" s="10" t="n">
        <v>2.5</v>
      </c>
      <c r="F38" s="10" t="n">
        <v>5</v>
      </c>
      <c r="G38" s="10" t="n">
        <v>7.5</v>
      </c>
      <c r="H38" s="10" t="n">
        <v>10</v>
      </c>
      <c r="I38" s="10" t="n">
        <v>15</v>
      </c>
    </row>
    <row r="39">
      <c r="B39" s="9" t="n">
        <v>0.075</v>
      </c>
      <c r="C39" s="17">
        <f>Engine!R123</f>
        <v/>
      </c>
      <c r="D39" s="17">
        <f>Engine!R124</f>
        <v/>
      </c>
      <c r="E39" s="17">
        <f>Engine!R125</f>
        <v/>
      </c>
      <c r="F39" s="17">
        <f>Engine!R126</f>
        <v/>
      </c>
      <c r="G39" s="17">
        <f>Engine!R127</f>
        <v/>
      </c>
      <c r="H39" s="17">
        <f>Engine!R128</f>
        <v/>
      </c>
      <c r="I39" s="17">
        <f>Engine!R129</f>
        <v/>
      </c>
    </row>
    <row r="40">
      <c r="B40" s="9" t="n">
        <v>0.09</v>
      </c>
      <c r="C40" s="17">
        <f>Engine!R130</f>
        <v/>
      </c>
      <c r="D40" s="17">
        <f>Engine!R131</f>
        <v/>
      </c>
      <c r="E40" s="17">
        <f>Engine!R132</f>
        <v/>
      </c>
      <c r="F40" s="17">
        <f>Engine!R133</f>
        <v/>
      </c>
      <c r="G40" s="17">
        <f>Engine!R134</f>
        <v/>
      </c>
      <c r="H40" s="17">
        <f>Engine!R135</f>
        <v/>
      </c>
      <c r="I40" s="17">
        <f>Engine!R136</f>
        <v/>
      </c>
    </row>
    <row r="41">
      <c r="B41" s="9" t="n">
        <v>0.1</v>
      </c>
      <c r="C41" s="17">
        <f>Engine!R137</f>
        <v/>
      </c>
      <c r="D41" s="17">
        <f>Engine!R138</f>
        <v/>
      </c>
      <c r="E41" s="17">
        <f>Engine!R139</f>
        <v/>
      </c>
      <c r="F41" s="17">
        <f>Engine!R140</f>
        <v/>
      </c>
      <c r="G41" s="17">
        <f>Engine!R141</f>
        <v/>
      </c>
      <c r="H41" s="17">
        <f>Engine!R142</f>
        <v/>
      </c>
      <c r="I41" s="17">
        <f>Engine!R143</f>
        <v/>
      </c>
    </row>
    <row r="42">
      <c r="B42" s="9" t="n">
        <v>0.125</v>
      </c>
      <c r="C42" s="17">
        <f>Engine!R144</f>
        <v/>
      </c>
      <c r="D42" s="17">
        <f>Engine!R145</f>
        <v/>
      </c>
      <c r="E42" s="17">
        <f>Engine!R146</f>
        <v/>
      </c>
      <c r="F42" s="17">
        <f>Engine!R147</f>
        <v/>
      </c>
      <c r="G42" s="17">
        <f>Engine!R148</f>
        <v/>
      </c>
      <c r="H42" s="17">
        <f>Engine!R149</f>
        <v/>
      </c>
      <c r="I42" s="17">
        <f>Engine!R150</f>
        <v/>
      </c>
    </row>
    <row r="43">
      <c r="B43" s="9" t="n">
        <v>0.15</v>
      </c>
      <c r="C43" s="17">
        <f>Engine!R151</f>
        <v/>
      </c>
      <c r="D43" s="17">
        <f>Engine!R152</f>
        <v/>
      </c>
      <c r="E43" s="17">
        <f>Engine!R153</f>
        <v/>
      </c>
      <c r="F43" s="17">
        <f>Engine!R154</f>
        <v/>
      </c>
      <c r="G43" s="17">
        <f>Engine!R155</f>
        <v/>
      </c>
      <c r="H43" s="17">
        <f>Engine!R156</f>
        <v/>
      </c>
      <c r="I43" s="17">
        <f>Engine!R157</f>
        <v/>
      </c>
    </row>
    <row r="44">
      <c r="B44" s="9" t="n">
        <v>0.2</v>
      </c>
      <c r="C44" s="17">
        <f>Engine!R158</f>
        <v/>
      </c>
      <c r="D44" s="17">
        <f>Engine!R159</f>
        <v/>
      </c>
      <c r="E44" s="17">
        <f>Engine!R160</f>
        <v/>
      </c>
      <c r="F44" s="17">
        <f>Engine!R161</f>
        <v/>
      </c>
      <c r="G44" s="17">
        <f>Engine!R162</f>
        <v/>
      </c>
      <c r="H44" s="17">
        <f>Engine!R163</f>
        <v/>
      </c>
      <c r="I44" s="17">
        <f>Engine!R164</f>
        <v/>
      </c>
    </row>
    <row r="47">
      <c r="B47" s="3" t="inlineStr">
        <is>
          <t>5. Take-up and payment move together (base marketing)</t>
        </is>
      </c>
      <c r="C47" s="5" t="n"/>
      <c r="D47" s="5" t="n"/>
      <c r="E47" s="5" t="n"/>
      <c r="F47" s="5" t="n"/>
      <c r="G47" s="5" t="n"/>
    </row>
    <row r="48">
      <c r="B48" s="26" t="inlineStr">
        <is>
          <t>Scenario</t>
        </is>
      </c>
      <c r="C48" s="26" t="inlineStr">
        <is>
          <t>Payment ratio</t>
        </is>
      </c>
      <c r="D48" s="26" t="inlineStr">
        <is>
          <t>Take-up</t>
        </is>
      </c>
      <c r="E48" s="26" t="inlineStr">
        <is>
          <t>Avg payment ($)</t>
        </is>
      </c>
      <c r="F48" s="26" t="inlineStr">
        <is>
          <t>Net profit ($)</t>
        </is>
      </c>
      <c r="G48" s="26" t="inlineStr">
        <is>
          <t>Net profit, no gift shop ($)</t>
        </is>
      </c>
    </row>
    <row r="49">
      <c r="B49" s="6" t="inlineStr">
        <is>
          <t>Payment-led: few take it, they pay well</t>
        </is>
      </c>
      <c r="C49" s="9" t="n">
        <v>0.8</v>
      </c>
      <c r="D49" s="25" t="n">
        <v>0.1</v>
      </c>
      <c r="E49" s="15">
        <f>PWYW_Suggested_Price*C49*Fade_Multiplier</f>
        <v/>
      </c>
      <c r="F49" s="17">
        <f>Engine!R165</f>
        <v/>
      </c>
      <c r="G49" s="17">
        <f>Engine!R165-Engine!P165*Campaign_Days</f>
        <v/>
      </c>
    </row>
    <row r="50">
      <c r="B50" s="6" t="inlineStr">
        <is>
          <t>Balanced (near the base case)</t>
        </is>
      </c>
      <c r="C50" s="9" t="n">
        <v>0.6</v>
      </c>
      <c r="D50" s="25" t="n">
        <v>0.2</v>
      </c>
      <c r="E50" s="15">
        <f>PWYW_Suggested_Price*C50*Fade_Multiplier</f>
        <v/>
      </c>
      <c r="F50" s="17">
        <f>Engine!R166</f>
        <v/>
      </c>
      <c r="G50" s="17">
        <f>Engine!R166-Engine!P166*Campaign_Days</f>
        <v/>
      </c>
    </row>
    <row r="51">
      <c r="B51" s="6" t="inlineStr">
        <is>
          <t>Volume-led: more take it, pay less</t>
        </is>
      </c>
      <c r="C51" s="9" t="n">
        <v>0.3</v>
      </c>
      <c r="D51" s="25" t="n">
        <v>0.4</v>
      </c>
      <c r="E51" s="15">
        <f>PWYW_Suggested_Price*C51*Fade_Multiplier</f>
        <v/>
      </c>
      <c r="F51" s="17">
        <f>Engine!R167</f>
        <v/>
      </c>
      <c r="G51" s="17">
        <f>Engine!R167-Engine!P167*Campaign_Days</f>
        <v/>
      </c>
    </row>
    <row r="52">
      <c r="B52" s="6" t="inlineStr">
        <is>
          <t>Giveaway: nearly everyone, almost nothing</t>
        </is>
      </c>
      <c r="C52" s="9" t="n">
        <v>0.1</v>
      </c>
      <c r="D52" s="25" t="n">
        <v>0.5</v>
      </c>
      <c r="E52" s="15">
        <f>PWYW_Suggested_Price*C52*Fade_Multiplier</f>
        <v/>
      </c>
      <c r="F52" s="17">
        <f>Engine!R168</f>
        <v/>
      </c>
      <c r="G52" s="17">
        <f>Engine!R168-Engine!P168*Campaign_Days</f>
        <v/>
      </c>
    </row>
    <row r="53">
      <c r="B53" s="2" t="inlineStr">
        <is>
          <t>Scenario pairs are PLACEHOLDERS that illustrate the trade-off between payment and take-up, not estimates.</t>
        </is>
      </c>
    </row>
    <row r="54">
      <c r="B54" s="2" t="inlineStr">
        <is>
          <t>Tables 6-7 solve for the draw PWYW needs, so no assumption about how many locals marketing attracts is required. Compare each cell with the rise in local visitors you think a campaign of that size could achieve.</t>
        </is>
      </c>
    </row>
    <row r="55">
      <c r="B55" s="3" t="inlineStr">
        <is>
          <t>6. BREAK-EVEN added locals per day (marketing spend vs. gift shop spend)</t>
        </is>
      </c>
      <c r="C55" s="5" t="n"/>
      <c r="D55" s="5" t="n"/>
      <c r="E55" s="5" t="n"/>
      <c r="F55" s="5" t="n"/>
      <c r="G55" s="5" t="n"/>
      <c r="H55" s="5" t="n"/>
      <c r="I55" s="5" t="n"/>
    </row>
    <row r="56">
      <c r="B56" s="24" t="inlineStr">
        <is>
          <t>Marketing ($) \ Gift shop $ / local</t>
        </is>
      </c>
      <c r="C56" s="15">
        <f>C$6</f>
        <v/>
      </c>
      <c r="D56" s="15">
        <f>D$6</f>
        <v/>
      </c>
      <c r="E56" s="15">
        <f>E$6</f>
        <v/>
      </c>
      <c r="F56" s="15">
        <f>F$6</f>
        <v/>
      </c>
      <c r="G56" s="15">
        <f>G$6</f>
        <v/>
      </c>
      <c r="H56" s="15">
        <f>H$6</f>
        <v/>
      </c>
      <c r="I56" s="15">
        <f>I$6</f>
        <v/>
      </c>
    </row>
    <row r="57">
      <c r="B57" s="17">
        <f>$B$7</f>
        <v/>
      </c>
      <c r="C57" s="13">
        <f>IF((Local_AudioTour_Rate_PWYW*(Fee_Keep*Average_PWYW-Headset_Cost)+C$56)&lt;=0,"n/a",($B57/Campaign_Days-Locals_Base*(1-EXP(-$B57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$56))</f>
        <v/>
      </c>
      <c r="D57" s="13">
        <f>IF((Local_AudioTour_Rate_PWYW*(Fee_Keep*Average_PWYW-Headset_Cost)+D$56)&lt;=0,"n/a",($B57/Campaign_Days-Locals_Base*(1-EXP(-$B57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$56))</f>
        <v/>
      </c>
      <c r="E57" s="13">
        <f>IF((Local_AudioTour_Rate_PWYW*(Fee_Keep*Average_PWYW-Headset_Cost)+E$56)&lt;=0,"n/a",($B57/Campaign_Days-Locals_Base*(1-EXP(-$B57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$56))</f>
        <v/>
      </c>
      <c r="F57" s="13">
        <f>IF((Local_AudioTour_Rate_PWYW*(Fee_Keep*Average_PWYW-Headset_Cost)+F$56)&lt;=0,"n/a",($B57/Campaign_Days-Locals_Base*(1-EXP(-$B57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$56))</f>
        <v/>
      </c>
      <c r="G57" s="13">
        <f>IF((Local_AudioTour_Rate_PWYW*(Fee_Keep*Average_PWYW-Headset_Cost)+G$56)&lt;=0,"n/a",($B57/Campaign_Days-Locals_Base*(1-EXP(-$B57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$56))</f>
        <v/>
      </c>
      <c r="H57" s="13">
        <f>IF((Local_AudioTour_Rate_PWYW*(Fee_Keep*Average_PWYW-Headset_Cost)+H$56)&lt;=0,"n/a",($B57/Campaign_Days-Locals_Base*(1-EXP(-$B57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$56))</f>
        <v/>
      </c>
      <c r="I57" s="13">
        <f>IF((Local_AudioTour_Rate_PWYW*(Fee_Keep*Average_PWYW-Headset_Cost)+I$56)&lt;=0,"n/a",($B57/Campaign_Days-Locals_Base*(1-EXP(-$B57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$56))</f>
        <v/>
      </c>
    </row>
    <row r="58">
      <c r="B58" s="17">
        <f>$B$8</f>
        <v/>
      </c>
      <c r="C58" s="13">
        <f>IF((Local_AudioTour_Rate_PWYW*(Fee_Keep*Average_PWYW-Headset_Cost)+C$56)&lt;=0,"n/a",($B58/Campaign_Days-Locals_Base*(1-EXP(-$B58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$56))</f>
        <v/>
      </c>
      <c r="D58" s="13">
        <f>IF((Local_AudioTour_Rate_PWYW*(Fee_Keep*Average_PWYW-Headset_Cost)+D$56)&lt;=0,"n/a",($B58/Campaign_Days-Locals_Base*(1-EXP(-$B58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$56))</f>
        <v/>
      </c>
      <c r="E58" s="13">
        <f>IF((Local_AudioTour_Rate_PWYW*(Fee_Keep*Average_PWYW-Headset_Cost)+E$56)&lt;=0,"n/a",($B58/Campaign_Days-Locals_Base*(1-EXP(-$B58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$56))</f>
        <v/>
      </c>
      <c r="F58" s="13">
        <f>IF((Local_AudioTour_Rate_PWYW*(Fee_Keep*Average_PWYW-Headset_Cost)+F$56)&lt;=0,"n/a",($B58/Campaign_Days-Locals_Base*(1-EXP(-$B58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$56))</f>
        <v/>
      </c>
      <c r="G58" s="13">
        <f>IF((Local_AudioTour_Rate_PWYW*(Fee_Keep*Average_PWYW-Headset_Cost)+G$56)&lt;=0,"n/a",($B58/Campaign_Days-Locals_Base*(1-EXP(-$B58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$56))</f>
        <v/>
      </c>
      <c r="H58" s="13">
        <f>IF((Local_AudioTour_Rate_PWYW*(Fee_Keep*Average_PWYW-Headset_Cost)+H$56)&lt;=0,"n/a",($B58/Campaign_Days-Locals_Base*(1-EXP(-$B58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$56))</f>
        <v/>
      </c>
      <c r="I58" s="13">
        <f>IF((Local_AudioTour_Rate_PWYW*(Fee_Keep*Average_PWYW-Headset_Cost)+I$56)&lt;=0,"n/a",($B58/Campaign_Days-Locals_Base*(1-EXP(-$B58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$56))</f>
        <v/>
      </c>
    </row>
    <row r="59">
      <c r="B59" s="17">
        <f>$B$9</f>
        <v/>
      </c>
      <c r="C59" s="13">
        <f>IF((Local_AudioTour_Rate_PWYW*(Fee_Keep*Average_PWYW-Headset_Cost)+C$56)&lt;=0,"n/a",($B59/Campaign_Days-Locals_Base*(1-EXP(-$B59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$56))</f>
        <v/>
      </c>
      <c r="D59" s="13">
        <f>IF((Local_AudioTour_Rate_PWYW*(Fee_Keep*Average_PWYW-Headset_Cost)+D$56)&lt;=0,"n/a",($B59/Campaign_Days-Locals_Base*(1-EXP(-$B59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$56))</f>
        <v/>
      </c>
      <c r="E59" s="13">
        <f>IF((Local_AudioTour_Rate_PWYW*(Fee_Keep*Average_PWYW-Headset_Cost)+E$56)&lt;=0,"n/a",($B59/Campaign_Days-Locals_Base*(1-EXP(-$B59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$56))</f>
        <v/>
      </c>
      <c r="F59" s="13">
        <f>IF((Local_AudioTour_Rate_PWYW*(Fee_Keep*Average_PWYW-Headset_Cost)+F$56)&lt;=0,"n/a",($B59/Campaign_Days-Locals_Base*(1-EXP(-$B59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$56))</f>
        <v/>
      </c>
      <c r="G59" s="13">
        <f>IF((Local_AudioTour_Rate_PWYW*(Fee_Keep*Average_PWYW-Headset_Cost)+G$56)&lt;=0,"n/a",($B59/Campaign_Days-Locals_Base*(1-EXP(-$B59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$56))</f>
        <v/>
      </c>
      <c r="H59" s="13">
        <f>IF((Local_AudioTour_Rate_PWYW*(Fee_Keep*Average_PWYW-Headset_Cost)+H$56)&lt;=0,"n/a",($B59/Campaign_Days-Locals_Base*(1-EXP(-$B59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$56))</f>
        <v/>
      </c>
      <c r="I59" s="13">
        <f>IF((Local_AudioTour_Rate_PWYW*(Fee_Keep*Average_PWYW-Headset_Cost)+I$56)&lt;=0,"n/a",($B59/Campaign_Days-Locals_Base*(1-EXP(-$B59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$56))</f>
        <v/>
      </c>
    </row>
    <row r="60">
      <c r="B60" s="17">
        <f>$B$10</f>
        <v/>
      </c>
      <c r="C60" s="13">
        <f>IF((Local_AudioTour_Rate_PWYW*(Fee_Keep*Average_PWYW-Headset_Cost)+C$56)&lt;=0,"n/a",($B60/Campaign_Days-Locals_Base*(1-EXP(-$B60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$56))</f>
        <v/>
      </c>
      <c r="D60" s="13">
        <f>IF((Local_AudioTour_Rate_PWYW*(Fee_Keep*Average_PWYW-Headset_Cost)+D$56)&lt;=0,"n/a",($B60/Campaign_Days-Locals_Base*(1-EXP(-$B60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$56))</f>
        <v/>
      </c>
      <c r="E60" s="13">
        <f>IF((Local_AudioTour_Rate_PWYW*(Fee_Keep*Average_PWYW-Headset_Cost)+E$56)&lt;=0,"n/a",($B60/Campaign_Days-Locals_Base*(1-EXP(-$B60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$56))</f>
        <v/>
      </c>
      <c r="F60" s="13">
        <f>IF((Local_AudioTour_Rate_PWYW*(Fee_Keep*Average_PWYW-Headset_Cost)+F$56)&lt;=0,"n/a",($B60/Campaign_Days-Locals_Base*(1-EXP(-$B60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$56))</f>
        <v/>
      </c>
      <c r="G60" s="13">
        <f>IF((Local_AudioTour_Rate_PWYW*(Fee_Keep*Average_PWYW-Headset_Cost)+G$56)&lt;=0,"n/a",($B60/Campaign_Days-Locals_Base*(1-EXP(-$B60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$56))</f>
        <v/>
      </c>
      <c r="H60" s="13">
        <f>IF((Local_AudioTour_Rate_PWYW*(Fee_Keep*Average_PWYW-Headset_Cost)+H$56)&lt;=0,"n/a",($B60/Campaign_Days-Locals_Base*(1-EXP(-$B60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$56))</f>
        <v/>
      </c>
      <c r="I60" s="13">
        <f>IF((Local_AudioTour_Rate_PWYW*(Fee_Keep*Average_PWYW-Headset_Cost)+I$56)&lt;=0,"n/a",($B60/Campaign_Days-Locals_Base*(1-EXP(-$B60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$56))</f>
        <v/>
      </c>
    </row>
    <row r="61">
      <c r="B61" s="17">
        <f>$B$11</f>
        <v/>
      </c>
      <c r="C61" s="13">
        <f>IF((Local_AudioTour_Rate_PWYW*(Fee_Keep*Average_PWYW-Headset_Cost)+C$56)&lt;=0,"n/a",($B61/Campaign_Days-Locals_Base*(1-EXP(-$B61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$56))</f>
        <v/>
      </c>
      <c r="D61" s="13">
        <f>IF((Local_AudioTour_Rate_PWYW*(Fee_Keep*Average_PWYW-Headset_Cost)+D$56)&lt;=0,"n/a",($B61/Campaign_Days-Locals_Base*(1-EXP(-$B61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$56))</f>
        <v/>
      </c>
      <c r="E61" s="13">
        <f>IF((Local_AudioTour_Rate_PWYW*(Fee_Keep*Average_PWYW-Headset_Cost)+E$56)&lt;=0,"n/a",($B61/Campaign_Days-Locals_Base*(1-EXP(-$B61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$56))</f>
        <v/>
      </c>
      <c r="F61" s="13">
        <f>IF((Local_AudioTour_Rate_PWYW*(Fee_Keep*Average_PWYW-Headset_Cost)+F$56)&lt;=0,"n/a",($B61/Campaign_Days-Locals_Base*(1-EXP(-$B61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$56))</f>
        <v/>
      </c>
      <c r="G61" s="13">
        <f>IF((Local_AudioTour_Rate_PWYW*(Fee_Keep*Average_PWYW-Headset_Cost)+G$56)&lt;=0,"n/a",($B61/Campaign_Days-Locals_Base*(1-EXP(-$B61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$56))</f>
        <v/>
      </c>
      <c r="H61" s="13">
        <f>IF((Local_AudioTour_Rate_PWYW*(Fee_Keep*Average_PWYW-Headset_Cost)+H$56)&lt;=0,"n/a",($B61/Campaign_Days-Locals_Base*(1-EXP(-$B61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$56))</f>
        <v/>
      </c>
      <c r="I61" s="13">
        <f>IF((Local_AudioTour_Rate_PWYW*(Fee_Keep*Average_PWYW-Headset_Cost)+I$56)&lt;=0,"n/a",($B61/Campaign_Days-Locals_Base*(1-EXP(-$B61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$56))</f>
        <v/>
      </c>
    </row>
    <row r="62">
      <c r="B62" s="17">
        <f>$B$12</f>
        <v/>
      </c>
      <c r="C62" s="13">
        <f>IF((Local_AudioTour_Rate_PWYW*(Fee_Keep*Average_PWYW-Headset_Cost)+C$56)&lt;=0,"n/a",($B62/Campaign_Days-Locals_Base*(1-EXP(-$B62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$56))</f>
        <v/>
      </c>
      <c r="D62" s="13">
        <f>IF((Local_AudioTour_Rate_PWYW*(Fee_Keep*Average_PWYW-Headset_Cost)+D$56)&lt;=0,"n/a",($B62/Campaign_Days-Locals_Base*(1-EXP(-$B62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$56))</f>
        <v/>
      </c>
      <c r="E62" s="13">
        <f>IF((Local_AudioTour_Rate_PWYW*(Fee_Keep*Average_PWYW-Headset_Cost)+E$56)&lt;=0,"n/a",($B62/Campaign_Days-Locals_Base*(1-EXP(-$B62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$56))</f>
        <v/>
      </c>
      <c r="F62" s="13">
        <f>IF((Local_AudioTour_Rate_PWYW*(Fee_Keep*Average_PWYW-Headset_Cost)+F$56)&lt;=0,"n/a",($B62/Campaign_Days-Locals_Base*(1-EXP(-$B62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$56))</f>
        <v/>
      </c>
      <c r="G62" s="13">
        <f>IF((Local_AudioTour_Rate_PWYW*(Fee_Keep*Average_PWYW-Headset_Cost)+G$56)&lt;=0,"n/a",($B62/Campaign_Days-Locals_Base*(1-EXP(-$B62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$56))</f>
        <v/>
      </c>
      <c r="H62" s="13">
        <f>IF((Local_AudioTour_Rate_PWYW*(Fee_Keep*Average_PWYW-Headset_Cost)+H$56)&lt;=0,"n/a",($B62/Campaign_Days-Locals_Base*(1-EXP(-$B62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$56))</f>
        <v/>
      </c>
      <c r="I62" s="13">
        <f>IF((Local_AudioTour_Rate_PWYW*(Fee_Keep*Average_PWYW-Headset_Cost)+I$56)&lt;=0,"n/a",($B62/Campaign_Days-Locals_Base*(1-EXP(-$B62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$56))</f>
        <v/>
      </c>
    </row>
    <row r="65">
      <c r="B65" s="3" t="inlineStr">
        <is>
          <t>7. BREAK-EVEN as % rise in today's local visitors</t>
        </is>
      </c>
      <c r="C65" s="5" t="n"/>
      <c r="D65" s="5" t="n"/>
      <c r="E65" s="5" t="n"/>
      <c r="F65" s="5" t="n"/>
      <c r="G65" s="5" t="n"/>
      <c r="H65" s="5" t="n"/>
      <c r="I65" s="5" t="n"/>
    </row>
    <row r="66">
      <c r="B66" s="24" t="inlineStr">
        <is>
          <t>Marketing ($) \ Gift shop $ / local</t>
        </is>
      </c>
      <c r="C66" s="15">
        <f>C$6</f>
        <v/>
      </c>
      <c r="D66" s="15">
        <f>D$6</f>
        <v/>
      </c>
      <c r="E66" s="15">
        <f>E$6</f>
        <v/>
      </c>
      <c r="F66" s="15">
        <f>F$6</f>
        <v/>
      </c>
      <c r="G66" s="15">
        <f>G$6</f>
        <v/>
      </c>
      <c r="H66" s="15">
        <f>H$6</f>
        <v/>
      </c>
      <c r="I66" s="15">
        <f>I$6</f>
        <v/>
      </c>
    </row>
    <row r="67">
      <c r="B67" s="17">
        <f>$B$7</f>
        <v/>
      </c>
      <c r="C67" s="14">
        <f>IF(ISNUMBER(IF((Local_AudioTour_Rate_PWYW*(Fee_Keep*Average_PWYW-Headset_Cost)+C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),IF((Local_AudioTour_Rate_PWYW*(Fee_Keep*Average_PWYW-Headset_Cost)+C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/Locals_Base,"n/a")</f>
        <v/>
      </c>
      <c r="D67" s="14">
        <f>IF(ISNUMBER(IF((Local_AudioTour_Rate_PWYW*(Fee_Keep*Average_PWYW-Headset_Cost)+D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),IF((Local_AudioTour_Rate_PWYW*(Fee_Keep*Average_PWYW-Headset_Cost)+D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/Locals_Base,"n/a")</f>
        <v/>
      </c>
      <c r="E67" s="14">
        <f>IF(ISNUMBER(IF((Local_AudioTour_Rate_PWYW*(Fee_Keep*Average_PWYW-Headset_Cost)+E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),IF((Local_AudioTour_Rate_PWYW*(Fee_Keep*Average_PWYW-Headset_Cost)+E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/Locals_Base,"n/a")</f>
        <v/>
      </c>
      <c r="F67" s="14">
        <f>IF(ISNUMBER(IF((Local_AudioTour_Rate_PWYW*(Fee_Keep*Average_PWYW-Headset_Cost)+F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),IF((Local_AudioTour_Rate_PWYW*(Fee_Keep*Average_PWYW-Headset_Cost)+F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/Locals_Base,"n/a")</f>
        <v/>
      </c>
      <c r="G67" s="14">
        <f>IF(ISNUMBER(IF((Local_AudioTour_Rate_PWYW*(Fee_Keep*Average_PWYW-Headset_Cost)+G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),IF((Local_AudioTour_Rate_PWYW*(Fee_Keep*Average_PWYW-Headset_Cost)+G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/Locals_Base,"n/a")</f>
        <v/>
      </c>
      <c r="H67" s="14">
        <f>IF(ISNUMBER(IF((Local_AudioTour_Rate_PWYW*(Fee_Keep*Average_PWYW-Headset_Cost)+H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),IF((Local_AudioTour_Rate_PWYW*(Fee_Keep*Average_PWYW-Headset_Cost)+H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/Locals_Base,"n/a")</f>
        <v/>
      </c>
      <c r="I67" s="14">
        <f>IF(ISNUMBER(IF((Local_AudioTour_Rate_PWYW*(Fee_Keep*Average_PWYW-Headset_Cost)+I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),IF((Local_AudioTour_Rate_PWYW*(Fee_Keep*Average_PWYW-Headset_Cost)+I$66)&lt;=0,"n/a",($B67/Campaign_Days-Locals_Base*(1-EXP(-$B67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/Locals_Base,"n/a")</f>
        <v/>
      </c>
    </row>
    <row r="68">
      <c r="B68" s="17">
        <f>$B$8</f>
        <v/>
      </c>
      <c r="C68" s="14">
        <f>IF(ISNUMBER(IF((Local_AudioTour_Rate_PWYW*(Fee_Keep*Average_PWYW-Headset_Cost)+C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),IF((Local_AudioTour_Rate_PWYW*(Fee_Keep*Average_PWYW-Headset_Cost)+C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/Locals_Base,"n/a")</f>
        <v/>
      </c>
      <c r="D68" s="14">
        <f>IF(ISNUMBER(IF((Local_AudioTour_Rate_PWYW*(Fee_Keep*Average_PWYW-Headset_Cost)+D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),IF((Local_AudioTour_Rate_PWYW*(Fee_Keep*Average_PWYW-Headset_Cost)+D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/Locals_Base,"n/a")</f>
        <v/>
      </c>
      <c r="E68" s="14">
        <f>IF(ISNUMBER(IF((Local_AudioTour_Rate_PWYW*(Fee_Keep*Average_PWYW-Headset_Cost)+E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),IF((Local_AudioTour_Rate_PWYW*(Fee_Keep*Average_PWYW-Headset_Cost)+E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/Locals_Base,"n/a")</f>
        <v/>
      </c>
      <c r="F68" s="14">
        <f>IF(ISNUMBER(IF((Local_AudioTour_Rate_PWYW*(Fee_Keep*Average_PWYW-Headset_Cost)+F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),IF((Local_AudioTour_Rate_PWYW*(Fee_Keep*Average_PWYW-Headset_Cost)+F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/Locals_Base,"n/a")</f>
        <v/>
      </c>
      <c r="G68" s="14">
        <f>IF(ISNUMBER(IF((Local_AudioTour_Rate_PWYW*(Fee_Keep*Average_PWYW-Headset_Cost)+G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),IF((Local_AudioTour_Rate_PWYW*(Fee_Keep*Average_PWYW-Headset_Cost)+G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/Locals_Base,"n/a")</f>
        <v/>
      </c>
      <c r="H68" s="14">
        <f>IF(ISNUMBER(IF((Local_AudioTour_Rate_PWYW*(Fee_Keep*Average_PWYW-Headset_Cost)+H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),IF((Local_AudioTour_Rate_PWYW*(Fee_Keep*Average_PWYW-Headset_Cost)+H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/Locals_Base,"n/a")</f>
        <v/>
      </c>
      <c r="I68" s="14">
        <f>IF(ISNUMBER(IF((Local_AudioTour_Rate_PWYW*(Fee_Keep*Average_PWYW-Headset_Cost)+I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),IF((Local_AudioTour_Rate_PWYW*(Fee_Keep*Average_PWYW-Headset_Cost)+I$66)&lt;=0,"n/a",($B68/Campaign_Days-Locals_Base*(1-EXP(-$B68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/Locals_Base,"n/a")</f>
        <v/>
      </c>
    </row>
    <row r="69">
      <c r="B69" s="17">
        <f>$B$9</f>
        <v/>
      </c>
      <c r="C69" s="14">
        <f>IF(ISNUMBER(IF((Local_AudioTour_Rate_PWYW*(Fee_Keep*Average_PWYW-Headset_Cost)+C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),IF((Local_AudioTour_Rate_PWYW*(Fee_Keep*Average_PWYW-Headset_Cost)+C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/Locals_Base,"n/a")</f>
        <v/>
      </c>
      <c r="D69" s="14">
        <f>IF(ISNUMBER(IF((Local_AudioTour_Rate_PWYW*(Fee_Keep*Average_PWYW-Headset_Cost)+D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),IF((Local_AudioTour_Rate_PWYW*(Fee_Keep*Average_PWYW-Headset_Cost)+D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/Locals_Base,"n/a")</f>
        <v/>
      </c>
      <c r="E69" s="14">
        <f>IF(ISNUMBER(IF((Local_AudioTour_Rate_PWYW*(Fee_Keep*Average_PWYW-Headset_Cost)+E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),IF((Local_AudioTour_Rate_PWYW*(Fee_Keep*Average_PWYW-Headset_Cost)+E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/Locals_Base,"n/a")</f>
        <v/>
      </c>
      <c r="F69" s="14">
        <f>IF(ISNUMBER(IF((Local_AudioTour_Rate_PWYW*(Fee_Keep*Average_PWYW-Headset_Cost)+F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),IF((Local_AudioTour_Rate_PWYW*(Fee_Keep*Average_PWYW-Headset_Cost)+F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/Locals_Base,"n/a")</f>
        <v/>
      </c>
      <c r="G69" s="14">
        <f>IF(ISNUMBER(IF((Local_AudioTour_Rate_PWYW*(Fee_Keep*Average_PWYW-Headset_Cost)+G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),IF((Local_AudioTour_Rate_PWYW*(Fee_Keep*Average_PWYW-Headset_Cost)+G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/Locals_Base,"n/a")</f>
        <v/>
      </c>
      <c r="H69" s="14">
        <f>IF(ISNUMBER(IF((Local_AudioTour_Rate_PWYW*(Fee_Keep*Average_PWYW-Headset_Cost)+H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),IF((Local_AudioTour_Rate_PWYW*(Fee_Keep*Average_PWYW-Headset_Cost)+H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/Locals_Base,"n/a")</f>
        <v/>
      </c>
      <c r="I69" s="14">
        <f>IF(ISNUMBER(IF((Local_AudioTour_Rate_PWYW*(Fee_Keep*Average_PWYW-Headset_Cost)+I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),IF((Local_AudioTour_Rate_PWYW*(Fee_Keep*Average_PWYW-Headset_Cost)+I$66)&lt;=0,"n/a",($B69/Campaign_Days-Locals_Base*(1-EXP(-$B69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/Locals_Base,"n/a")</f>
        <v/>
      </c>
    </row>
    <row r="70">
      <c r="B70" s="17">
        <f>$B$10</f>
        <v/>
      </c>
      <c r="C70" s="14">
        <f>IF(ISNUMBER(IF((Local_AudioTour_Rate_PWYW*(Fee_Keep*Average_PWYW-Headset_Cost)+C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),IF((Local_AudioTour_Rate_PWYW*(Fee_Keep*Average_PWYW-Headset_Cost)+C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/Locals_Base,"n/a")</f>
        <v/>
      </c>
      <c r="D70" s="14">
        <f>IF(ISNUMBER(IF((Local_AudioTour_Rate_PWYW*(Fee_Keep*Average_PWYW-Headset_Cost)+D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),IF((Local_AudioTour_Rate_PWYW*(Fee_Keep*Average_PWYW-Headset_Cost)+D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/Locals_Base,"n/a")</f>
        <v/>
      </c>
      <c r="E70" s="14">
        <f>IF(ISNUMBER(IF((Local_AudioTour_Rate_PWYW*(Fee_Keep*Average_PWYW-Headset_Cost)+E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),IF((Local_AudioTour_Rate_PWYW*(Fee_Keep*Average_PWYW-Headset_Cost)+E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/Locals_Base,"n/a")</f>
        <v/>
      </c>
      <c r="F70" s="14">
        <f>IF(ISNUMBER(IF((Local_AudioTour_Rate_PWYW*(Fee_Keep*Average_PWYW-Headset_Cost)+F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),IF((Local_AudioTour_Rate_PWYW*(Fee_Keep*Average_PWYW-Headset_Cost)+F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/Locals_Base,"n/a")</f>
        <v/>
      </c>
      <c r="G70" s="14">
        <f>IF(ISNUMBER(IF((Local_AudioTour_Rate_PWYW*(Fee_Keep*Average_PWYW-Headset_Cost)+G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),IF((Local_AudioTour_Rate_PWYW*(Fee_Keep*Average_PWYW-Headset_Cost)+G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/Locals_Base,"n/a")</f>
        <v/>
      </c>
      <c r="H70" s="14">
        <f>IF(ISNUMBER(IF((Local_AudioTour_Rate_PWYW*(Fee_Keep*Average_PWYW-Headset_Cost)+H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),IF((Local_AudioTour_Rate_PWYW*(Fee_Keep*Average_PWYW-Headset_Cost)+H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/Locals_Base,"n/a")</f>
        <v/>
      </c>
      <c r="I70" s="14">
        <f>IF(ISNUMBER(IF((Local_AudioTour_Rate_PWYW*(Fee_Keep*Average_PWYW-Headset_Cost)+I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),IF((Local_AudioTour_Rate_PWYW*(Fee_Keep*Average_PWYW-Headset_Cost)+I$66)&lt;=0,"n/a",($B70/Campaign_Days-Locals_Base*(1-EXP(-$B70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/Locals_Base,"n/a")</f>
        <v/>
      </c>
    </row>
    <row r="71">
      <c r="B71" s="17">
        <f>$B$11</f>
        <v/>
      </c>
      <c r="C71" s="14">
        <f>IF(ISNUMBER(IF((Local_AudioTour_Rate_PWYW*(Fee_Keep*Average_PWYW-Headset_Cost)+C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),IF((Local_AudioTour_Rate_PWYW*(Fee_Keep*Average_PWYW-Headset_Cost)+C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/Locals_Base,"n/a")</f>
        <v/>
      </c>
      <c r="D71" s="14">
        <f>IF(ISNUMBER(IF((Local_AudioTour_Rate_PWYW*(Fee_Keep*Average_PWYW-Headset_Cost)+D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),IF((Local_AudioTour_Rate_PWYW*(Fee_Keep*Average_PWYW-Headset_Cost)+D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/Locals_Base,"n/a")</f>
        <v/>
      </c>
      <c r="E71" s="14">
        <f>IF(ISNUMBER(IF((Local_AudioTour_Rate_PWYW*(Fee_Keep*Average_PWYW-Headset_Cost)+E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),IF((Local_AudioTour_Rate_PWYW*(Fee_Keep*Average_PWYW-Headset_Cost)+E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/Locals_Base,"n/a")</f>
        <v/>
      </c>
      <c r="F71" s="14">
        <f>IF(ISNUMBER(IF((Local_AudioTour_Rate_PWYW*(Fee_Keep*Average_PWYW-Headset_Cost)+F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),IF((Local_AudioTour_Rate_PWYW*(Fee_Keep*Average_PWYW-Headset_Cost)+F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/Locals_Base,"n/a")</f>
        <v/>
      </c>
      <c r="G71" s="14">
        <f>IF(ISNUMBER(IF((Local_AudioTour_Rate_PWYW*(Fee_Keep*Average_PWYW-Headset_Cost)+G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),IF((Local_AudioTour_Rate_PWYW*(Fee_Keep*Average_PWYW-Headset_Cost)+G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/Locals_Base,"n/a")</f>
        <v/>
      </c>
      <c r="H71" s="14">
        <f>IF(ISNUMBER(IF((Local_AudioTour_Rate_PWYW*(Fee_Keep*Average_PWYW-Headset_Cost)+H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),IF((Local_AudioTour_Rate_PWYW*(Fee_Keep*Average_PWYW-Headset_Cost)+H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/Locals_Base,"n/a")</f>
        <v/>
      </c>
      <c r="I71" s="14">
        <f>IF(ISNUMBER(IF((Local_AudioTour_Rate_PWYW*(Fee_Keep*Average_PWYW-Headset_Cost)+I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),IF((Local_AudioTour_Rate_PWYW*(Fee_Keep*Average_PWYW-Headset_Cost)+I$66)&lt;=0,"n/a",($B71/Campaign_Days-Locals_Base*(1-EXP(-$B71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/Locals_Base,"n/a")</f>
        <v/>
      </c>
    </row>
    <row r="72">
      <c r="B72" s="17">
        <f>$B$12</f>
        <v/>
      </c>
      <c r="C72" s="14">
        <f>IF(ISNUMBER(IF((Local_AudioTour_Rate_PWYW*(Fee_Keep*Average_PWYW-Headset_Cost)+C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),IF((Local_AudioTour_Rate_PWYW*(Fee_Keep*Average_PWYW-Headset_Cost)+C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C$66))/Locals_Base,"n/a")</f>
        <v/>
      </c>
      <c r="D72" s="14">
        <f>IF(ISNUMBER(IF((Local_AudioTour_Rate_PWYW*(Fee_Keep*Average_PWYW-Headset_Cost)+D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),IF((Local_AudioTour_Rate_PWYW*(Fee_Keep*Average_PWYW-Headset_Cost)+D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D$66))/Locals_Base,"n/a")</f>
        <v/>
      </c>
      <c r="E72" s="14">
        <f>IF(ISNUMBER(IF((Local_AudioTour_Rate_PWYW*(Fee_Keep*Average_PWYW-Headset_Cost)+E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),IF((Local_AudioTour_Rate_PWYW*(Fee_Keep*Average_PWYW-Headset_Cost)+E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E$66))/Locals_Base,"n/a")</f>
        <v/>
      </c>
      <c r="F72" s="14">
        <f>IF(ISNUMBER(IF((Local_AudioTour_Rate_PWYW*(Fee_Keep*Average_PWYW-Headset_Cost)+F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),IF((Local_AudioTour_Rate_PWYW*(Fee_Keep*Average_PWYW-Headset_Cost)+F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F$66))/Locals_Base,"n/a")</f>
        <v/>
      </c>
      <c r="G72" s="14">
        <f>IF(ISNUMBER(IF((Local_AudioTour_Rate_PWYW*(Fee_Keep*Average_PWYW-Headset_Cost)+G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),IF((Local_AudioTour_Rate_PWYW*(Fee_Keep*Average_PWYW-Headset_Cost)+G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G$66))/Locals_Base,"n/a")</f>
        <v/>
      </c>
      <c r="H72" s="14">
        <f>IF(ISNUMBER(IF((Local_AudioTour_Rate_PWYW*(Fee_Keep*Average_PWYW-Headset_Cost)+H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),IF((Local_AudioTour_Rate_PWYW*(Fee_Keep*Average_PWYW-Headset_Cost)+H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H$66))/Locals_Base,"n/a")</f>
        <v/>
      </c>
      <c r="I72" s="14">
        <f>IF(ISNUMBER(IF((Local_AudioTour_Rate_PWYW*(Fee_Keep*Average_PWYW-Headset_Cost)+I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),IF((Local_AudioTour_Rate_PWYW*(Fee_Keep*Average_PWYW-Headset_Cost)+I$66)&lt;=0,"n/a",($B72/Campaign_Days-Locals_Base*(1-EXP(-$B72/Marketing_Saturation_Spend))*(Fee_Keep*(Local_AudioTour_Rate_PWYW*Average_PWYW-Local_AudioTour_Rate_Init*AudioTour_Price)-Headset_Cost*(Local_AudioTour_Rate_PWYW-Local_AudioTour_Rate_Init)+Local_AudioTour_Rate_PWYW*GiftShop_Spillover))/(Local_AudioTour_Rate_PWYW*(Fee_Keep*Average_PWYW-Headset_Cost)+I$66))/Locals_Base,"n/a")</f>
        <v/>
      </c>
    </row>
  </sheetData>
  <conditionalFormatting sqref="C7:I12">
    <cfRule type="cellIs" priority="1" operator="lessThan" dxfId="2">
      <formula>0</formula>
    </cfRule>
    <cfRule type="cellIs" priority="2" operator="greaterThanOrEqual" dxfId="3">
      <formula>0</formula>
    </cfRule>
  </conditionalFormatting>
  <conditionalFormatting sqref="C17:G24">
    <cfRule type="cellIs" priority="3" operator="lessThan" dxfId="2">
      <formula>0</formula>
    </cfRule>
    <cfRule type="cellIs" priority="4" operator="greaterThanOrEqual" dxfId="3">
      <formula>0</formula>
    </cfRule>
  </conditionalFormatting>
  <conditionalFormatting sqref="C29:H34">
    <cfRule type="cellIs" priority="5" operator="lessThan" dxfId="2">
      <formula>0</formula>
    </cfRule>
    <cfRule type="cellIs" priority="6" operator="greaterThanOrEqual" dxfId="3">
      <formula>0</formula>
    </cfRule>
  </conditionalFormatting>
  <conditionalFormatting sqref="C39:I44">
    <cfRule type="cellIs" priority="7" operator="lessThan" dxfId="2">
      <formula>0</formula>
    </cfRule>
    <cfRule type="cellIs" priority="8" operator="greaterThanOrEqual" dxfId="3">
      <formula>0</formula>
    </cfRule>
  </conditionalFormatting>
  <conditionalFormatting sqref="F49:G52">
    <cfRule type="cellIs" priority="9" operator="lessThan" dxfId="2">
      <formula>0</formula>
    </cfRule>
    <cfRule type="cellIs" priority="10" operator="greaterThanOrEqual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/>
  </sheetPr>
  <dimension ref="A1:T16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27" t="inlineStr">
        <is>
          <t>Scenario</t>
        </is>
      </c>
      <c r="B1" s="27" t="inlineStr">
        <is>
          <t>Marketing</t>
        </is>
      </c>
      <c r="C1" s="27" t="inlineStr">
        <is>
          <t>Ceiling</t>
        </is>
      </c>
      <c r="D1" s="27" t="inlineStr">
        <is>
          <t>GiftShop</t>
        </is>
      </c>
      <c r="E1" s="27" t="inlineStr">
        <is>
          <t>Avg PWYW</t>
        </is>
      </c>
      <c r="F1" s="27" t="inlineStr">
        <is>
          <t>Take-up</t>
        </is>
      </c>
      <c r="G1" s="27" t="inlineStr">
        <is>
          <t>Final share</t>
        </is>
      </c>
      <c r="H1" s="27" t="inlineStr">
        <is>
          <t>Local visitors</t>
        </is>
      </c>
      <c r="I1" s="27" t="inlineStr">
        <is>
          <t>Added locals</t>
        </is>
      </c>
      <c r="J1" s="27" t="inlineStr">
        <is>
          <t>Local audio users</t>
        </is>
      </c>
      <c r="K1" s="27" t="inlineStr">
        <is>
          <t>Total audio users</t>
        </is>
      </c>
      <c r="L1" s="27" t="inlineStr">
        <is>
          <t>Device blocks</t>
        </is>
      </c>
      <c r="M1" s="27" t="inlineStr">
        <is>
          <t>Device $/day</t>
        </is>
      </c>
      <c r="N1" s="27" t="inlineStr">
        <is>
          <t>Audio rev chg</t>
        </is>
      </c>
      <c r="O1" s="27" t="inlineStr">
        <is>
          <t>Headset chg</t>
        </is>
      </c>
      <c r="P1" s="27" t="inlineStr">
        <is>
          <t>Gift shop chg</t>
        </is>
      </c>
      <c r="Q1" s="27" t="inlineStr">
        <is>
          <t>Daily contribution</t>
        </is>
      </c>
      <c r="R1" s="27" t="inlineStr">
        <is>
          <t>Net profit</t>
        </is>
      </c>
      <c r="T1" s="2" t="inlineStr">
        <is>
          <t>One row per sensitivity scenario. Lever columns B-F come from the Sensitivity axes or the Model inputs.</t>
        </is>
      </c>
    </row>
    <row r="2">
      <c r="A2" s="6" t="inlineStr">
        <is>
          <t>Base case</t>
        </is>
      </c>
      <c r="B2" s="17">
        <f>Marketing_Spend</f>
        <v/>
      </c>
      <c r="C2" s="14">
        <f>Locals_Share_Ceiling</f>
        <v/>
      </c>
      <c r="D2" s="15">
        <f>GiftShop_Net_Spend_Local</f>
        <v/>
      </c>
      <c r="E2" s="15">
        <f>Average_PWYW</f>
        <v/>
      </c>
      <c r="F2" s="14">
        <f>Local_AudioTour_Rate_PWYW</f>
        <v/>
      </c>
      <c r="G2" s="14">
        <f>Percentage_Locals_Init+(C2-Percentage_Locals_Init)*(1-EXP(-B2/Marketing_Saturation_Spend))</f>
        <v/>
      </c>
      <c r="H2" s="13">
        <f>Tourists_Base*G2/(1-G2)</f>
        <v/>
      </c>
      <c r="I2" s="13">
        <f>H2-Locals_Base</f>
        <v/>
      </c>
      <c r="J2" s="13">
        <f>Locals_Base*(1-(1-EXP(-B2/Marketing_Saturation_Spend)))*Local_AudioTour_Rate_Init+(H2-Locals_Base*(1-(1-EXP(-B2/Marketing_Saturation_Spend))))*F2</f>
        <v/>
      </c>
      <c r="K2" s="13">
        <f>AudioTourist_Base+J2</f>
        <v/>
      </c>
      <c r="L2" s="6">
        <f>MAX(0,ROUNDUP((K2-Device_Capacity)/Device_Block_Size,0))</f>
        <v/>
      </c>
      <c r="M2" s="6">
        <f>L2*Device_Block_Cost/Device_Amort_Days</f>
        <v/>
      </c>
      <c r="N2" s="17">
        <f>Fee_Keep*(Locals_Base*(1-(1-EXP(-B2/Marketing_Saturation_Spend)))*Local_AudioTour_Rate_Init*AudioTour_Price+(H2-Locals_Base*(1-(1-EXP(-B2/Marketing_Saturation_Spend))))*F2*E2-AudioLocal_Base*AudioTour_Price)</f>
        <v/>
      </c>
      <c r="O2" s="17">
        <f>(K2-Total_Daily_AudioTour)*Headset_Cost</f>
        <v/>
      </c>
      <c r="P2" s="17">
        <f>I2*D2+Locals_Base*(1-EXP(-B2/Marketing_Saturation_Spend))*F2*GiftShop_Spillover</f>
        <v/>
      </c>
      <c r="Q2" s="17">
        <f>N2-O2-M2+P2</f>
        <v/>
      </c>
      <c r="R2" s="17">
        <f>Q2*Campaign_Days-B2</f>
        <v/>
      </c>
    </row>
    <row r="3">
      <c r="A3" s="6" t="inlineStr">
        <is>
          <t>Zero-marketing test</t>
        </is>
      </c>
      <c r="B3" s="17">
        <f>0</f>
        <v/>
      </c>
      <c r="C3" s="14">
        <f>Locals_Share_Ceiling</f>
        <v/>
      </c>
      <c r="D3" s="15">
        <f>GiftShop_Net_Spend_Local</f>
        <v/>
      </c>
      <c r="E3" s="15">
        <f>Average_PWYW</f>
        <v/>
      </c>
      <c r="F3" s="14">
        <f>Local_AudioTour_Rate_PWYW</f>
        <v/>
      </c>
      <c r="G3" s="14">
        <f>Percentage_Locals_Init+(C3-Percentage_Locals_Init)*(1-EXP(-B3/Marketing_Saturation_Spend))</f>
        <v/>
      </c>
      <c r="H3" s="13">
        <f>Tourists_Base*G3/(1-G3)</f>
        <v/>
      </c>
      <c r="I3" s="13">
        <f>H3-Locals_Base</f>
        <v/>
      </c>
      <c r="J3" s="13">
        <f>Locals_Base*(1-(1-EXP(-B3/Marketing_Saturation_Spend)))*Local_AudioTour_Rate_Init+(H3-Locals_Base*(1-(1-EXP(-B3/Marketing_Saturation_Spend))))*F3</f>
        <v/>
      </c>
      <c r="K3" s="13">
        <f>AudioTourist_Base+J3</f>
        <v/>
      </c>
      <c r="L3" s="6">
        <f>MAX(0,ROUNDUP((K3-Device_Capacity)/Device_Block_Size,0))</f>
        <v/>
      </c>
      <c r="M3" s="6">
        <f>L3*Device_Block_Cost/Device_Amort_Days</f>
        <v/>
      </c>
      <c r="N3" s="17">
        <f>Fee_Keep*(Locals_Base*(1-(1-EXP(-B3/Marketing_Saturation_Spend)))*Local_AudioTour_Rate_Init*AudioTour_Price+(H3-Locals_Base*(1-(1-EXP(-B3/Marketing_Saturation_Spend))))*F3*E3-AudioLocal_Base*AudioTour_Price)</f>
        <v/>
      </c>
      <c r="O3" s="17">
        <f>(K3-Total_Daily_AudioTour)*Headset_Cost</f>
        <v/>
      </c>
      <c r="P3" s="17">
        <f>I3*D3+Locals_Base*(1-EXP(-B3/Marketing_Saturation_Spend))*F3*GiftShop_Spillover</f>
        <v/>
      </c>
      <c r="Q3" s="17">
        <f>N3-O3-M3+P3</f>
        <v/>
      </c>
      <c r="R3" s="17">
        <f>Q3*Campaign_Days-B3</f>
        <v/>
      </c>
    </row>
    <row r="4">
      <c r="A4" s="6" t="inlineStr">
        <is>
          <t>Break-even draw test</t>
        </is>
      </c>
      <c r="B4" s="17">
        <f>Marketing_Spend</f>
        <v/>
      </c>
      <c r="C4" s="14">
        <f>IF(AND(ISNUMBER(Model!$C$76),Awareness&gt;0),Percentage_Locals_Init+((Locals_Base+Model!$C$76)/(Tourists_Base+Locals_Base+Model!$C$76)-Percentage_Locals_Init)/Awareness,Locals_Share_Ceiling)</f>
        <v/>
      </c>
      <c r="D4" s="15">
        <f>GiftShop_Net_Spend_Local</f>
        <v/>
      </c>
      <c r="E4" s="15">
        <f>Average_PWYW</f>
        <v/>
      </c>
      <c r="F4" s="14">
        <f>Local_AudioTour_Rate_PWYW</f>
        <v/>
      </c>
      <c r="G4" s="14">
        <f>Percentage_Locals_Init+(C4-Percentage_Locals_Init)*(1-EXP(-B4/Marketing_Saturation_Spend))</f>
        <v/>
      </c>
      <c r="H4" s="13">
        <f>Tourists_Base*G4/(1-G4)</f>
        <v/>
      </c>
      <c r="I4" s="13">
        <f>H4-Locals_Base</f>
        <v/>
      </c>
      <c r="J4" s="13">
        <f>Locals_Base*(1-(1-EXP(-B4/Marketing_Saturation_Spend)))*Local_AudioTour_Rate_Init+(H4-Locals_Base*(1-(1-EXP(-B4/Marketing_Saturation_Spend))))*F4</f>
        <v/>
      </c>
      <c r="K4" s="13">
        <f>AudioTourist_Base+J4</f>
        <v/>
      </c>
      <c r="L4" s="6">
        <f>MAX(0,ROUNDUP((K4-Device_Capacity)/Device_Block_Size,0))</f>
        <v/>
      </c>
      <c r="M4" s="6">
        <f>L4*Device_Block_Cost/Device_Amort_Days</f>
        <v/>
      </c>
      <c r="N4" s="17">
        <f>Fee_Keep*(Locals_Base*(1-(1-EXP(-B4/Marketing_Saturation_Spend)))*Local_AudioTour_Rate_Init*AudioTour_Price+(H4-Locals_Base*(1-(1-EXP(-B4/Marketing_Saturation_Spend))))*F4*E4-AudioLocal_Base*AudioTour_Price)</f>
        <v/>
      </c>
      <c r="O4" s="17">
        <f>(K4-Total_Daily_AudioTour)*Headset_Cost</f>
        <v/>
      </c>
      <c r="P4" s="17">
        <f>I4*D4+Locals_Base*(1-EXP(-B4/Marketing_Saturation_Spend))*F4*GiftShop_Spillover</f>
        <v/>
      </c>
      <c r="Q4" s="17">
        <f>N4-O4-M4+P4</f>
        <v/>
      </c>
      <c r="R4" s="17">
        <f>Q4*Campaign_Days-B4</f>
        <v/>
      </c>
    </row>
    <row r="5">
      <c r="A5" s="6" t="inlineStr">
        <is>
          <t>1. r1 c1</t>
        </is>
      </c>
      <c r="B5" s="17">
        <f>Sensitivity!$B$7</f>
        <v/>
      </c>
      <c r="C5" s="14">
        <f>Locals_Share_Ceiling</f>
        <v/>
      </c>
      <c r="D5" s="15">
        <f>Sensitivity!C$6</f>
        <v/>
      </c>
      <c r="E5" s="15">
        <f>Average_PWYW</f>
        <v/>
      </c>
      <c r="F5" s="14">
        <f>Local_AudioTour_Rate_PWYW</f>
        <v/>
      </c>
      <c r="G5" s="14">
        <f>Percentage_Locals_Init+(C5-Percentage_Locals_Init)*(1-EXP(-B5/Marketing_Saturation_Spend))</f>
        <v/>
      </c>
      <c r="H5" s="13">
        <f>Tourists_Base*G5/(1-G5)</f>
        <v/>
      </c>
      <c r="I5" s="13">
        <f>H5-Locals_Base</f>
        <v/>
      </c>
      <c r="J5" s="13">
        <f>Locals_Base*(1-(1-EXP(-B5/Marketing_Saturation_Spend)))*Local_AudioTour_Rate_Init+(H5-Locals_Base*(1-(1-EXP(-B5/Marketing_Saturation_Spend))))*F5</f>
        <v/>
      </c>
      <c r="K5" s="13">
        <f>AudioTourist_Base+J5</f>
        <v/>
      </c>
      <c r="L5" s="6">
        <f>MAX(0,ROUNDUP((K5-Device_Capacity)/Device_Block_Size,0))</f>
        <v/>
      </c>
      <c r="M5" s="6">
        <f>L5*Device_Block_Cost/Device_Amort_Days</f>
        <v/>
      </c>
      <c r="N5" s="17">
        <f>Fee_Keep*(Locals_Base*(1-(1-EXP(-B5/Marketing_Saturation_Spend)))*Local_AudioTour_Rate_Init*AudioTour_Price+(H5-Locals_Base*(1-(1-EXP(-B5/Marketing_Saturation_Spend))))*F5*E5-AudioLocal_Base*AudioTour_Price)</f>
        <v/>
      </c>
      <c r="O5" s="17">
        <f>(K5-Total_Daily_AudioTour)*Headset_Cost</f>
        <v/>
      </c>
      <c r="P5" s="17">
        <f>I5*D5+Locals_Base*(1-EXP(-B5/Marketing_Saturation_Spend))*F5*GiftShop_Spillover</f>
        <v/>
      </c>
      <c r="Q5" s="17">
        <f>N5-O5-M5+P5</f>
        <v/>
      </c>
      <c r="R5" s="17">
        <f>Q5*Campaign_Days-B5</f>
        <v/>
      </c>
    </row>
    <row r="6">
      <c r="A6" s="6" t="inlineStr">
        <is>
          <t>1. r1 c2</t>
        </is>
      </c>
      <c r="B6" s="17">
        <f>Sensitivity!$B$7</f>
        <v/>
      </c>
      <c r="C6" s="14">
        <f>Locals_Share_Ceiling</f>
        <v/>
      </c>
      <c r="D6" s="15">
        <f>Sensitivity!D$6</f>
        <v/>
      </c>
      <c r="E6" s="15">
        <f>Average_PWYW</f>
        <v/>
      </c>
      <c r="F6" s="14">
        <f>Local_AudioTour_Rate_PWYW</f>
        <v/>
      </c>
      <c r="G6" s="14">
        <f>Percentage_Locals_Init+(C6-Percentage_Locals_Init)*(1-EXP(-B6/Marketing_Saturation_Spend))</f>
        <v/>
      </c>
      <c r="H6" s="13">
        <f>Tourists_Base*G6/(1-G6)</f>
        <v/>
      </c>
      <c r="I6" s="13">
        <f>H6-Locals_Base</f>
        <v/>
      </c>
      <c r="J6" s="13">
        <f>Locals_Base*(1-(1-EXP(-B6/Marketing_Saturation_Spend)))*Local_AudioTour_Rate_Init+(H6-Locals_Base*(1-(1-EXP(-B6/Marketing_Saturation_Spend))))*F6</f>
        <v/>
      </c>
      <c r="K6" s="13">
        <f>AudioTourist_Base+J6</f>
        <v/>
      </c>
      <c r="L6" s="6">
        <f>MAX(0,ROUNDUP((K6-Device_Capacity)/Device_Block_Size,0))</f>
        <v/>
      </c>
      <c r="M6" s="6">
        <f>L6*Device_Block_Cost/Device_Amort_Days</f>
        <v/>
      </c>
      <c r="N6" s="17">
        <f>Fee_Keep*(Locals_Base*(1-(1-EXP(-B6/Marketing_Saturation_Spend)))*Local_AudioTour_Rate_Init*AudioTour_Price+(H6-Locals_Base*(1-(1-EXP(-B6/Marketing_Saturation_Spend))))*F6*E6-AudioLocal_Base*AudioTour_Price)</f>
        <v/>
      </c>
      <c r="O6" s="17">
        <f>(K6-Total_Daily_AudioTour)*Headset_Cost</f>
        <v/>
      </c>
      <c r="P6" s="17">
        <f>I6*D6+Locals_Base*(1-EXP(-B6/Marketing_Saturation_Spend))*F6*GiftShop_Spillover</f>
        <v/>
      </c>
      <c r="Q6" s="17">
        <f>N6-O6-M6+P6</f>
        <v/>
      </c>
      <c r="R6" s="17">
        <f>Q6*Campaign_Days-B6</f>
        <v/>
      </c>
    </row>
    <row r="7">
      <c r="A7" s="6" t="inlineStr">
        <is>
          <t>1. r1 c3</t>
        </is>
      </c>
      <c r="B7" s="17">
        <f>Sensitivity!$B$7</f>
        <v/>
      </c>
      <c r="C7" s="14">
        <f>Locals_Share_Ceiling</f>
        <v/>
      </c>
      <c r="D7" s="15">
        <f>Sensitivity!E$6</f>
        <v/>
      </c>
      <c r="E7" s="15">
        <f>Average_PWYW</f>
        <v/>
      </c>
      <c r="F7" s="14">
        <f>Local_AudioTour_Rate_PWYW</f>
        <v/>
      </c>
      <c r="G7" s="14">
        <f>Percentage_Locals_Init+(C7-Percentage_Locals_Init)*(1-EXP(-B7/Marketing_Saturation_Spend))</f>
        <v/>
      </c>
      <c r="H7" s="13">
        <f>Tourists_Base*G7/(1-G7)</f>
        <v/>
      </c>
      <c r="I7" s="13">
        <f>H7-Locals_Base</f>
        <v/>
      </c>
      <c r="J7" s="13">
        <f>Locals_Base*(1-(1-EXP(-B7/Marketing_Saturation_Spend)))*Local_AudioTour_Rate_Init+(H7-Locals_Base*(1-(1-EXP(-B7/Marketing_Saturation_Spend))))*F7</f>
        <v/>
      </c>
      <c r="K7" s="13">
        <f>AudioTourist_Base+J7</f>
        <v/>
      </c>
      <c r="L7" s="6">
        <f>MAX(0,ROUNDUP((K7-Device_Capacity)/Device_Block_Size,0))</f>
        <v/>
      </c>
      <c r="M7" s="6">
        <f>L7*Device_Block_Cost/Device_Amort_Days</f>
        <v/>
      </c>
      <c r="N7" s="17">
        <f>Fee_Keep*(Locals_Base*(1-(1-EXP(-B7/Marketing_Saturation_Spend)))*Local_AudioTour_Rate_Init*AudioTour_Price+(H7-Locals_Base*(1-(1-EXP(-B7/Marketing_Saturation_Spend))))*F7*E7-AudioLocal_Base*AudioTour_Price)</f>
        <v/>
      </c>
      <c r="O7" s="17">
        <f>(K7-Total_Daily_AudioTour)*Headset_Cost</f>
        <v/>
      </c>
      <c r="P7" s="17">
        <f>I7*D7+Locals_Base*(1-EXP(-B7/Marketing_Saturation_Spend))*F7*GiftShop_Spillover</f>
        <v/>
      </c>
      <c r="Q7" s="17">
        <f>N7-O7-M7+P7</f>
        <v/>
      </c>
      <c r="R7" s="17">
        <f>Q7*Campaign_Days-B7</f>
        <v/>
      </c>
    </row>
    <row r="8">
      <c r="A8" s="6" t="inlineStr">
        <is>
          <t>1. r1 c4</t>
        </is>
      </c>
      <c r="B8" s="17">
        <f>Sensitivity!$B$7</f>
        <v/>
      </c>
      <c r="C8" s="14">
        <f>Locals_Share_Ceiling</f>
        <v/>
      </c>
      <c r="D8" s="15">
        <f>Sensitivity!F$6</f>
        <v/>
      </c>
      <c r="E8" s="15">
        <f>Average_PWYW</f>
        <v/>
      </c>
      <c r="F8" s="14">
        <f>Local_AudioTour_Rate_PWYW</f>
        <v/>
      </c>
      <c r="G8" s="14">
        <f>Percentage_Locals_Init+(C8-Percentage_Locals_Init)*(1-EXP(-B8/Marketing_Saturation_Spend))</f>
        <v/>
      </c>
      <c r="H8" s="13">
        <f>Tourists_Base*G8/(1-G8)</f>
        <v/>
      </c>
      <c r="I8" s="13">
        <f>H8-Locals_Base</f>
        <v/>
      </c>
      <c r="J8" s="13">
        <f>Locals_Base*(1-(1-EXP(-B8/Marketing_Saturation_Spend)))*Local_AudioTour_Rate_Init+(H8-Locals_Base*(1-(1-EXP(-B8/Marketing_Saturation_Spend))))*F8</f>
        <v/>
      </c>
      <c r="K8" s="13">
        <f>AudioTourist_Base+J8</f>
        <v/>
      </c>
      <c r="L8" s="6">
        <f>MAX(0,ROUNDUP((K8-Device_Capacity)/Device_Block_Size,0))</f>
        <v/>
      </c>
      <c r="M8" s="6">
        <f>L8*Device_Block_Cost/Device_Amort_Days</f>
        <v/>
      </c>
      <c r="N8" s="17">
        <f>Fee_Keep*(Locals_Base*(1-(1-EXP(-B8/Marketing_Saturation_Spend)))*Local_AudioTour_Rate_Init*AudioTour_Price+(H8-Locals_Base*(1-(1-EXP(-B8/Marketing_Saturation_Spend))))*F8*E8-AudioLocal_Base*AudioTour_Price)</f>
        <v/>
      </c>
      <c r="O8" s="17">
        <f>(K8-Total_Daily_AudioTour)*Headset_Cost</f>
        <v/>
      </c>
      <c r="P8" s="17">
        <f>I8*D8+Locals_Base*(1-EXP(-B8/Marketing_Saturation_Spend))*F8*GiftShop_Spillover</f>
        <v/>
      </c>
      <c r="Q8" s="17">
        <f>N8-O8-M8+P8</f>
        <v/>
      </c>
      <c r="R8" s="17">
        <f>Q8*Campaign_Days-B8</f>
        <v/>
      </c>
    </row>
    <row r="9">
      <c r="A9" s="6" t="inlineStr">
        <is>
          <t>1. r1 c5</t>
        </is>
      </c>
      <c r="B9" s="17">
        <f>Sensitivity!$B$7</f>
        <v/>
      </c>
      <c r="C9" s="14">
        <f>Locals_Share_Ceiling</f>
        <v/>
      </c>
      <c r="D9" s="15">
        <f>Sensitivity!G$6</f>
        <v/>
      </c>
      <c r="E9" s="15">
        <f>Average_PWYW</f>
        <v/>
      </c>
      <c r="F9" s="14">
        <f>Local_AudioTour_Rate_PWYW</f>
        <v/>
      </c>
      <c r="G9" s="14">
        <f>Percentage_Locals_Init+(C9-Percentage_Locals_Init)*(1-EXP(-B9/Marketing_Saturation_Spend))</f>
        <v/>
      </c>
      <c r="H9" s="13">
        <f>Tourists_Base*G9/(1-G9)</f>
        <v/>
      </c>
      <c r="I9" s="13">
        <f>H9-Locals_Base</f>
        <v/>
      </c>
      <c r="J9" s="13">
        <f>Locals_Base*(1-(1-EXP(-B9/Marketing_Saturation_Spend)))*Local_AudioTour_Rate_Init+(H9-Locals_Base*(1-(1-EXP(-B9/Marketing_Saturation_Spend))))*F9</f>
        <v/>
      </c>
      <c r="K9" s="13">
        <f>AudioTourist_Base+J9</f>
        <v/>
      </c>
      <c r="L9" s="6">
        <f>MAX(0,ROUNDUP((K9-Device_Capacity)/Device_Block_Size,0))</f>
        <v/>
      </c>
      <c r="M9" s="6">
        <f>L9*Device_Block_Cost/Device_Amort_Days</f>
        <v/>
      </c>
      <c r="N9" s="17">
        <f>Fee_Keep*(Locals_Base*(1-(1-EXP(-B9/Marketing_Saturation_Spend)))*Local_AudioTour_Rate_Init*AudioTour_Price+(H9-Locals_Base*(1-(1-EXP(-B9/Marketing_Saturation_Spend))))*F9*E9-AudioLocal_Base*AudioTour_Price)</f>
        <v/>
      </c>
      <c r="O9" s="17">
        <f>(K9-Total_Daily_AudioTour)*Headset_Cost</f>
        <v/>
      </c>
      <c r="P9" s="17">
        <f>I9*D9+Locals_Base*(1-EXP(-B9/Marketing_Saturation_Spend))*F9*GiftShop_Spillover</f>
        <v/>
      </c>
      <c r="Q9" s="17">
        <f>N9-O9-M9+P9</f>
        <v/>
      </c>
      <c r="R9" s="17">
        <f>Q9*Campaign_Days-B9</f>
        <v/>
      </c>
    </row>
    <row r="10">
      <c r="A10" s="6" t="inlineStr">
        <is>
          <t>1. r1 c6</t>
        </is>
      </c>
      <c r="B10" s="17">
        <f>Sensitivity!$B$7</f>
        <v/>
      </c>
      <c r="C10" s="14">
        <f>Locals_Share_Ceiling</f>
        <v/>
      </c>
      <c r="D10" s="15">
        <f>Sensitivity!H$6</f>
        <v/>
      </c>
      <c r="E10" s="15">
        <f>Average_PWYW</f>
        <v/>
      </c>
      <c r="F10" s="14">
        <f>Local_AudioTour_Rate_PWYW</f>
        <v/>
      </c>
      <c r="G10" s="14">
        <f>Percentage_Locals_Init+(C10-Percentage_Locals_Init)*(1-EXP(-B10/Marketing_Saturation_Spend))</f>
        <v/>
      </c>
      <c r="H10" s="13">
        <f>Tourists_Base*G10/(1-G10)</f>
        <v/>
      </c>
      <c r="I10" s="13">
        <f>H10-Locals_Base</f>
        <v/>
      </c>
      <c r="J10" s="13">
        <f>Locals_Base*(1-(1-EXP(-B10/Marketing_Saturation_Spend)))*Local_AudioTour_Rate_Init+(H10-Locals_Base*(1-(1-EXP(-B10/Marketing_Saturation_Spend))))*F10</f>
        <v/>
      </c>
      <c r="K10" s="13">
        <f>AudioTourist_Base+J10</f>
        <v/>
      </c>
      <c r="L10" s="6">
        <f>MAX(0,ROUNDUP((K10-Device_Capacity)/Device_Block_Size,0))</f>
        <v/>
      </c>
      <c r="M10" s="6">
        <f>L10*Device_Block_Cost/Device_Amort_Days</f>
        <v/>
      </c>
      <c r="N10" s="17">
        <f>Fee_Keep*(Locals_Base*(1-(1-EXP(-B10/Marketing_Saturation_Spend)))*Local_AudioTour_Rate_Init*AudioTour_Price+(H10-Locals_Base*(1-(1-EXP(-B10/Marketing_Saturation_Spend))))*F10*E10-AudioLocal_Base*AudioTour_Price)</f>
        <v/>
      </c>
      <c r="O10" s="17">
        <f>(K10-Total_Daily_AudioTour)*Headset_Cost</f>
        <v/>
      </c>
      <c r="P10" s="17">
        <f>I10*D10+Locals_Base*(1-EXP(-B10/Marketing_Saturation_Spend))*F10*GiftShop_Spillover</f>
        <v/>
      </c>
      <c r="Q10" s="17">
        <f>N10-O10-M10+P10</f>
        <v/>
      </c>
      <c r="R10" s="17">
        <f>Q10*Campaign_Days-B10</f>
        <v/>
      </c>
    </row>
    <row r="11">
      <c r="A11" s="6" t="inlineStr">
        <is>
          <t>1. r1 c7</t>
        </is>
      </c>
      <c r="B11" s="17">
        <f>Sensitivity!$B$7</f>
        <v/>
      </c>
      <c r="C11" s="14">
        <f>Locals_Share_Ceiling</f>
        <v/>
      </c>
      <c r="D11" s="15">
        <f>Sensitivity!I$6</f>
        <v/>
      </c>
      <c r="E11" s="15">
        <f>Average_PWYW</f>
        <v/>
      </c>
      <c r="F11" s="14">
        <f>Local_AudioTour_Rate_PWYW</f>
        <v/>
      </c>
      <c r="G11" s="14">
        <f>Percentage_Locals_Init+(C11-Percentage_Locals_Init)*(1-EXP(-B11/Marketing_Saturation_Spend))</f>
        <v/>
      </c>
      <c r="H11" s="13">
        <f>Tourists_Base*G11/(1-G11)</f>
        <v/>
      </c>
      <c r="I11" s="13">
        <f>H11-Locals_Base</f>
        <v/>
      </c>
      <c r="J11" s="13">
        <f>Locals_Base*(1-(1-EXP(-B11/Marketing_Saturation_Spend)))*Local_AudioTour_Rate_Init+(H11-Locals_Base*(1-(1-EXP(-B11/Marketing_Saturation_Spend))))*F11</f>
        <v/>
      </c>
      <c r="K11" s="13">
        <f>AudioTourist_Base+J11</f>
        <v/>
      </c>
      <c r="L11" s="6">
        <f>MAX(0,ROUNDUP((K11-Device_Capacity)/Device_Block_Size,0))</f>
        <v/>
      </c>
      <c r="M11" s="6">
        <f>L11*Device_Block_Cost/Device_Amort_Days</f>
        <v/>
      </c>
      <c r="N11" s="17">
        <f>Fee_Keep*(Locals_Base*(1-(1-EXP(-B11/Marketing_Saturation_Spend)))*Local_AudioTour_Rate_Init*AudioTour_Price+(H11-Locals_Base*(1-(1-EXP(-B11/Marketing_Saturation_Spend))))*F11*E11-AudioLocal_Base*AudioTour_Price)</f>
        <v/>
      </c>
      <c r="O11" s="17">
        <f>(K11-Total_Daily_AudioTour)*Headset_Cost</f>
        <v/>
      </c>
      <c r="P11" s="17">
        <f>I11*D11+Locals_Base*(1-EXP(-B11/Marketing_Saturation_Spend))*F11*GiftShop_Spillover</f>
        <v/>
      </c>
      <c r="Q11" s="17">
        <f>N11-O11-M11+P11</f>
        <v/>
      </c>
      <c r="R11" s="17">
        <f>Q11*Campaign_Days-B11</f>
        <v/>
      </c>
    </row>
    <row r="12">
      <c r="A12" s="6" t="inlineStr">
        <is>
          <t>1. r2 c1</t>
        </is>
      </c>
      <c r="B12" s="17">
        <f>Sensitivity!$B$8</f>
        <v/>
      </c>
      <c r="C12" s="14">
        <f>Locals_Share_Ceiling</f>
        <v/>
      </c>
      <c r="D12" s="15">
        <f>Sensitivity!C$6</f>
        <v/>
      </c>
      <c r="E12" s="15">
        <f>Average_PWYW</f>
        <v/>
      </c>
      <c r="F12" s="14">
        <f>Local_AudioTour_Rate_PWYW</f>
        <v/>
      </c>
      <c r="G12" s="14">
        <f>Percentage_Locals_Init+(C12-Percentage_Locals_Init)*(1-EXP(-B12/Marketing_Saturation_Spend))</f>
        <v/>
      </c>
      <c r="H12" s="13">
        <f>Tourists_Base*G12/(1-G12)</f>
        <v/>
      </c>
      <c r="I12" s="13">
        <f>H12-Locals_Base</f>
        <v/>
      </c>
      <c r="J12" s="13">
        <f>Locals_Base*(1-(1-EXP(-B12/Marketing_Saturation_Spend)))*Local_AudioTour_Rate_Init+(H12-Locals_Base*(1-(1-EXP(-B12/Marketing_Saturation_Spend))))*F12</f>
        <v/>
      </c>
      <c r="K12" s="13">
        <f>AudioTourist_Base+J12</f>
        <v/>
      </c>
      <c r="L12" s="6">
        <f>MAX(0,ROUNDUP((K12-Device_Capacity)/Device_Block_Size,0))</f>
        <v/>
      </c>
      <c r="M12" s="6">
        <f>L12*Device_Block_Cost/Device_Amort_Days</f>
        <v/>
      </c>
      <c r="N12" s="17">
        <f>Fee_Keep*(Locals_Base*(1-(1-EXP(-B12/Marketing_Saturation_Spend)))*Local_AudioTour_Rate_Init*AudioTour_Price+(H12-Locals_Base*(1-(1-EXP(-B12/Marketing_Saturation_Spend))))*F12*E12-AudioLocal_Base*AudioTour_Price)</f>
        <v/>
      </c>
      <c r="O12" s="17">
        <f>(K12-Total_Daily_AudioTour)*Headset_Cost</f>
        <v/>
      </c>
      <c r="P12" s="17">
        <f>I12*D12+Locals_Base*(1-EXP(-B12/Marketing_Saturation_Spend))*F12*GiftShop_Spillover</f>
        <v/>
      </c>
      <c r="Q12" s="17">
        <f>N12-O12-M12+P12</f>
        <v/>
      </c>
      <c r="R12" s="17">
        <f>Q12*Campaign_Days-B12</f>
        <v/>
      </c>
    </row>
    <row r="13">
      <c r="A13" s="6" t="inlineStr">
        <is>
          <t>1. r2 c2</t>
        </is>
      </c>
      <c r="B13" s="17">
        <f>Sensitivity!$B$8</f>
        <v/>
      </c>
      <c r="C13" s="14">
        <f>Locals_Share_Ceiling</f>
        <v/>
      </c>
      <c r="D13" s="15">
        <f>Sensitivity!D$6</f>
        <v/>
      </c>
      <c r="E13" s="15">
        <f>Average_PWYW</f>
        <v/>
      </c>
      <c r="F13" s="14">
        <f>Local_AudioTour_Rate_PWYW</f>
        <v/>
      </c>
      <c r="G13" s="14">
        <f>Percentage_Locals_Init+(C13-Percentage_Locals_Init)*(1-EXP(-B13/Marketing_Saturation_Spend))</f>
        <v/>
      </c>
      <c r="H13" s="13">
        <f>Tourists_Base*G13/(1-G13)</f>
        <v/>
      </c>
      <c r="I13" s="13">
        <f>H13-Locals_Base</f>
        <v/>
      </c>
      <c r="J13" s="13">
        <f>Locals_Base*(1-(1-EXP(-B13/Marketing_Saturation_Spend)))*Local_AudioTour_Rate_Init+(H13-Locals_Base*(1-(1-EXP(-B13/Marketing_Saturation_Spend))))*F13</f>
        <v/>
      </c>
      <c r="K13" s="13">
        <f>AudioTourist_Base+J13</f>
        <v/>
      </c>
      <c r="L13" s="6">
        <f>MAX(0,ROUNDUP((K13-Device_Capacity)/Device_Block_Size,0))</f>
        <v/>
      </c>
      <c r="M13" s="6">
        <f>L13*Device_Block_Cost/Device_Amort_Days</f>
        <v/>
      </c>
      <c r="N13" s="17">
        <f>Fee_Keep*(Locals_Base*(1-(1-EXP(-B13/Marketing_Saturation_Spend)))*Local_AudioTour_Rate_Init*AudioTour_Price+(H13-Locals_Base*(1-(1-EXP(-B13/Marketing_Saturation_Spend))))*F13*E13-AudioLocal_Base*AudioTour_Price)</f>
        <v/>
      </c>
      <c r="O13" s="17">
        <f>(K13-Total_Daily_AudioTour)*Headset_Cost</f>
        <v/>
      </c>
      <c r="P13" s="17">
        <f>I13*D13+Locals_Base*(1-EXP(-B13/Marketing_Saturation_Spend))*F13*GiftShop_Spillover</f>
        <v/>
      </c>
      <c r="Q13" s="17">
        <f>N13-O13-M13+P13</f>
        <v/>
      </c>
      <c r="R13" s="17">
        <f>Q13*Campaign_Days-B13</f>
        <v/>
      </c>
    </row>
    <row r="14">
      <c r="A14" s="6" t="inlineStr">
        <is>
          <t>1. r2 c3</t>
        </is>
      </c>
      <c r="B14" s="17">
        <f>Sensitivity!$B$8</f>
        <v/>
      </c>
      <c r="C14" s="14">
        <f>Locals_Share_Ceiling</f>
        <v/>
      </c>
      <c r="D14" s="15">
        <f>Sensitivity!E$6</f>
        <v/>
      </c>
      <c r="E14" s="15">
        <f>Average_PWYW</f>
        <v/>
      </c>
      <c r="F14" s="14">
        <f>Local_AudioTour_Rate_PWYW</f>
        <v/>
      </c>
      <c r="G14" s="14">
        <f>Percentage_Locals_Init+(C14-Percentage_Locals_Init)*(1-EXP(-B14/Marketing_Saturation_Spend))</f>
        <v/>
      </c>
      <c r="H14" s="13">
        <f>Tourists_Base*G14/(1-G14)</f>
        <v/>
      </c>
      <c r="I14" s="13">
        <f>H14-Locals_Base</f>
        <v/>
      </c>
      <c r="J14" s="13">
        <f>Locals_Base*(1-(1-EXP(-B14/Marketing_Saturation_Spend)))*Local_AudioTour_Rate_Init+(H14-Locals_Base*(1-(1-EXP(-B14/Marketing_Saturation_Spend))))*F14</f>
        <v/>
      </c>
      <c r="K14" s="13">
        <f>AudioTourist_Base+J14</f>
        <v/>
      </c>
      <c r="L14" s="6">
        <f>MAX(0,ROUNDUP((K14-Device_Capacity)/Device_Block_Size,0))</f>
        <v/>
      </c>
      <c r="M14" s="6">
        <f>L14*Device_Block_Cost/Device_Amort_Days</f>
        <v/>
      </c>
      <c r="N14" s="17">
        <f>Fee_Keep*(Locals_Base*(1-(1-EXP(-B14/Marketing_Saturation_Spend)))*Local_AudioTour_Rate_Init*AudioTour_Price+(H14-Locals_Base*(1-(1-EXP(-B14/Marketing_Saturation_Spend))))*F14*E14-AudioLocal_Base*AudioTour_Price)</f>
        <v/>
      </c>
      <c r="O14" s="17">
        <f>(K14-Total_Daily_AudioTour)*Headset_Cost</f>
        <v/>
      </c>
      <c r="P14" s="17">
        <f>I14*D14+Locals_Base*(1-EXP(-B14/Marketing_Saturation_Spend))*F14*GiftShop_Spillover</f>
        <v/>
      </c>
      <c r="Q14" s="17">
        <f>N14-O14-M14+P14</f>
        <v/>
      </c>
      <c r="R14" s="17">
        <f>Q14*Campaign_Days-B14</f>
        <v/>
      </c>
    </row>
    <row r="15">
      <c r="A15" s="6" t="inlineStr">
        <is>
          <t>1. r2 c4</t>
        </is>
      </c>
      <c r="B15" s="17">
        <f>Sensitivity!$B$8</f>
        <v/>
      </c>
      <c r="C15" s="14">
        <f>Locals_Share_Ceiling</f>
        <v/>
      </c>
      <c r="D15" s="15">
        <f>Sensitivity!F$6</f>
        <v/>
      </c>
      <c r="E15" s="15">
        <f>Average_PWYW</f>
        <v/>
      </c>
      <c r="F15" s="14">
        <f>Local_AudioTour_Rate_PWYW</f>
        <v/>
      </c>
      <c r="G15" s="14">
        <f>Percentage_Locals_Init+(C15-Percentage_Locals_Init)*(1-EXP(-B15/Marketing_Saturation_Spend))</f>
        <v/>
      </c>
      <c r="H15" s="13">
        <f>Tourists_Base*G15/(1-G15)</f>
        <v/>
      </c>
      <c r="I15" s="13">
        <f>H15-Locals_Base</f>
        <v/>
      </c>
      <c r="J15" s="13">
        <f>Locals_Base*(1-(1-EXP(-B15/Marketing_Saturation_Spend)))*Local_AudioTour_Rate_Init+(H15-Locals_Base*(1-(1-EXP(-B15/Marketing_Saturation_Spend))))*F15</f>
        <v/>
      </c>
      <c r="K15" s="13">
        <f>AudioTourist_Base+J15</f>
        <v/>
      </c>
      <c r="L15" s="6">
        <f>MAX(0,ROUNDUP((K15-Device_Capacity)/Device_Block_Size,0))</f>
        <v/>
      </c>
      <c r="M15" s="6">
        <f>L15*Device_Block_Cost/Device_Amort_Days</f>
        <v/>
      </c>
      <c r="N15" s="17">
        <f>Fee_Keep*(Locals_Base*(1-(1-EXP(-B15/Marketing_Saturation_Spend)))*Local_AudioTour_Rate_Init*AudioTour_Price+(H15-Locals_Base*(1-(1-EXP(-B15/Marketing_Saturation_Spend))))*F15*E15-AudioLocal_Base*AudioTour_Price)</f>
        <v/>
      </c>
      <c r="O15" s="17">
        <f>(K15-Total_Daily_AudioTour)*Headset_Cost</f>
        <v/>
      </c>
      <c r="P15" s="17">
        <f>I15*D15+Locals_Base*(1-EXP(-B15/Marketing_Saturation_Spend))*F15*GiftShop_Spillover</f>
        <v/>
      </c>
      <c r="Q15" s="17">
        <f>N15-O15-M15+P15</f>
        <v/>
      </c>
      <c r="R15" s="17">
        <f>Q15*Campaign_Days-B15</f>
        <v/>
      </c>
    </row>
    <row r="16">
      <c r="A16" s="6" t="inlineStr">
        <is>
          <t>1. r2 c5</t>
        </is>
      </c>
      <c r="B16" s="17">
        <f>Sensitivity!$B$8</f>
        <v/>
      </c>
      <c r="C16" s="14">
        <f>Locals_Share_Ceiling</f>
        <v/>
      </c>
      <c r="D16" s="15">
        <f>Sensitivity!G$6</f>
        <v/>
      </c>
      <c r="E16" s="15">
        <f>Average_PWYW</f>
        <v/>
      </c>
      <c r="F16" s="14">
        <f>Local_AudioTour_Rate_PWYW</f>
        <v/>
      </c>
      <c r="G16" s="14">
        <f>Percentage_Locals_Init+(C16-Percentage_Locals_Init)*(1-EXP(-B16/Marketing_Saturation_Spend))</f>
        <v/>
      </c>
      <c r="H16" s="13">
        <f>Tourists_Base*G16/(1-G16)</f>
        <v/>
      </c>
      <c r="I16" s="13">
        <f>H16-Locals_Base</f>
        <v/>
      </c>
      <c r="J16" s="13">
        <f>Locals_Base*(1-(1-EXP(-B16/Marketing_Saturation_Spend)))*Local_AudioTour_Rate_Init+(H16-Locals_Base*(1-(1-EXP(-B16/Marketing_Saturation_Spend))))*F16</f>
        <v/>
      </c>
      <c r="K16" s="13">
        <f>AudioTourist_Base+J16</f>
        <v/>
      </c>
      <c r="L16" s="6">
        <f>MAX(0,ROUNDUP((K16-Device_Capacity)/Device_Block_Size,0))</f>
        <v/>
      </c>
      <c r="M16" s="6">
        <f>L16*Device_Block_Cost/Device_Amort_Days</f>
        <v/>
      </c>
      <c r="N16" s="17">
        <f>Fee_Keep*(Locals_Base*(1-(1-EXP(-B16/Marketing_Saturation_Spend)))*Local_AudioTour_Rate_Init*AudioTour_Price+(H16-Locals_Base*(1-(1-EXP(-B16/Marketing_Saturation_Spend))))*F16*E16-AudioLocal_Base*AudioTour_Price)</f>
        <v/>
      </c>
      <c r="O16" s="17">
        <f>(K16-Total_Daily_AudioTour)*Headset_Cost</f>
        <v/>
      </c>
      <c r="P16" s="17">
        <f>I16*D16+Locals_Base*(1-EXP(-B16/Marketing_Saturation_Spend))*F16*GiftShop_Spillover</f>
        <v/>
      </c>
      <c r="Q16" s="17">
        <f>N16-O16-M16+P16</f>
        <v/>
      </c>
      <c r="R16" s="17">
        <f>Q16*Campaign_Days-B16</f>
        <v/>
      </c>
    </row>
    <row r="17">
      <c r="A17" s="6" t="inlineStr">
        <is>
          <t>1. r2 c6</t>
        </is>
      </c>
      <c r="B17" s="17">
        <f>Sensitivity!$B$8</f>
        <v/>
      </c>
      <c r="C17" s="14">
        <f>Locals_Share_Ceiling</f>
        <v/>
      </c>
      <c r="D17" s="15">
        <f>Sensitivity!H$6</f>
        <v/>
      </c>
      <c r="E17" s="15">
        <f>Average_PWYW</f>
        <v/>
      </c>
      <c r="F17" s="14">
        <f>Local_AudioTour_Rate_PWYW</f>
        <v/>
      </c>
      <c r="G17" s="14">
        <f>Percentage_Locals_Init+(C17-Percentage_Locals_Init)*(1-EXP(-B17/Marketing_Saturation_Spend))</f>
        <v/>
      </c>
      <c r="H17" s="13">
        <f>Tourists_Base*G17/(1-G17)</f>
        <v/>
      </c>
      <c r="I17" s="13">
        <f>H17-Locals_Base</f>
        <v/>
      </c>
      <c r="J17" s="13">
        <f>Locals_Base*(1-(1-EXP(-B17/Marketing_Saturation_Spend)))*Local_AudioTour_Rate_Init+(H17-Locals_Base*(1-(1-EXP(-B17/Marketing_Saturation_Spend))))*F17</f>
        <v/>
      </c>
      <c r="K17" s="13">
        <f>AudioTourist_Base+J17</f>
        <v/>
      </c>
      <c r="L17" s="6">
        <f>MAX(0,ROUNDUP((K17-Device_Capacity)/Device_Block_Size,0))</f>
        <v/>
      </c>
      <c r="M17" s="6">
        <f>L17*Device_Block_Cost/Device_Amort_Days</f>
        <v/>
      </c>
      <c r="N17" s="17">
        <f>Fee_Keep*(Locals_Base*(1-(1-EXP(-B17/Marketing_Saturation_Spend)))*Local_AudioTour_Rate_Init*AudioTour_Price+(H17-Locals_Base*(1-(1-EXP(-B17/Marketing_Saturation_Spend))))*F17*E17-AudioLocal_Base*AudioTour_Price)</f>
        <v/>
      </c>
      <c r="O17" s="17">
        <f>(K17-Total_Daily_AudioTour)*Headset_Cost</f>
        <v/>
      </c>
      <c r="P17" s="17">
        <f>I17*D17+Locals_Base*(1-EXP(-B17/Marketing_Saturation_Spend))*F17*GiftShop_Spillover</f>
        <v/>
      </c>
      <c r="Q17" s="17">
        <f>N17-O17-M17+P17</f>
        <v/>
      </c>
      <c r="R17" s="17">
        <f>Q17*Campaign_Days-B17</f>
        <v/>
      </c>
    </row>
    <row r="18">
      <c r="A18" s="6" t="inlineStr">
        <is>
          <t>1. r2 c7</t>
        </is>
      </c>
      <c r="B18" s="17">
        <f>Sensitivity!$B$8</f>
        <v/>
      </c>
      <c r="C18" s="14">
        <f>Locals_Share_Ceiling</f>
        <v/>
      </c>
      <c r="D18" s="15">
        <f>Sensitivity!I$6</f>
        <v/>
      </c>
      <c r="E18" s="15">
        <f>Average_PWYW</f>
        <v/>
      </c>
      <c r="F18" s="14">
        <f>Local_AudioTour_Rate_PWYW</f>
        <v/>
      </c>
      <c r="G18" s="14">
        <f>Percentage_Locals_Init+(C18-Percentage_Locals_Init)*(1-EXP(-B18/Marketing_Saturation_Spend))</f>
        <v/>
      </c>
      <c r="H18" s="13">
        <f>Tourists_Base*G18/(1-G18)</f>
        <v/>
      </c>
      <c r="I18" s="13">
        <f>H18-Locals_Base</f>
        <v/>
      </c>
      <c r="J18" s="13">
        <f>Locals_Base*(1-(1-EXP(-B18/Marketing_Saturation_Spend)))*Local_AudioTour_Rate_Init+(H18-Locals_Base*(1-(1-EXP(-B18/Marketing_Saturation_Spend))))*F18</f>
        <v/>
      </c>
      <c r="K18" s="13">
        <f>AudioTourist_Base+J18</f>
        <v/>
      </c>
      <c r="L18" s="6">
        <f>MAX(0,ROUNDUP((K18-Device_Capacity)/Device_Block_Size,0))</f>
        <v/>
      </c>
      <c r="M18" s="6">
        <f>L18*Device_Block_Cost/Device_Amort_Days</f>
        <v/>
      </c>
      <c r="N18" s="17">
        <f>Fee_Keep*(Locals_Base*(1-(1-EXP(-B18/Marketing_Saturation_Spend)))*Local_AudioTour_Rate_Init*AudioTour_Price+(H18-Locals_Base*(1-(1-EXP(-B18/Marketing_Saturation_Spend))))*F18*E18-AudioLocal_Base*AudioTour_Price)</f>
        <v/>
      </c>
      <c r="O18" s="17">
        <f>(K18-Total_Daily_AudioTour)*Headset_Cost</f>
        <v/>
      </c>
      <c r="P18" s="17">
        <f>I18*D18+Locals_Base*(1-EXP(-B18/Marketing_Saturation_Spend))*F18*GiftShop_Spillover</f>
        <v/>
      </c>
      <c r="Q18" s="17">
        <f>N18-O18-M18+P18</f>
        <v/>
      </c>
      <c r="R18" s="17">
        <f>Q18*Campaign_Days-B18</f>
        <v/>
      </c>
    </row>
    <row r="19">
      <c r="A19" s="6" t="inlineStr">
        <is>
          <t>1. r3 c1</t>
        </is>
      </c>
      <c r="B19" s="17">
        <f>Sensitivity!$B$9</f>
        <v/>
      </c>
      <c r="C19" s="14">
        <f>Locals_Share_Ceiling</f>
        <v/>
      </c>
      <c r="D19" s="15">
        <f>Sensitivity!C$6</f>
        <v/>
      </c>
      <c r="E19" s="15">
        <f>Average_PWYW</f>
        <v/>
      </c>
      <c r="F19" s="14">
        <f>Local_AudioTour_Rate_PWYW</f>
        <v/>
      </c>
      <c r="G19" s="14">
        <f>Percentage_Locals_Init+(C19-Percentage_Locals_Init)*(1-EXP(-B19/Marketing_Saturation_Spend))</f>
        <v/>
      </c>
      <c r="H19" s="13">
        <f>Tourists_Base*G19/(1-G19)</f>
        <v/>
      </c>
      <c r="I19" s="13">
        <f>H19-Locals_Base</f>
        <v/>
      </c>
      <c r="J19" s="13">
        <f>Locals_Base*(1-(1-EXP(-B19/Marketing_Saturation_Spend)))*Local_AudioTour_Rate_Init+(H19-Locals_Base*(1-(1-EXP(-B19/Marketing_Saturation_Spend))))*F19</f>
        <v/>
      </c>
      <c r="K19" s="13">
        <f>AudioTourist_Base+J19</f>
        <v/>
      </c>
      <c r="L19" s="6">
        <f>MAX(0,ROUNDUP((K19-Device_Capacity)/Device_Block_Size,0))</f>
        <v/>
      </c>
      <c r="M19" s="6">
        <f>L19*Device_Block_Cost/Device_Amort_Days</f>
        <v/>
      </c>
      <c r="N19" s="17">
        <f>Fee_Keep*(Locals_Base*(1-(1-EXP(-B19/Marketing_Saturation_Spend)))*Local_AudioTour_Rate_Init*AudioTour_Price+(H19-Locals_Base*(1-(1-EXP(-B19/Marketing_Saturation_Spend))))*F19*E19-AudioLocal_Base*AudioTour_Price)</f>
        <v/>
      </c>
      <c r="O19" s="17">
        <f>(K19-Total_Daily_AudioTour)*Headset_Cost</f>
        <v/>
      </c>
      <c r="P19" s="17">
        <f>I19*D19+Locals_Base*(1-EXP(-B19/Marketing_Saturation_Spend))*F19*GiftShop_Spillover</f>
        <v/>
      </c>
      <c r="Q19" s="17">
        <f>N19-O19-M19+P19</f>
        <v/>
      </c>
      <c r="R19" s="17">
        <f>Q19*Campaign_Days-B19</f>
        <v/>
      </c>
    </row>
    <row r="20">
      <c r="A20" s="6" t="inlineStr">
        <is>
          <t>1. r3 c2</t>
        </is>
      </c>
      <c r="B20" s="17">
        <f>Sensitivity!$B$9</f>
        <v/>
      </c>
      <c r="C20" s="14">
        <f>Locals_Share_Ceiling</f>
        <v/>
      </c>
      <c r="D20" s="15">
        <f>Sensitivity!D$6</f>
        <v/>
      </c>
      <c r="E20" s="15">
        <f>Average_PWYW</f>
        <v/>
      </c>
      <c r="F20" s="14">
        <f>Local_AudioTour_Rate_PWYW</f>
        <v/>
      </c>
      <c r="G20" s="14">
        <f>Percentage_Locals_Init+(C20-Percentage_Locals_Init)*(1-EXP(-B20/Marketing_Saturation_Spend))</f>
        <v/>
      </c>
      <c r="H20" s="13">
        <f>Tourists_Base*G20/(1-G20)</f>
        <v/>
      </c>
      <c r="I20" s="13">
        <f>H20-Locals_Base</f>
        <v/>
      </c>
      <c r="J20" s="13">
        <f>Locals_Base*(1-(1-EXP(-B20/Marketing_Saturation_Spend)))*Local_AudioTour_Rate_Init+(H20-Locals_Base*(1-(1-EXP(-B20/Marketing_Saturation_Spend))))*F20</f>
        <v/>
      </c>
      <c r="K20" s="13">
        <f>AudioTourist_Base+J20</f>
        <v/>
      </c>
      <c r="L20" s="6">
        <f>MAX(0,ROUNDUP((K20-Device_Capacity)/Device_Block_Size,0))</f>
        <v/>
      </c>
      <c r="M20" s="6">
        <f>L20*Device_Block_Cost/Device_Amort_Days</f>
        <v/>
      </c>
      <c r="N20" s="17">
        <f>Fee_Keep*(Locals_Base*(1-(1-EXP(-B20/Marketing_Saturation_Spend)))*Local_AudioTour_Rate_Init*AudioTour_Price+(H20-Locals_Base*(1-(1-EXP(-B20/Marketing_Saturation_Spend))))*F20*E20-AudioLocal_Base*AudioTour_Price)</f>
        <v/>
      </c>
      <c r="O20" s="17">
        <f>(K20-Total_Daily_AudioTour)*Headset_Cost</f>
        <v/>
      </c>
      <c r="P20" s="17">
        <f>I20*D20+Locals_Base*(1-EXP(-B20/Marketing_Saturation_Spend))*F20*GiftShop_Spillover</f>
        <v/>
      </c>
      <c r="Q20" s="17">
        <f>N20-O20-M20+P20</f>
        <v/>
      </c>
      <c r="R20" s="17">
        <f>Q20*Campaign_Days-B20</f>
        <v/>
      </c>
    </row>
    <row r="21">
      <c r="A21" s="6" t="inlineStr">
        <is>
          <t>1. r3 c3</t>
        </is>
      </c>
      <c r="B21" s="17">
        <f>Sensitivity!$B$9</f>
        <v/>
      </c>
      <c r="C21" s="14">
        <f>Locals_Share_Ceiling</f>
        <v/>
      </c>
      <c r="D21" s="15">
        <f>Sensitivity!E$6</f>
        <v/>
      </c>
      <c r="E21" s="15">
        <f>Average_PWYW</f>
        <v/>
      </c>
      <c r="F21" s="14">
        <f>Local_AudioTour_Rate_PWYW</f>
        <v/>
      </c>
      <c r="G21" s="14">
        <f>Percentage_Locals_Init+(C21-Percentage_Locals_Init)*(1-EXP(-B21/Marketing_Saturation_Spend))</f>
        <v/>
      </c>
      <c r="H21" s="13">
        <f>Tourists_Base*G21/(1-G21)</f>
        <v/>
      </c>
      <c r="I21" s="13">
        <f>H21-Locals_Base</f>
        <v/>
      </c>
      <c r="J21" s="13">
        <f>Locals_Base*(1-(1-EXP(-B21/Marketing_Saturation_Spend)))*Local_AudioTour_Rate_Init+(H21-Locals_Base*(1-(1-EXP(-B21/Marketing_Saturation_Spend))))*F21</f>
        <v/>
      </c>
      <c r="K21" s="13">
        <f>AudioTourist_Base+J21</f>
        <v/>
      </c>
      <c r="L21" s="6">
        <f>MAX(0,ROUNDUP((K21-Device_Capacity)/Device_Block_Size,0))</f>
        <v/>
      </c>
      <c r="M21" s="6">
        <f>L21*Device_Block_Cost/Device_Amort_Days</f>
        <v/>
      </c>
      <c r="N21" s="17">
        <f>Fee_Keep*(Locals_Base*(1-(1-EXP(-B21/Marketing_Saturation_Spend)))*Local_AudioTour_Rate_Init*AudioTour_Price+(H21-Locals_Base*(1-(1-EXP(-B21/Marketing_Saturation_Spend))))*F21*E21-AudioLocal_Base*AudioTour_Price)</f>
        <v/>
      </c>
      <c r="O21" s="17">
        <f>(K21-Total_Daily_AudioTour)*Headset_Cost</f>
        <v/>
      </c>
      <c r="P21" s="17">
        <f>I21*D21+Locals_Base*(1-EXP(-B21/Marketing_Saturation_Spend))*F21*GiftShop_Spillover</f>
        <v/>
      </c>
      <c r="Q21" s="17">
        <f>N21-O21-M21+P21</f>
        <v/>
      </c>
      <c r="R21" s="17">
        <f>Q21*Campaign_Days-B21</f>
        <v/>
      </c>
    </row>
    <row r="22">
      <c r="A22" s="6" t="inlineStr">
        <is>
          <t>1. r3 c4</t>
        </is>
      </c>
      <c r="B22" s="17">
        <f>Sensitivity!$B$9</f>
        <v/>
      </c>
      <c r="C22" s="14">
        <f>Locals_Share_Ceiling</f>
        <v/>
      </c>
      <c r="D22" s="15">
        <f>Sensitivity!F$6</f>
        <v/>
      </c>
      <c r="E22" s="15">
        <f>Average_PWYW</f>
        <v/>
      </c>
      <c r="F22" s="14">
        <f>Local_AudioTour_Rate_PWYW</f>
        <v/>
      </c>
      <c r="G22" s="14">
        <f>Percentage_Locals_Init+(C22-Percentage_Locals_Init)*(1-EXP(-B22/Marketing_Saturation_Spend))</f>
        <v/>
      </c>
      <c r="H22" s="13">
        <f>Tourists_Base*G22/(1-G22)</f>
        <v/>
      </c>
      <c r="I22" s="13">
        <f>H22-Locals_Base</f>
        <v/>
      </c>
      <c r="J22" s="13">
        <f>Locals_Base*(1-(1-EXP(-B22/Marketing_Saturation_Spend)))*Local_AudioTour_Rate_Init+(H22-Locals_Base*(1-(1-EXP(-B22/Marketing_Saturation_Spend))))*F22</f>
        <v/>
      </c>
      <c r="K22" s="13">
        <f>AudioTourist_Base+J22</f>
        <v/>
      </c>
      <c r="L22" s="6">
        <f>MAX(0,ROUNDUP((K22-Device_Capacity)/Device_Block_Size,0))</f>
        <v/>
      </c>
      <c r="M22" s="6">
        <f>L22*Device_Block_Cost/Device_Amort_Days</f>
        <v/>
      </c>
      <c r="N22" s="17">
        <f>Fee_Keep*(Locals_Base*(1-(1-EXP(-B22/Marketing_Saturation_Spend)))*Local_AudioTour_Rate_Init*AudioTour_Price+(H22-Locals_Base*(1-(1-EXP(-B22/Marketing_Saturation_Spend))))*F22*E22-AudioLocal_Base*AudioTour_Price)</f>
        <v/>
      </c>
      <c r="O22" s="17">
        <f>(K22-Total_Daily_AudioTour)*Headset_Cost</f>
        <v/>
      </c>
      <c r="P22" s="17">
        <f>I22*D22+Locals_Base*(1-EXP(-B22/Marketing_Saturation_Spend))*F22*GiftShop_Spillover</f>
        <v/>
      </c>
      <c r="Q22" s="17">
        <f>N22-O22-M22+P22</f>
        <v/>
      </c>
      <c r="R22" s="17">
        <f>Q22*Campaign_Days-B22</f>
        <v/>
      </c>
    </row>
    <row r="23">
      <c r="A23" s="6" t="inlineStr">
        <is>
          <t>1. r3 c5</t>
        </is>
      </c>
      <c r="B23" s="17">
        <f>Sensitivity!$B$9</f>
        <v/>
      </c>
      <c r="C23" s="14">
        <f>Locals_Share_Ceiling</f>
        <v/>
      </c>
      <c r="D23" s="15">
        <f>Sensitivity!G$6</f>
        <v/>
      </c>
      <c r="E23" s="15">
        <f>Average_PWYW</f>
        <v/>
      </c>
      <c r="F23" s="14">
        <f>Local_AudioTour_Rate_PWYW</f>
        <v/>
      </c>
      <c r="G23" s="14">
        <f>Percentage_Locals_Init+(C23-Percentage_Locals_Init)*(1-EXP(-B23/Marketing_Saturation_Spend))</f>
        <v/>
      </c>
      <c r="H23" s="13">
        <f>Tourists_Base*G23/(1-G23)</f>
        <v/>
      </c>
      <c r="I23" s="13">
        <f>H23-Locals_Base</f>
        <v/>
      </c>
      <c r="J23" s="13">
        <f>Locals_Base*(1-(1-EXP(-B23/Marketing_Saturation_Spend)))*Local_AudioTour_Rate_Init+(H23-Locals_Base*(1-(1-EXP(-B23/Marketing_Saturation_Spend))))*F23</f>
        <v/>
      </c>
      <c r="K23" s="13">
        <f>AudioTourist_Base+J23</f>
        <v/>
      </c>
      <c r="L23" s="6">
        <f>MAX(0,ROUNDUP((K23-Device_Capacity)/Device_Block_Size,0))</f>
        <v/>
      </c>
      <c r="M23" s="6">
        <f>L23*Device_Block_Cost/Device_Amort_Days</f>
        <v/>
      </c>
      <c r="N23" s="17">
        <f>Fee_Keep*(Locals_Base*(1-(1-EXP(-B23/Marketing_Saturation_Spend)))*Local_AudioTour_Rate_Init*AudioTour_Price+(H23-Locals_Base*(1-(1-EXP(-B23/Marketing_Saturation_Spend))))*F23*E23-AudioLocal_Base*AudioTour_Price)</f>
        <v/>
      </c>
      <c r="O23" s="17">
        <f>(K23-Total_Daily_AudioTour)*Headset_Cost</f>
        <v/>
      </c>
      <c r="P23" s="17">
        <f>I23*D23+Locals_Base*(1-EXP(-B23/Marketing_Saturation_Spend))*F23*GiftShop_Spillover</f>
        <v/>
      </c>
      <c r="Q23" s="17">
        <f>N23-O23-M23+P23</f>
        <v/>
      </c>
      <c r="R23" s="17">
        <f>Q23*Campaign_Days-B23</f>
        <v/>
      </c>
    </row>
    <row r="24">
      <c r="A24" s="6" t="inlineStr">
        <is>
          <t>1. r3 c6</t>
        </is>
      </c>
      <c r="B24" s="17">
        <f>Sensitivity!$B$9</f>
        <v/>
      </c>
      <c r="C24" s="14">
        <f>Locals_Share_Ceiling</f>
        <v/>
      </c>
      <c r="D24" s="15">
        <f>Sensitivity!H$6</f>
        <v/>
      </c>
      <c r="E24" s="15">
        <f>Average_PWYW</f>
        <v/>
      </c>
      <c r="F24" s="14">
        <f>Local_AudioTour_Rate_PWYW</f>
        <v/>
      </c>
      <c r="G24" s="14">
        <f>Percentage_Locals_Init+(C24-Percentage_Locals_Init)*(1-EXP(-B24/Marketing_Saturation_Spend))</f>
        <v/>
      </c>
      <c r="H24" s="13">
        <f>Tourists_Base*G24/(1-G24)</f>
        <v/>
      </c>
      <c r="I24" s="13">
        <f>H24-Locals_Base</f>
        <v/>
      </c>
      <c r="J24" s="13">
        <f>Locals_Base*(1-(1-EXP(-B24/Marketing_Saturation_Spend)))*Local_AudioTour_Rate_Init+(H24-Locals_Base*(1-(1-EXP(-B24/Marketing_Saturation_Spend))))*F24</f>
        <v/>
      </c>
      <c r="K24" s="13">
        <f>AudioTourist_Base+J24</f>
        <v/>
      </c>
      <c r="L24" s="6">
        <f>MAX(0,ROUNDUP((K24-Device_Capacity)/Device_Block_Size,0))</f>
        <v/>
      </c>
      <c r="M24" s="6">
        <f>L24*Device_Block_Cost/Device_Amort_Days</f>
        <v/>
      </c>
      <c r="N24" s="17">
        <f>Fee_Keep*(Locals_Base*(1-(1-EXP(-B24/Marketing_Saturation_Spend)))*Local_AudioTour_Rate_Init*AudioTour_Price+(H24-Locals_Base*(1-(1-EXP(-B24/Marketing_Saturation_Spend))))*F24*E24-AudioLocal_Base*AudioTour_Price)</f>
        <v/>
      </c>
      <c r="O24" s="17">
        <f>(K24-Total_Daily_AudioTour)*Headset_Cost</f>
        <v/>
      </c>
      <c r="P24" s="17">
        <f>I24*D24+Locals_Base*(1-EXP(-B24/Marketing_Saturation_Spend))*F24*GiftShop_Spillover</f>
        <v/>
      </c>
      <c r="Q24" s="17">
        <f>N24-O24-M24+P24</f>
        <v/>
      </c>
      <c r="R24" s="17">
        <f>Q24*Campaign_Days-B24</f>
        <v/>
      </c>
    </row>
    <row r="25">
      <c r="A25" s="6" t="inlineStr">
        <is>
          <t>1. r3 c7</t>
        </is>
      </c>
      <c r="B25" s="17">
        <f>Sensitivity!$B$9</f>
        <v/>
      </c>
      <c r="C25" s="14">
        <f>Locals_Share_Ceiling</f>
        <v/>
      </c>
      <c r="D25" s="15">
        <f>Sensitivity!I$6</f>
        <v/>
      </c>
      <c r="E25" s="15">
        <f>Average_PWYW</f>
        <v/>
      </c>
      <c r="F25" s="14">
        <f>Local_AudioTour_Rate_PWYW</f>
        <v/>
      </c>
      <c r="G25" s="14">
        <f>Percentage_Locals_Init+(C25-Percentage_Locals_Init)*(1-EXP(-B25/Marketing_Saturation_Spend))</f>
        <v/>
      </c>
      <c r="H25" s="13">
        <f>Tourists_Base*G25/(1-G25)</f>
        <v/>
      </c>
      <c r="I25" s="13">
        <f>H25-Locals_Base</f>
        <v/>
      </c>
      <c r="J25" s="13">
        <f>Locals_Base*(1-(1-EXP(-B25/Marketing_Saturation_Spend)))*Local_AudioTour_Rate_Init+(H25-Locals_Base*(1-(1-EXP(-B25/Marketing_Saturation_Spend))))*F25</f>
        <v/>
      </c>
      <c r="K25" s="13">
        <f>AudioTourist_Base+J25</f>
        <v/>
      </c>
      <c r="L25" s="6">
        <f>MAX(0,ROUNDUP((K25-Device_Capacity)/Device_Block_Size,0))</f>
        <v/>
      </c>
      <c r="M25" s="6">
        <f>L25*Device_Block_Cost/Device_Amort_Days</f>
        <v/>
      </c>
      <c r="N25" s="17">
        <f>Fee_Keep*(Locals_Base*(1-(1-EXP(-B25/Marketing_Saturation_Spend)))*Local_AudioTour_Rate_Init*AudioTour_Price+(H25-Locals_Base*(1-(1-EXP(-B25/Marketing_Saturation_Spend))))*F25*E25-AudioLocal_Base*AudioTour_Price)</f>
        <v/>
      </c>
      <c r="O25" s="17">
        <f>(K25-Total_Daily_AudioTour)*Headset_Cost</f>
        <v/>
      </c>
      <c r="P25" s="17">
        <f>I25*D25+Locals_Base*(1-EXP(-B25/Marketing_Saturation_Spend))*F25*GiftShop_Spillover</f>
        <v/>
      </c>
      <c r="Q25" s="17">
        <f>N25-O25-M25+P25</f>
        <v/>
      </c>
      <c r="R25" s="17">
        <f>Q25*Campaign_Days-B25</f>
        <v/>
      </c>
    </row>
    <row r="26">
      <c r="A26" s="6" t="inlineStr">
        <is>
          <t>1. r4 c1</t>
        </is>
      </c>
      <c r="B26" s="17">
        <f>Sensitivity!$B$10</f>
        <v/>
      </c>
      <c r="C26" s="14">
        <f>Locals_Share_Ceiling</f>
        <v/>
      </c>
      <c r="D26" s="15">
        <f>Sensitivity!C$6</f>
        <v/>
      </c>
      <c r="E26" s="15">
        <f>Average_PWYW</f>
        <v/>
      </c>
      <c r="F26" s="14">
        <f>Local_AudioTour_Rate_PWYW</f>
        <v/>
      </c>
      <c r="G26" s="14">
        <f>Percentage_Locals_Init+(C26-Percentage_Locals_Init)*(1-EXP(-B26/Marketing_Saturation_Spend))</f>
        <v/>
      </c>
      <c r="H26" s="13">
        <f>Tourists_Base*G26/(1-G26)</f>
        <v/>
      </c>
      <c r="I26" s="13">
        <f>H26-Locals_Base</f>
        <v/>
      </c>
      <c r="J26" s="13">
        <f>Locals_Base*(1-(1-EXP(-B26/Marketing_Saturation_Spend)))*Local_AudioTour_Rate_Init+(H26-Locals_Base*(1-(1-EXP(-B26/Marketing_Saturation_Spend))))*F26</f>
        <v/>
      </c>
      <c r="K26" s="13">
        <f>AudioTourist_Base+J26</f>
        <v/>
      </c>
      <c r="L26" s="6">
        <f>MAX(0,ROUNDUP((K26-Device_Capacity)/Device_Block_Size,0))</f>
        <v/>
      </c>
      <c r="M26" s="6">
        <f>L26*Device_Block_Cost/Device_Amort_Days</f>
        <v/>
      </c>
      <c r="N26" s="17">
        <f>Fee_Keep*(Locals_Base*(1-(1-EXP(-B26/Marketing_Saturation_Spend)))*Local_AudioTour_Rate_Init*AudioTour_Price+(H26-Locals_Base*(1-(1-EXP(-B26/Marketing_Saturation_Spend))))*F26*E26-AudioLocal_Base*AudioTour_Price)</f>
        <v/>
      </c>
      <c r="O26" s="17">
        <f>(K26-Total_Daily_AudioTour)*Headset_Cost</f>
        <v/>
      </c>
      <c r="P26" s="17">
        <f>I26*D26+Locals_Base*(1-EXP(-B26/Marketing_Saturation_Spend))*F26*GiftShop_Spillover</f>
        <v/>
      </c>
      <c r="Q26" s="17">
        <f>N26-O26-M26+P26</f>
        <v/>
      </c>
      <c r="R26" s="17">
        <f>Q26*Campaign_Days-B26</f>
        <v/>
      </c>
    </row>
    <row r="27">
      <c r="A27" s="6" t="inlineStr">
        <is>
          <t>1. r4 c2</t>
        </is>
      </c>
      <c r="B27" s="17">
        <f>Sensitivity!$B$10</f>
        <v/>
      </c>
      <c r="C27" s="14">
        <f>Locals_Share_Ceiling</f>
        <v/>
      </c>
      <c r="D27" s="15">
        <f>Sensitivity!D$6</f>
        <v/>
      </c>
      <c r="E27" s="15">
        <f>Average_PWYW</f>
        <v/>
      </c>
      <c r="F27" s="14">
        <f>Local_AudioTour_Rate_PWYW</f>
        <v/>
      </c>
      <c r="G27" s="14">
        <f>Percentage_Locals_Init+(C27-Percentage_Locals_Init)*(1-EXP(-B27/Marketing_Saturation_Spend))</f>
        <v/>
      </c>
      <c r="H27" s="13">
        <f>Tourists_Base*G27/(1-G27)</f>
        <v/>
      </c>
      <c r="I27" s="13">
        <f>H27-Locals_Base</f>
        <v/>
      </c>
      <c r="J27" s="13">
        <f>Locals_Base*(1-(1-EXP(-B27/Marketing_Saturation_Spend)))*Local_AudioTour_Rate_Init+(H27-Locals_Base*(1-(1-EXP(-B27/Marketing_Saturation_Spend))))*F27</f>
        <v/>
      </c>
      <c r="K27" s="13">
        <f>AudioTourist_Base+J27</f>
        <v/>
      </c>
      <c r="L27" s="6">
        <f>MAX(0,ROUNDUP((K27-Device_Capacity)/Device_Block_Size,0))</f>
        <v/>
      </c>
      <c r="M27" s="6">
        <f>L27*Device_Block_Cost/Device_Amort_Days</f>
        <v/>
      </c>
      <c r="N27" s="17">
        <f>Fee_Keep*(Locals_Base*(1-(1-EXP(-B27/Marketing_Saturation_Spend)))*Local_AudioTour_Rate_Init*AudioTour_Price+(H27-Locals_Base*(1-(1-EXP(-B27/Marketing_Saturation_Spend))))*F27*E27-AudioLocal_Base*AudioTour_Price)</f>
        <v/>
      </c>
      <c r="O27" s="17">
        <f>(K27-Total_Daily_AudioTour)*Headset_Cost</f>
        <v/>
      </c>
      <c r="P27" s="17">
        <f>I27*D27+Locals_Base*(1-EXP(-B27/Marketing_Saturation_Spend))*F27*GiftShop_Spillover</f>
        <v/>
      </c>
      <c r="Q27" s="17">
        <f>N27-O27-M27+P27</f>
        <v/>
      </c>
      <c r="R27" s="17">
        <f>Q27*Campaign_Days-B27</f>
        <v/>
      </c>
    </row>
    <row r="28">
      <c r="A28" s="6" t="inlineStr">
        <is>
          <t>1. r4 c3</t>
        </is>
      </c>
      <c r="B28" s="17">
        <f>Sensitivity!$B$10</f>
        <v/>
      </c>
      <c r="C28" s="14">
        <f>Locals_Share_Ceiling</f>
        <v/>
      </c>
      <c r="D28" s="15">
        <f>Sensitivity!E$6</f>
        <v/>
      </c>
      <c r="E28" s="15">
        <f>Average_PWYW</f>
        <v/>
      </c>
      <c r="F28" s="14">
        <f>Local_AudioTour_Rate_PWYW</f>
        <v/>
      </c>
      <c r="G28" s="14">
        <f>Percentage_Locals_Init+(C28-Percentage_Locals_Init)*(1-EXP(-B28/Marketing_Saturation_Spend))</f>
        <v/>
      </c>
      <c r="H28" s="13">
        <f>Tourists_Base*G28/(1-G28)</f>
        <v/>
      </c>
      <c r="I28" s="13">
        <f>H28-Locals_Base</f>
        <v/>
      </c>
      <c r="J28" s="13">
        <f>Locals_Base*(1-(1-EXP(-B28/Marketing_Saturation_Spend)))*Local_AudioTour_Rate_Init+(H28-Locals_Base*(1-(1-EXP(-B28/Marketing_Saturation_Spend))))*F28</f>
        <v/>
      </c>
      <c r="K28" s="13">
        <f>AudioTourist_Base+J28</f>
        <v/>
      </c>
      <c r="L28" s="6">
        <f>MAX(0,ROUNDUP((K28-Device_Capacity)/Device_Block_Size,0))</f>
        <v/>
      </c>
      <c r="M28" s="6">
        <f>L28*Device_Block_Cost/Device_Amort_Days</f>
        <v/>
      </c>
      <c r="N28" s="17">
        <f>Fee_Keep*(Locals_Base*(1-(1-EXP(-B28/Marketing_Saturation_Spend)))*Local_AudioTour_Rate_Init*AudioTour_Price+(H28-Locals_Base*(1-(1-EXP(-B28/Marketing_Saturation_Spend))))*F28*E28-AudioLocal_Base*AudioTour_Price)</f>
        <v/>
      </c>
      <c r="O28" s="17">
        <f>(K28-Total_Daily_AudioTour)*Headset_Cost</f>
        <v/>
      </c>
      <c r="P28" s="17">
        <f>I28*D28+Locals_Base*(1-EXP(-B28/Marketing_Saturation_Spend))*F28*GiftShop_Spillover</f>
        <v/>
      </c>
      <c r="Q28" s="17">
        <f>N28-O28-M28+P28</f>
        <v/>
      </c>
      <c r="R28" s="17">
        <f>Q28*Campaign_Days-B28</f>
        <v/>
      </c>
    </row>
    <row r="29">
      <c r="A29" s="6" t="inlineStr">
        <is>
          <t>1. r4 c4</t>
        </is>
      </c>
      <c r="B29" s="17">
        <f>Sensitivity!$B$10</f>
        <v/>
      </c>
      <c r="C29" s="14">
        <f>Locals_Share_Ceiling</f>
        <v/>
      </c>
      <c r="D29" s="15">
        <f>Sensitivity!F$6</f>
        <v/>
      </c>
      <c r="E29" s="15">
        <f>Average_PWYW</f>
        <v/>
      </c>
      <c r="F29" s="14">
        <f>Local_AudioTour_Rate_PWYW</f>
        <v/>
      </c>
      <c r="G29" s="14">
        <f>Percentage_Locals_Init+(C29-Percentage_Locals_Init)*(1-EXP(-B29/Marketing_Saturation_Spend))</f>
        <v/>
      </c>
      <c r="H29" s="13">
        <f>Tourists_Base*G29/(1-G29)</f>
        <v/>
      </c>
      <c r="I29" s="13">
        <f>H29-Locals_Base</f>
        <v/>
      </c>
      <c r="J29" s="13">
        <f>Locals_Base*(1-(1-EXP(-B29/Marketing_Saturation_Spend)))*Local_AudioTour_Rate_Init+(H29-Locals_Base*(1-(1-EXP(-B29/Marketing_Saturation_Spend))))*F29</f>
        <v/>
      </c>
      <c r="K29" s="13">
        <f>AudioTourist_Base+J29</f>
        <v/>
      </c>
      <c r="L29" s="6">
        <f>MAX(0,ROUNDUP((K29-Device_Capacity)/Device_Block_Size,0))</f>
        <v/>
      </c>
      <c r="M29" s="6">
        <f>L29*Device_Block_Cost/Device_Amort_Days</f>
        <v/>
      </c>
      <c r="N29" s="17">
        <f>Fee_Keep*(Locals_Base*(1-(1-EXP(-B29/Marketing_Saturation_Spend)))*Local_AudioTour_Rate_Init*AudioTour_Price+(H29-Locals_Base*(1-(1-EXP(-B29/Marketing_Saturation_Spend))))*F29*E29-AudioLocal_Base*AudioTour_Price)</f>
        <v/>
      </c>
      <c r="O29" s="17">
        <f>(K29-Total_Daily_AudioTour)*Headset_Cost</f>
        <v/>
      </c>
      <c r="P29" s="17">
        <f>I29*D29+Locals_Base*(1-EXP(-B29/Marketing_Saturation_Spend))*F29*GiftShop_Spillover</f>
        <v/>
      </c>
      <c r="Q29" s="17">
        <f>N29-O29-M29+P29</f>
        <v/>
      </c>
      <c r="R29" s="17">
        <f>Q29*Campaign_Days-B29</f>
        <v/>
      </c>
    </row>
    <row r="30">
      <c r="A30" s="6" t="inlineStr">
        <is>
          <t>1. r4 c5</t>
        </is>
      </c>
      <c r="B30" s="17">
        <f>Sensitivity!$B$10</f>
        <v/>
      </c>
      <c r="C30" s="14">
        <f>Locals_Share_Ceiling</f>
        <v/>
      </c>
      <c r="D30" s="15">
        <f>Sensitivity!G$6</f>
        <v/>
      </c>
      <c r="E30" s="15">
        <f>Average_PWYW</f>
        <v/>
      </c>
      <c r="F30" s="14">
        <f>Local_AudioTour_Rate_PWYW</f>
        <v/>
      </c>
      <c r="G30" s="14">
        <f>Percentage_Locals_Init+(C30-Percentage_Locals_Init)*(1-EXP(-B30/Marketing_Saturation_Spend))</f>
        <v/>
      </c>
      <c r="H30" s="13">
        <f>Tourists_Base*G30/(1-G30)</f>
        <v/>
      </c>
      <c r="I30" s="13">
        <f>H30-Locals_Base</f>
        <v/>
      </c>
      <c r="J30" s="13">
        <f>Locals_Base*(1-(1-EXP(-B30/Marketing_Saturation_Spend)))*Local_AudioTour_Rate_Init+(H30-Locals_Base*(1-(1-EXP(-B30/Marketing_Saturation_Spend))))*F30</f>
        <v/>
      </c>
      <c r="K30" s="13">
        <f>AudioTourist_Base+J30</f>
        <v/>
      </c>
      <c r="L30" s="6">
        <f>MAX(0,ROUNDUP((K30-Device_Capacity)/Device_Block_Size,0))</f>
        <v/>
      </c>
      <c r="M30" s="6">
        <f>L30*Device_Block_Cost/Device_Amort_Days</f>
        <v/>
      </c>
      <c r="N30" s="17">
        <f>Fee_Keep*(Locals_Base*(1-(1-EXP(-B30/Marketing_Saturation_Spend)))*Local_AudioTour_Rate_Init*AudioTour_Price+(H30-Locals_Base*(1-(1-EXP(-B30/Marketing_Saturation_Spend))))*F30*E30-AudioLocal_Base*AudioTour_Price)</f>
        <v/>
      </c>
      <c r="O30" s="17">
        <f>(K30-Total_Daily_AudioTour)*Headset_Cost</f>
        <v/>
      </c>
      <c r="P30" s="17">
        <f>I30*D30+Locals_Base*(1-EXP(-B30/Marketing_Saturation_Spend))*F30*GiftShop_Spillover</f>
        <v/>
      </c>
      <c r="Q30" s="17">
        <f>N30-O30-M30+P30</f>
        <v/>
      </c>
      <c r="R30" s="17">
        <f>Q30*Campaign_Days-B30</f>
        <v/>
      </c>
    </row>
    <row r="31">
      <c r="A31" s="6" t="inlineStr">
        <is>
          <t>1. r4 c6</t>
        </is>
      </c>
      <c r="B31" s="17">
        <f>Sensitivity!$B$10</f>
        <v/>
      </c>
      <c r="C31" s="14">
        <f>Locals_Share_Ceiling</f>
        <v/>
      </c>
      <c r="D31" s="15">
        <f>Sensitivity!H$6</f>
        <v/>
      </c>
      <c r="E31" s="15">
        <f>Average_PWYW</f>
        <v/>
      </c>
      <c r="F31" s="14">
        <f>Local_AudioTour_Rate_PWYW</f>
        <v/>
      </c>
      <c r="G31" s="14">
        <f>Percentage_Locals_Init+(C31-Percentage_Locals_Init)*(1-EXP(-B31/Marketing_Saturation_Spend))</f>
        <v/>
      </c>
      <c r="H31" s="13">
        <f>Tourists_Base*G31/(1-G31)</f>
        <v/>
      </c>
      <c r="I31" s="13">
        <f>H31-Locals_Base</f>
        <v/>
      </c>
      <c r="J31" s="13">
        <f>Locals_Base*(1-(1-EXP(-B31/Marketing_Saturation_Spend)))*Local_AudioTour_Rate_Init+(H31-Locals_Base*(1-(1-EXP(-B31/Marketing_Saturation_Spend))))*F31</f>
        <v/>
      </c>
      <c r="K31" s="13">
        <f>AudioTourist_Base+J31</f>
        <v/>
      </c>
      <c r="L31" s="6">
        <f>MAX(0,ROUNDUP((K31-Device_Capacity)/Device_Block_Size,0))</f>
        <v/>
      </c>
      <c r="M31" s="6">
        <f>L31*Device_Block_Cost/Device_Amort_Days</f>
        <v/>
      </c>
      <c r="N31" s="17">
        <f>Fee_Keep*(Locals_Base*(1-(1-EXP(-B31/Marketing_Saturation_Spend)))*Local_AudioTour_Rate_Init*AudioTour_Price+(H31-Locals_Base*(1-(1-EXP(-B31/Marketing_Saturation_Spend))))*F31*E31-AudioLocal_Base*AudioTour_Price)</f>
        <v/>
      </c>
      <c r="O31" s="17">
        <f>(K31-Total_Daily_AudioTour)*Headset_Cost</f>
        <v/>
      </c>
      <c r="P31" s="17">
        <f>I31*D31+Locals_Base*(1-EXP(-B31/Marketing_Saturation_Spend))*F31*GiftShop_Spillover</f>
        <v/>
      </c>
      <c r="Q31" s="17">
        <f>N31-O31-M31+P31</f>
        <v/>
      </c>
      <c r="R31" s="17">
        <f>Q31*Campaign_Days-B31</f>
        <v/>
      </c>
    </row>
    <row r="32">
      <c r="A32" s="6" t="inlineStr">
        <is>
          <t>1. r4 c7</t>
        </is>
      </c>
      <c r="B32" s="17">
        <f>Sensitivity!$B$10</f>
        <v/>
      </c>
      <c r="C32" s="14">
        <f>Locals_Share_Ceiling</f>
        <v/>
      </c>
      <c r="D32" s="15">
        <f>Sensitivity!I$6</f>
        <v/>
      </c>
      <c r="E32" s="15">
        <f>Average_PWYW</f>
        <v/>
      </c>
      <c r="F32" s="14">
        <f>Local_AudioTour_Rate_PWYW</f>
        <v/>
      </c>
      <c r="G32" s="14">
        <f>Percentage_Locals_Init+(C32-Percentage_Locals_Init)*(1-EXP(-B32/Marketing_Saturation_Spend))</f>
        <v/>
      </c>
      <c r="H32" s="13">
        <f>Tourists_Base*G32/(1-G32)</f>
        <v/>
      </c>
      <c r="I32" s="13">
        <f>H32-Locals_Base</f>
        <v/>
      </c>
      <c r="J32" s="13">
        <f>Locals_Base*(1-(1-EXP(-B32/Marketing_Saturation_Spend)))*Local_AudioTour_Rate_Init+(H32-Locals_Base*(1-(1-EXP(-B32/Marketing_Saturation_Spend))))*F32</f>
        <v/>
      </c>
      <c r="K32" s="13">
        <f>AudioTourist_Base+J32</f>
        <v/>
      </c>
      <c r="L32" s="6">
        <f>MAX(0,ROUNDUP((K32-Device_Capacity)/Device_Block_Size,0))</f>
        <v/>
      </c>
      <c r="M32" s="6">
        <f>L32*Device_Block_Cost/Device_Amort_Days</f>
        <v/>
      </c>
      <c r="N32" s="17">
        <f>Fee_Keep*(Locals_Base*(1-(1-EXP(-B32/Marketing_Saturation_Spend)))*Local_AudioTour_Rate_Init*AudioTour_Price+(H32-Locals_Base*(1-(1-EXP(-B32/Marketing_Saturation_Spend))))*F32*E32-AudioLocal_Base*AudioTour_Price)</f>
        <v/>
      </c>
      <c r="O32" s="17">
        <f>(K32-Total_Daily_AudioTour)*Headset_Cost</f>
        <v/>
      </c>
      <c r="P32" s="17">
        <f>I32*D32+Locals_Base*(1-EXP(-B32/Marketing_Saturation_Spend))*F32*GiftShop_Spillover</f>
        <v/>
      </c>
      <c r="Q32" s="17">
        <f>N32-O32-M32+P32</f>
        <v/>
      </c>
      <c r="R32" s="17">
        <f>Q32*Campaign_Days-B32</f>
        <v/>
      </c>
    </row>
    <row r="33">
      <c r="A33" s="6" t="inlineStr">
        <is>
          <t>1. r5 c1</t>
        </is>
      </c>
      <c r="B33" s="17">
        <f>Sensitivity!$B$11</f>
        <v/>
      </c>
      <c r="C33" s="14">
        <f>Locals_Share_Ceiling</f>
        <v/>
      </c>
      <c r="D33" s="15">
        <f>Sensitivity!C$6</f>
        <v/>
      </c>
      <c r="E33" s="15">
        <f>Average_PWYW</f>
        <v/>
      </c>
      <c r="F33" s="14">
        <f>Local_AudioTour_Rate_PWYW</f>
        <v/>
      </c>
      <c r="G33" s="14">
        <f>Percentage_Locals_Init+(C33-Percentage_Locals_Init)*(1-EXP(-B33/Marketing_Saturation_Spend))</f>
        <v/>
      </c>
      <c r="H33" s="13">
        <f>Tourists_Base*G33/(1-G33)</f>
        <v/>
      </c>
      <c r="I33" s="13">
        <f>H33-Locals_Base</f>
        <v/>
      </c>
      <c r="J33" s="13">
        <f>Locals_Base*(1-(1-EXP(-B33/Marketing_Saturation_Spend)))*Local_AudioTour_Rate_Init+(H33-Locals_Base*(1-(1-EXP(-B33/Marketing_Saturation_Spend))))*F33</f>
        <v/>
      </c>
      <c r="K33" s="13">
        <f>AudioTourist_Base+J33</f>
        <v/>
      </c>
      <c r="L33" s="6">
        <f>MAX(0,ROUNDUP((K33-Device_Capacity)/Device_Block_Size,0))</f>
        <v/>
      </c>
      <c r="M33" s="6">
        <f>L33*Device_Block_Cost/Device_Amort_Days</f>
        <v/>
      </c>
      <c r="N33" s="17">
        <f>Fee_Keep*(Locals_Base*(1-(1-EXP(-B33/Marketing_Saturation_Spend)))*Local_AudioTour_Rate_Init*AudioTour_Price+(H33-Locals_Base*(1-(1-EXP(-B33/Marketing_Saturation_Spend))))*F33*E33-AudioLocal_Base*AudioTour_Price)</f>
        <v/>
      </c>
      <c r="O33" s="17">
        <f>(K33-Total_Daily_AudioTour)*Headset_Cost</f>
        <v/>
      </c>
      <c r="P33" s="17">
        <f>I33*D33+Locals_Base*(1-EXP(-B33/Marketing_Saturation_Spend))*F33*GiftShop_Spillover</f>
        <v/>
      </c>
      <c r="Q33" s="17">
        <f>N33-O33-M33+P33</f>
        <v/>
      </c>
      <c r="R33" s="17">
        <f>Q33*Campaign_Days-B33</f>
        <v/>
      </c>
    </row>
    <row r="34">
      <c r="A34" s="6" t="inlineStr">
        <is>
          <t>1. r5 c2</t>
        </is>
      </c>
      <c r="B34" s="17">
        <f>Sensitivity!$B$11</f>
        <v/>
      </c>
      <c r="C34" s="14">
        <f>Locals_Share_Ceiling</f>
        <v/>
      </c>
      <c r="D34" s="15">
        <f>Sensitivity!D$6</f>
        <v/>
      </c>
      <c r="E34" s="15">
        <f>Average_PWYW</f>
        <v/>
      </c>
      <c r="F34" s="14">
        <f>Local_AudioTour_Rate_PWYW</f>
        <v/>
      </c>
      <c r="G34" s="14">
        <f>Percentage_Locals_Init+(C34-Percentage_Locals_Init)*(1-EXP(-B34/Marketing_Saturation_Spend))</f>
        <v/>
      </c>
      <c r="H34" s="13">
        <f>Tourists_Base*G34/(1-G34)</f>
        <v/>
      </c>
      <c r="I34" s="13">
        <f>H34-Locals_Base</f>
        <v/>
      </c>
      <c r="J34" s="13">
        <f>Locals_Base*(1-(1-EXP(-B34/Marketing_Saturation_Spend)))*Local_AudioTour_Rate_Init+(H34-Locals_Base*(1-(1-EXP(-B34/Marketing_Saturation_Spend))))*F34</f>
        <v/>
      </c>
      <c r="K34" s="13">
        <f>AudioTourist_Base+J34</f>
        <v/>
      </c>
      <c r="L34" s="6">
        <f>MAX(0,ROUNDUP((K34-Device_Capacity)/Device_Block_Size,0))</f>
        <v/>
      </c>
      <c r="M34" s="6">
        <f>L34*Device_Block_Cost/Device_Amort_Days</f>
        <v/>
      </c>
      <c r="N34" s="17">
        <f>Fee_Keep*(Locals_Base*(1-(1-EXP(-B34/Marketing_Saturation_Spend)))*Local_AudioTour_Rate_Init*AudioTour_Price+(H34-Locals_Base*(1-(1-EXP(-B34/Marketing_Saturation_Spend))))*F34*E34-AudioLocal_Base*AudioTour_Price)</f>
        <v/>
      </c>
      <c r="O34" s="17">
        <f>(K34-Total_Daily_AudioTour)*Headset_Cost</f>
        <v/>
      </c>
      <c r="P34" s="17">
        <f>I34*D34+Locals_Base*(1-EXP(-B34/Marketing_Saturation_Spend))*F34*GiftShop_Spillover</f>
        <v/>
      </c>
      <c r="Q34" s="17">
        <f>N34-O34-M34+P34</f>
        <v/>
      </c>
      <c r="R34" s="17">
        <f>Q34*Campaign_Days-B34</f>
        <v/>
      </c>
    </row>
    <row r="35">
      <c r="A35" s="6" t="inlineStr">
        <is>
          <t>1. r5 c3</t>
        </is>
      </c>
      <c r="B35" s="17">
        <f>Sensitivity!$B$11</f>
        <v/>
      </c>
      <c r="C35" s="14">
        <f>Locals_Share_Ceiling</f>
        <v/>
      </c>
      <c r="D35" s="15">
        <f>Sensitivity!E$6</f>
        <v/>
      </c>
      <c r="E35" s="15">
        <f>Average_PWYW</f>
        <v/>
      </c>
      <c r="F35" s="14">
        <f>Local_AudioTour_Rate_PWYW</f>
        <v/>
      </c>
      <c r="G35" s="14">
        <f>Percentage_Locals_Init+(C35-Percentage_Locals_Init)*(1-EXP(-B35/Marketing_Saturation_Spend))</f>
        <v/>
      </c>
      <c r="H35" s="13">
        <f>Tourists_Base*G35/(1-G35)</f>
        <v/>
      </c>
      <c r="I35" s="13">
        <f>H35-Locals_Base</f>
        <v/>
      </c>
      <c r="J35" s="13">
        <f>Locals_Base*(1-(1-EXP(-B35/Marketing_Saturation_Spend)))*Local_AudioTour_Rate_Init+(H35-Locals_Base*(1-(1-EXP(-B35/Marketing_Saturation_Spend))))*F35</f>
        <v/>
      </c>
      <c r="K35" s="13">
        <f>AudioTourist_Base+J35</f>
        <v/>
      </c>
      <c r="L35" s="6">
        <f>MAX(0,ROUNDUP((K35-Device_Capacity)/Device_Block_Size,0))</f>
        <v/>
      </c>
      <c r="M35" s="6">
        <f>L35*Device_Block_Cost/Device_Amort_Days</f>
        <v/>
      </c>
      <c r="N35" s="17">
        <f>Fee_Keep*(Locals_Base*(1-(1-EXP(-B35/Marketing_Saturation_Spend)))*Local_AudioTour_Rate_Init*AudioTour_Price+(H35-Locals_Base*(1-(1-EXP(-B35/Marketing_Saturation_Spend))))*F35*E35-AudioLocal_Base*AudioTour_Price)</f>
        <v/>
      </c>
      <c r="O35" s="17">
        <f>(K35-Total_Daily_AudioTour)*Headset_Cost</f>
        <v/>
      </c>
      <c r="P35" s="17">
        <f>I35*D35+Locals_Base*(1-EXP(-B35/Marketing_Saturation_Spend))*F35*GiftShop_Spillover</f>
        <v/>
      </c>
      <c r="Q35" s="17">
        <f>N35-O35-M35+P35</f>
        <v/>
      </c>
      <c r="R35" s="17">
        <f>Q35*Campaign_Days-B35</f>
        <v/>
      </c>
    </row>
    <row r="36">
      <c r="A36" s="6" t="inlineStr">
        <is>
          <t>1. r5 c4</t>
        </is>
      </c>
      <c r="B36" s="17">
        <f>Sensitivity!$B$11</f>
        <v/>
      </c>
      <c r="C36" s="14">
        <f>Locals_Share_Ceiling</f>
        <v/>
      </c>
      <c r="D36" s="15">
        <f>Sensitivity!F$6</f>
        <v/>
      </c>
      <c r="E36" s="15">
        <f>Average_PWYW</f>
        <v/>
      </c>
      <c r="F36" s="14">
        <f>Local_AudioTour_Rate_PWYW</f>
        <v/>
      </c>
      <c r="G36" s="14">
        <f>Percentage_Locals_Init+(C36-Percentage_Locals_Init)*(1-EXP(-B36/Marketing_Saturation_Spend))</f>
        <v/>
      </c>
      <c r="H36" s="13">
        <f>Tourists_Base*G36/(1-G36)</f>
        <v/>
      </c>
      <c r="I36" s="13">
        <f>H36-Locals_Base</f>
        <v/>
      </c>
      <c r="J36" s="13">
        <f>Locals_Base*(1-(1-EXP(-B36/Marketing_Saturation_Spend)))*Local_AudioTour_Rate_Init+(H36-Locals_Base*(1-(1-EXP(-B36/Marketing_Saturation_Spend))))*F36</f>
        <v/>
      </c>
      <c r="K36" s="13">
        <f>AudioTourist_Base+J36</f>
        <v/>
      </c>
      <c r="L36" s="6">
        <f>MAX(0,ROUNDUP((K36-Device_Capacity)/Device_Block_Size,0))</f>
        <v/>
      </c>
      <c r="M36" s="6">
        <f>L36*Device_Block_Cost/Device_Amort_Days</f>
        <v/>
      </c>
      <c r="N36" s="17">
        <f>Fee_Keep*(Locals_Base*(1-(1-EXP(-B36/Marketing_Saturation_Spend)))*Local_AudioTour_Rate_Init*AudioTour_Price+(H36-Locals_Base*(1-(1-EXP(-B36/Marketing_Saturation_Spend))))*F36*E36-AudioLocal_Base*AudioTour_Price)</f>
        <v/>
      </c>
      <c r="O36" s="17">
        <f>(K36-Total_Daily_AudioTour)*Headset_Cost</f>
        <v/>
      </c>
      <c r="P36" s="17">
        <f>I36*D36+Locals_Base*(1-EXP(-B36/Marketing_Saturation_Spend))*F36*GiftShop_Spillover</f>
        <v/>
      </c>
      <c r="Q36" s="17">
        <f>N36-O36-M36+P36</f>
        <v/>
      </c>
      <c r="R36" s="17">
        <f>Q36*Campaign_Days-B36</f>
        <v/>
      </c>
    </row>
    <row r="37">
      <c r="A37" s="6" t="inlineStr">
        <is>
          <t>1. r5 c5</t>
        </is>
      </c>
      <c r="B37" s="17">
        <f>Sensitivity!$B$11</f>
        <v/>
      </c>
      <c r="C37" s="14">
        <f>Locals_Share_Ceiling</f>
        <v/>
      </c>
      <c r="D37" s="15">
        <f>Sensitivity!G$6</f>
        <v/>
      </c>
      <c r="E37" s="15">
        <f>Average_PWYW</f>
        <v/>
      </c>
      <c r="F37" s="14">
        <f>Local_AudioTour_Rate_PWYW</f>
        <v/>
      </c>
      <c r="G37" s="14">
        <f>Percentage_Locals_Init+(C37-Percentage_Locals_Init)*(1-EXP(-B37/Marketing_Saturation_Spend))</f>
        <v/>
      </c>
      <c r="H37" s="13">
        <f>Tourists_Base*G37/(1-G37)</f>
        <v/>
      </c>
      <c r="I37" s="13">
        <f>H37-Locals_Base</f>
        <v/>
      </c>
      <c r="J37" s="13">
        <f>Locals_Base*(1-(1-EXP(-B37/Marketing_Saturation_Spend)))*Local_AudioTour_Rate_Init+(H37-Locals_Base*(1-(1-EXP(-B37/Marketing_Saturation_Spend))))*F37</f>
        <v/>
      </c>
      <c r="K37" s="13">
        <f>AudioTourist_Base+J37</f>
        <v/>
      </c>
      <c r="L37" s="6">
        <f>MAX(0,ROUNDUP((K37-Device_Capacity)/Device_Block_Size,0))</f>
        <v/>
      </c>
      <c r="M37" s="6">
        <f>L37*Device_Block_Cost/Device_Amort_Days</f>
        <v/>
      </c>
      <c r="N37" s="17">
        <f>Fee_Keep*(Locals_Base*(1-(1-EXP(-B37/Marketing_Saturation_Spend)))*Local_AudioTour_Rate_Init*AudioTour_Price+(H37-Locals_Base*(1-(1-EXP(-B37/Marketing_Saturation_Spend))))*F37*E37-AudioLocal_Base*AudioTour_Price)</f>
        <v/>
      </c>
      <c r="O37" s="17">
        <f>(K37-Total_Daily_AudioTour)*Headset_Cost</f>
        <v/>
      </c>
      <c r="P37" s="17">
        <f>I37*D37+Locals_Base*(1-EXP(-B37/Marketing_Saturation_Spend))*F37*GiftShop_Spillover</f>
        <v/>
      </c>
      <c r="Q37" s="17">
        <f>N37-O37-M37+P37</f>
        <v/>
      </c>
      <c r="R37" s="17">
        <f>Q37*Campaign_Days-B37</f>
        <v/>
      </c>
    </row>
    <row r="38">
      <c r="A38" s="6" t="inlineStr">
        <is>
          <t>1. r5 c6</t>
        </is>
      </c>
      <c r="B38" s="17">
        <f>Sensitivity!$B$11</f>
        <v/>
      </c>
      <c r="C38" s="14">
        <f>Locals_Share_Ceiling</f>
        <v/>
      </c>
      <c r="D38" s="15">
        <f>Sensitivity!H$6</f>
        <v/>
      </c>
      <c r="E38" s="15">
        <f>Average_PWYW</f>
        <v/>
      </c>
      <c r="F38" s="14">
        <f>Local_AudioTour_Rate_PWYW</f>
        <v/>
      </c>
      <c r="G38" s="14">
        <f>Percentage_Locals_Init+(C38-Percentage_Locals_Init)*(1-EXP(-B38/Marketing_Saturation_Spend))</f>
        <v/>
      </c>
      <c r="H38" s="13">
        <f>Tourists_Base*G38/(1-G38)</f>
        <v/>
      </c>
      <c r="I38" s="13">
        <f>H38-Locals_Base</f>
        <v/>
      </c>
      <c r="J38" s="13">
        <f>Locals_Base*(1-(1-EXP(-B38/Marketing_Saturation_Spend)))*Local_AudioTour_Rate_Init+(H38-Locals_Base*(1-(1-EXP(-B38/Marketing_Saturation_Spend))))*F38</f>
        <v/>
      </c>
      <c r="K38" s="13">
        <f>AudioTourist_Base+J38</f>
        <v/>
      </c>
      <c r="L38" s="6">
        <f>MAX(0,ROUNDUP((K38-Device_Capacity)/Device_Block_Size,0))</f>
        <v/>
      </c>
      <c r="M38" s="6">
        <f>L38*Device_Block_Cost/Device_Amort_Days</f>
        <v/>
      </c>
      <c r="N38" s="17">
        <f>Fee_Keep*(Locals_Base*(1-(1-EXP(-B38/Marketing_Saturation_Spend)))*Local_AudioTour_Rate_Init*AudioTour_Price+(H38-Locals_Base*(1-(1-EXP(-B38/Marketing_Saturation_Spend))))*F38*E38-AudioLocal_Base*AudioTour_Price)</f>
        <v/>
      </c>
      <c r="O38" s="17">
        <f>(K38-Total_Daily_AudioTour)*Headset_Cost</f>
        <v/>
      </c>
      <c r="P38" s="17">
        <f>I38*D38+Locals_Base*(1-EXP(-B38/Marketing_Saturation_Spend))*F38*GiftShop_Spillover</f>
        <v/>
      </c>
      <c r="Q38" s="17">
        <f>N38-O38-M38+P38</f>
        <v/>
      </c>
      <c r="R38" s="17">
        <f>Q38*Campaign_Days-B38</f>
        <v/>
      </c>
    </row>
    <row r="39">
      <c r="A39" s="6" t="inlineStr">
        <is>
          <t>1. r5 c7</t>
        </is>
      </c>
      <c r="B39" s="17">
        <f>Sensitivity!$B$11</f>
        <v/>
      </c>
      <c r="C39" s="14">
        <f>Locals_Share_Ceiling</f>
        <v/>
      </c>
      <c r="D39" s="15">
        <f>Sensitivity!I$6</f>
        <v/>
      </c>
      <c r="E39" s="15">
        <f>Average_PWYW</f>
        <v/>
      </c>
      <c r="F39" s="14">
        <f>Local_AudioTour_Rate_PWYW</f>
        <v/>
      </c>
      <c r="G39" s="14">
        <f>Percentage_Locals_Init+(C39-Percentage_Locals_Init)*(1-EXP(-B39/Marketing_Saturation_Spend))</f>
        <v/>
      </c>
      <c r="H39" s="13">
        <f>Tourists_Base*G39/(1-G39)</f>
        <v/>
      </c>
      <c r="I39" s="13">
        <f>H39-Locals_Base</f>
        <v/>
      </c>
      <c r="J39" s="13">
        <f>Locals_Base*(1-(1-EXP(-B39/Marketing_Saturation_Spend)))*Local_AudioTour_Rate_Init+(H39-Locals_Base*(1-(1-EXP(-B39/Marketing_Saturation_Spend))))*F39</f>
        <v/>
      </c>
      <c r="K39" s="13">
        <f>AudioTourist_Base+J39</f>
        <v/>
      </c>
      <c r="L39" s="6">
        <f>MAX(0,ROUNDUP((K39-Device_Capacity)/Device_Block_Size,0))</f>
        <v/>
      </c>
      <c r="M39" s="6">
        <f>L39*Device_Block_Cost/Device_Amort_Days</f>
        <v/>
      </c>
      <c r="N39" s="17">
        <f>Fee_Keep*(Locals_Base*(1-(1-EXP(-B39/Marketing_Saturation_Spend)))*Local_AudioTour_Rate_Init*AudioTour_Price+(H39-Locals_Base*(1-(1-EXP(-B39/Marketing_Saturation_Spend))))*F39*E39-AudioLocal_Base*AudioTour_Price)</f>
        <v/>
      </c>
      <c r="O39" s="17">
        <f>(K39-Total_Daily_AudioTour)*Headset_Cost</f>
        <v/>
      </c>
      <c r="P39" s="17">
        <f>I39*D39+Locals_Base*(1-EXP(-B39/Marketing_Saturation_Spend))*F39*GiftShop_Spillover</f>
        <v/>
      </c>
      <c r="Q39" s="17">
        <f>N39-O39-M39+P39</f>
        <v/>
      </c>
      <c r="R39" s="17">
        <f>Q39*Campaign_Days-B39</f>
        <v/>
      </c>
    </row>
    <row r="40">
      <c r="A40" s="6" t="inlineStr">
        <is>
          <t>1. r6 c1</t>
        </is>
      </c>
      <c r="B40" s="17">
        <f>Sensitivity!$B$12</f>
        <v/>
      </c>
      <c r="C40" s="14">
        <f>Locals_Share_Ceiling</f>
        <v/>
      </c>
      <c r="D40" s="15">
        <f>Sensitivity!C$6</f>
        <v/>
      </c>
      <c r="E40" s="15">
        <f>Average_PWYW</f>
        <v/>
      </c>
      <c r="F40" s="14">
        <f>Local_AudioTour_Rate_PWYW</f>
        <v/>
      </c>
      <c r="G40" s="14">
        <f>Percentage_Locals_Init+(C40-Percentage_Locals_Init)*(1-EXP(-B40/Marketing_Saturation_Spend))</f>
        <v/>
      </c>
      <c r="H40" s="13">
        <f>Tourists_Base*G40/(1-G40)</f>
        <v/>
      </c>
      <c r="I40" s="13">
        <f>H40-Locals_Base</f>
        <v/>
      </c>
      <c r="J40" s="13">
        <f>Locals_Base*(1-(1-EXP(-B40/Marketing_Saturation_Spend)))*Local_AudioTour_Rate_Init+(H40-Locals_Base*(1-(1-EXP(-B40/Marketing_Saturation_Spend))))*F40</f>
        <v/>
      </c>
      <c r="K40" s="13">
        <f>AudioTourist_Base+J40</f>
        <v/>
      </c>
      <c r="L40" s="6">
        <f>MAX(0,ROUNDUP((K40-Device_Capacity)/Device_Block_Size,0))</f>
        <v/>
      </c>
      <c r="M40" s="6">
        <f>L40*Device_Block_Cost/Device_Amort_Days</f>
        <v/>
      </c>
      <c r="N40" s="17">
        <f>Fee_Keep*(Locals_Base*(1-(1-EXP(-B40/Marketing_Saturation_Spend)))*Local_AudioTour_Rate_Init*AudioTour_Price+(H40-Locals_Base*(1-(1-EXP(-B40/Marketing_Saturation_Spend))))*F40*E40-AudioLocal_Base*AudioTour_Price)</f>
        <v/>
      </c>
      <c r="O40" s="17">
        <f>(K40-Total_Daily_AudioTour)*Headset_Cost</f>
        <v/>
      </c>
      <c r="P40" s="17">
        <f>I40*D40+Locals_Base*(1-EXP(-B40/Marketing_Saturation_Spend))*F40*GiftShop_Spillover</f>
        <v/>
      </c>
      <c r="Q40" s="17">
        <f>N40-O40-M40+P40</f>
        <v/>
      </c>
      <c r="R40" s="17">
        <f>Q40*Campaign_Days-B40</f>
        <v/>
      </c>
    </row>
    <row r="41">
      <c r="A41" s="6" t="inlineStr">
        <is>
          <t>1. r6 c2</t>
        </is>
      </c>
      <c r="B41" s="17">
        <f>Sensitivity!$B$12</f>
        <v/>
      </c>
      <c r="C41" s="14">
        <f>Locals_Share_Ceiling</f>
        <v/>
      </c>
      <c r="D41" s="15">
        <f>Sensitivity!D$6</f>
        <v/>
      </c>
      <c r="E41" s="15">
        <f>Average_PWYW</f>
        <v/>
      </c>
      <c r="F41" s="14">
        <f>Local_AudioTour_Rate_PWYW</f>
        <v/>
      </c>
      <c r="G41" s="14">
        <f>Percentage_Locals_Init+(C41-Percentage_Locals_Init)*(1-EXP(-B41/Marketing_Saturation_Spend))</f>
        <v/>
      </c>
      <c r="H41" s="13">
        <f>Tourists_Base*G41/(1-G41)</f>
        <v/>
      </c>
      <c r="I41" s="13">
        <f>H41-Locals_Base</f>
        <v/>
      </c>
      <c r="J41" s="13">
        <f>Locals_Base*(1-(1-EXP(-B41/Marketing_Saturation_Spend)))*Local_AudioTour_Rate_Init+(H41-Locals_Base*(1-(1-EXP(-B41/Marketing_Saturation_Spend))))*F41</f>
        <v/>
      </c>
      <c r="K41" s="13">
        <f>AudioTourist_Base+J41</f>
        <v/>
      </c>
      <c r="L41" s="6">
        <f>MAX(0,ROUNDUP((K41-Device_Capacity)/Device_Block_Size,0))</f>
        <v/>
      </c>
      <c r="M41" s="6">
        <f>L41*Device_Block_Cost/Device_Amort_Days</f>
        <v/>
      </c>
      <c r="N41" s="17">
        <f>Fee_Keep*(Locals_Base*(1-(1-EXP(-B41/Marketing_Saturation_Spend)))*Local_AudioTour_Rate_Init*AudioTour_Price+(H41-Locals_Base*(1-(1-EXP(-B41/Marketing_Saturation_Spend))))*F41*E41-AudioLocal_Base*AudioTour_Price)</f>
        <v/>
      </c>
      <c r="O41" s="17">
        <f>(K41-Total_Daily_AudioTour)*Headset_Cost</f>
        <v/>
      </c>
      <c r="P41" s="17">
        <f>I41*D41+Locals_Base*(1-EXP(-B41/Marketing_Saturation_Spend))*F41*GiftShop_Spillover</f>
        <v/>
      </c>
      <c r="Q41" s="17">
        <f>N41-O41-M41+P41</f>
        <v/>
      </c>
      <c r="R41" s="17">
        <f>Q41*Campaign_Days-B41</f>
        <v/>
      </c>
    </row>
    <row r="42">
      <c r="A42" s="6" t="inlineStr">
        <is>
          <t>1. r6 c3</t>
        </is>
      </c>
      <c r="B42" s="17">
        <f>Sensitivity!$B$12</f>
        <v/>
      </c>
      <c r="C42" s="14">
        <f>Locals_Share_Ceiling</f>
        <v/>
      </c>
      <c r="D42" s="15">
        <f>Sensitivity!E$6</f>
        <v/>
      </c>
      <c r="E42" s="15">
        <f>Average_PWYW</f>
        <v/>
      </c>
      <c r="F42" s="14">
        <f>Local_AudioTour_Rate_PWYW</f>
        <v/>
      </c>
      <c r="G42" s="14">
        <f>Percentage_Locals_Init+(C42-Percentage_Locals_Init)*(1-EXP(-B42/Marketing_Saturation_Spend))</f>
        <v/>
      </c>
      <c r="H42" s="13">
        <f>Tourists_Base*G42/(1-G42)</f>
        <v/>
      </c>
      <c r="I42" s="13">
        <f>H42-Locals_Base</f>
        <v/>
      </c>
      <c r="J42" s="13">
        <f>Locals_Base*(1-(1-EXP(-B42/Marketing_Saturation_Spend)))*Local_AudioTour_Rate_Init+(H42-Locals_Base*(1-(1-EXP(-B42/Marketing_Saturation_Spend))))*F42</f>
        <v/>
      </c>
      <c r="K42" s="13">
        <f>AudioTourist_Base+J42</f>
        <v/>
      </c>
      <c r="L42" s="6">
        <f>MAX(0,ROUNDUP((K42-Device_Capacity)/Device_Block_Size,0))</f>
        <v/>
      </c>
      <c r="M42" s="6">
        <f>L42*Device_Block_Cost/Device_Amort_Days</f>
        <v/>
      </c>
      <c r="N42" s="17">
        <f>Fee_Keep*(Locals_Base*(1-(1-EXP(-B42/Marketing_Saturation_Spend)))*Local_AudioTour_Rate_Init*AudioTour_Price+(H42-Locals_Base*(1-(1-EXP(-B42/Marketing_Saturation_Spend))))*F42*E42-AudioLocal_Base*AudioTour_Price)</f>
        <v/>
      </c>
      <c r="O42" s="17">
        <f>(K42-Total_Daily_AudioTour)*Headset_Cost</f>
        <v/>
      </c>
      <c r="P42" s="17">
        <f>I42*D42+Locals_Base*(1-EXP(-B42/Marketing_Saturation_Spend))*F42*GiftShop_Spillover</f>
        <v/>
      </c>
      <c r="Q42" s="17">
        <f>N42-O42-M42+P42</f>
        <v/>
      </c>
      <c r="R42" s="17">
        <f>Q42*Campaign_Days-B42</f>
        <v/>
      </c>
    </row>
    <row r="43">
      <c r="A43" s="6" t="inlineStr">
        <is>
          <t>1. r6 c4</t>
        </is>
      </c>
      <c r="B43" s="17">
        <f>Sensitivity!$B$12</f>
        <v/>
      </c>
      <c r="C43" s="14">
        <f>Locals_Share_Ceiling</f>
        <v/>
      </c>
      <c r="D43" s="15">
        <f>Sensitivity!F$6</f>
        <v/>
      </c>
      <c r="E43" s="15">
        <f>Average_PWYW</f>
        <v/>
      </c>
      <c r="F43" s="14">
        <f>Local_AudioTour_Rate_PWYW</f>
        <v/>
      </c>
      <c r="G43" s="14">
        <f>Percentage_Locals_Init+(C43-Percentage_Locals_Init)*(1-EXP(-B43/Marketing_Saturation_Spend))</f>
        <v/>
      </c>
      <c r="H43" s="13">
        <f>Tourists_Base*G43/(1-G43)</f>
        <v/>
      </c>
      <c r="I43" s="13">
        <f>H43-Locals_Base</f>
        <v/>
      </c>
      <c r="J43" s="13">
        <f>Locals_Base*(1-(1-EXP(-B43/Marketing_Saturation_Spend)))*Local_AudioTour_Rate_Init+(H43-Locals_Base*(1-(1-EXP(-B43/Marketing_Saturation_Spend))))*F43</f>
        <v/>
      </c>
      <c r="K43" s="13">
        <f>AudioTourist_Base+J43</f>
        <v/>
      </c>
      <c r="L43" s="6">
        <f>MAX(0,ROUNDUP((K43-Device_Capacity)/Device_Block_Size,0))</f>
        <v/>
      </c>
      <c r="M43" s="6">
        <f>L43*Device_Block_Cost/Device_Amort_Days</f>
        <v/>
      </c>
      <c r="N43" s="17">
        <f>Fee_Keep*(Locals_Base*(1-(1-EXP(-B43/Marketing_Saturation_Spend)))*Local_AudioTour_Rate_Init*AudioTour_Price+(H43-Locals_Base*(1-(1-EXP(-B43/Marketing_Saturation_Spend))))*F43*E43-AudioLocal_Base*AudioTour_Price)</f>
        <v/>
      </c>
      <c r="O43" s="17">
        <f>(K43-Total_Daily_AudioTour)*Headset_Cost</f>
        <v/>
      </c>
      <c r="P43" s="17">
        <f>I43*D43+Locals_Base*(1-EXP(-B43/Marketing_Saturation_Spend))*F43*GiftShop_Spillover</f>
        <v/>
      </c>
      <c r="Q43" s="17">
        <f>N43-O43-M43+P43</f>
        <v/>
      </c>
      <c r="R43" s="17">
        <f>Q43*Campaign_Days-B43</f>
        <v/>
      </c>
    </row>
    <row r="44">
      <c r="A44" s="6" t="inlineStr">
        <is>
          <t>1. r6 c5</t>
        </is>
      </c>
      <c r="B44" s="17">
        <f>Sensitivity!$B$12</f>
        <v/>
      </c>
      <c r="C44" s="14">
        <f>Locals_Share_Ceiling</f>
        <v/>
      </c>
      <c r="D44" s="15">
        <f>Sensitivity!G$6</f>
        <v/>
      </c>
      <c r="E44" s="15">
        <f>Average_PWYW</f>
        <v/>
      </c>
      <c r="F44" s="14">
        <f>Local_AudioTour_Rate_PWYW</f>
        <v/>
      </c>
      <c r="G44" s="14">
        <f>Percentage_Locals_Init+(C44-Percentage_Locals_Init)*(1-EXP(-B44/Marketing_Saturation_Spend))</f>
        <v/>
      </c>
      <c r="H44" s="13">
        <f>Tourists_Base*G44/(1-G44)</f>
        <v/>
      </c>
      <c r="I44" s="13">
        <f>H44-Locals_Base</f>
        <v/>
      </c>
      <c r="J44" s="13">
        <f>Locals_Base*(1-(1-EXP(-B44/Marketing_Saturation_Spend)))*Local_AudioTour_Rate_Init+(H44-Locals_Base*(1-(1-EXP(-B44/Marketing_Saturation_Spend))))*F44</f>
        <v/>
      </c>
      <c r="K44" s="13">
        <f>AudioTourist_Base+J44</f>
        <v/>
      </c>
      <c r="L44" s="6">
        <f>MAX(0,ROUNDUP((K44-Device_Capacity)/Device_Block_Size,0))</f>
        <v/>
      </c>
      <c r="M44" s="6">
        <f>L44*Device_Block_Cost/Device_Amort_Days</f>
        <v/>
      </c>
      <c r="N44" s="17">
        <f>Fee_Keep*(Locals_Base*(1-(1-EXP(-B44/Marketing_Saturation_Spend)))*Local_AudioTour_Rate_Init*AudioTour_Price+(H44-Locals_Base*(1-(1-EXP(-B44/Marketing_Saturation_Spend))))*F44*E44-AudioLocal_Base*AudioTour_Price)</f>
        <v/>
      </c>
      <c r="O44" s="17">
        <f>(K44-Total_Daily_AudioTour)*Headset_Cost</f>
        <v/>
      </c>
      <c r="P44" s="17">
        <f>I44*D44+Locals_Base*(1-EXP(-B44/Marketing_Saturation_Spend))*F44*GiftShop_Spillover</f>
        <v/>
      </c>
      <c r="Q44" s="17">
        <f>N44-O44-M44+P44</f>
        <v/>
      </c>
      <c r="R44" s="17">
        <f>Q44*Campaign_Days-B44</f>
        <v/>
      </c>
    </row>
    <row r="45">
      <c r="A45" s="6" t="inlineStr">
        <is>
          <t>1. r6 c6</t>
        </is>
      </c>
      <c r="B45" s="17">
        <f>Sensitivity!$B$12</f>
        <v/>
      </c>
      <c r="C45" s="14">
        <f>Locals_Share_Ceiling</f>
        <v/>
      </c>
      <c r="D45" s="15">
        <f>Sensitivity!H$6</f>
        <v/>
      </c>
      <c r="E45" s="15">
        <f>Average_PWYW</f>
        <v/>
      </c>
      <c r="F45" s="14">
        <f>Local_AudioTour_Rate_PWYW</f>
        <v/>
      </c>
      <c r="G45" s="14">
        <f>Percentage_Locals_Init+(C45-Percentage_Locals_Init)*(1-EXP(-B45/Marketing_Saturation_Spend))</f>
        <v/>
      </c>
      <c r="H45" s="13">
        <f>Tourists_Base*G45/(1-G45)</f>
        <v/>
      </c>
      <c r="I45" s="13">
        <f>H45-Locals_Base</f>
        <v/>
      </c>
      <c r="J45" s="13">
        <f>Locals_Base*(1-(1-EXP(-B45/Marketing_Saturation_Spend)))*Local_AudioTour_Rate_Init+(H45-Locals_Base*(1-(1-EXP(-B45/Marketing_Saturation_Spend))))*F45</f>
        <v/>
      </c>
      <c r="K45" s="13">
        <f>AudioTourist_Base+J45</f>
        <v/>
      </c>
      <c r="L45" s="6">
        <f>MAX(0,ROUNDUP((K45-Device_Capacity)/Device_Block_Size,0))</f>
        <v/>
      </c>
      <c r="M45" s="6">
        <f>L45*Device_Block_Cost/Device_Amort_Days</f>
        <v/>
      </c>
      <c r="N45" s="17">
        <f>Fee_Keep*(Locals_Base*(1-(1-EXP(-B45/Marketing_Saturation_Spend)))*Local_AudioTour_Rate_Init*AudioTour_Price+(H45-Locals_Base*(1-(1-EXP(-B45/Marketing_Saturation_Spend))))*F45*E45-AudioLocal_Base*AudioTour_Price)</f>
        <v/>
      </c>
      <c r="O45" s="17">
        <f>(K45-Total_Daily_AudioTour)*Headset_Cost</f>
        <v/>
      </c>
      <c r="P45" s="17">
        <f>I45*D45+Locals_Base*(1-EXP(-B45/Marketing_Saturation_Spend))*F45*GiftShop_Spillover</f>
        <v/>
      </c>
      <c r="Q45" s="17">
        <f>N45-O45-M45+P45</f>
        <v/>
      </c>
      <c r="R45" s="17">
        <f>Q45*Campaign_Days-B45</f>
        <v/>
      </c>
    </row>
    <row r="46">
      <c r="A46" s="6" t="inlineStr">
        <is>
          <t>1. r6 c7</t>
        </is>
      </c>
      <c r="B46" s="17">
        <f>Sensitivity!$B$12</f>
        <v/>
      </c>
      <c r="C46" s="14">
        <f>Locals_Share_Ceiling</f>
        <v/>
      </c>
      <c r="D46" s="15">
        <f>Sensitivity!I$6</f>
        <v/>
      </c>
      <c r="E46" s="15">
        <f>Average_PWYW</f>
        <v/>
      </c>
      <c r="F46" s="14">
        <f>Local_AudioTour_Rate_PWYW</f>
        <v/>
      </c>
      <c r="G46" s="14">
        <f>Percentage_Locals_Init+(C46-Percentage_Locals_Init)*(1-EXP(-B46/Marketing_Saturation_Spend))</f>
        <v/>
      </c>
      <c r="H46" s="13">
        <f>Tourists_Base*G46/(1-G46)</f>
        <v/>
      </c>
      <c r="I46" s="13">
        <f>H46-Locals_Base</f>
        <v/>
      </c>
      <c r="J46" s="13">
        <f>Locals_Base*(1-(1-EXP(-B46/Marketing_Saturation_Spend)))*Local_AudioTour_Rate_Init+(H46-Locals_Base*(1-(1-EXP(-B46/Marketing_Saturation_Spend))))*F46</f>
        <v/>
      </c>
      <c r="K46" s="13">
        <f>AudioTourist_Base+J46</f>
        <v/>
      </c>
      <c r="L46" s="6">
        <f>MAX(0,ROUNDUP((K46-Device_Capacity)/Device_Block_Size,0))</f>
        <v/>
      </c>
      <c r="M46" s="6">
        <f>L46*Device_Block_Cost/Device_Amort_Days</f>
        <v/>
      </c>
      <c r="N46" s="17">
        <f>Fee_Keep*(Locals_Base*(1-(1-EXP(-B46/Marketing_Saturation_Spend)))*Local_AudioTour_Rate_Init*AudioTour_Price+(H46-Locals_Base*(1-(1-EXP(-B46/Marketing_Saturation_Spend))))*F46*E46-AudioLocal_Base*AudioTour_Price)</f>
        <v/>
      </c>
      <c r="O46" s="17">
        <f>(K46-Total_Daily_AudioTour)*Headset_Cost</f>
        <v/>
      </c>
      <c r="P46" s="17">
        <f>I46*D46+Locals_Base*(1-EXP(-B46/Marketing_Saturation_Spend))*F46*GiftShop_Spillover</f>
        <v/>
      </c>
      <c r="Q46" s="17">
        <f>N46-O46-M46+P46</f>
        <v/>
      </c>
      <c r="R46" s="17">
        <f>Q46*Campaign_Days-B46</f>
        <v/>
      </c>
    </row>
    <row r="47">
      <c r="A47" s="6" t="inlineStr">
        <is>
          <t>2. r1 c1</t>
        </is>
      </c>
      <c r="B47" s="17">
        <f>Marketing_Spend</f>
        <v/>
      </c>
      <c r="C47" s="14">
        <f>Locals_Share_Ceiling</f>
        <v/>
      </c>
      <c r="D47" s="15">
        <f>GiftShop_Net_Spend_Local</f>
        <v/>
      </c>
      <c r="E47" s="15">
        <f>Sensitivity!$B$17</f>
        <v/>
      </c>
      <c r="F47" s="14">
        <f>Sensitivity!C$16</f>
        <v/>
      </c>
      <c r="G47" s="14">
        <f>Percentage_Locals_Init+(C47-Percentage_Locals_Init)*(1-EXP(-B47/Marketing_Saturation_Spend))</f>
        <v/>
      </c>
      <c r="H47" s="13">
        <f>Tourists_Base*G47/(1-G47)</f>
        <v/>
      </c>
      <c r="I47" s="13">
        <f>H47-Locals_Base</f>
        <v/>
      </c>
      <c r="J47" s="13">
        <f>Locals_Base*(1-(1-EXP(-B47/Marketing_Saturation_Spend)))*Local_AudioTour_Rate_Init+(H47-Locals_Base*(1-(1-EXP(-B47/Marketing_Saturation_Spend))))*F47</f>
        <v/>
      </c>
      <c r="K47" s="13">
        <f>AudioTourist_Base+J47</f>
        <v/>
      </c>
      <c r="L47" s="6">
        <f>MAX(0,ROUNDUP((K47-Device_Capacity)/Device_Block_Size,0))</f>
        <v/>
      </c>
      <c r="M47" s="6">
        <f>L47*Device_Block_Cost/Device_Amort_Days</f>
        <v/>
      </c>
      <c r="N47" s="17">
        <f>Fee_Keep*(Locals_Base*(1-(1-EXP(-B47/Marketing_Saturation_Spend)))*Local_AudioTour_Rate_Init*AudioTour_Price+(H47-Locals_Base*(1-(1-EXP(-B47/Marketing_Saturation_Spend))))*F47*E47-AudioLocal_Base*AudioTour_Price)</f>
        <v/>
      </c>
      <c r="O47" s="17">
        <f>(K47-Total_Daily_AudioTour)*Headset_Cost</f>
        <v/>
      </c>
      <c r="P47" s="17">
        <f>I47*D47+Locals_Base*(1-EXP(-B47/Marketing_Saturation_Spend))*F47*GiftShop_Spillover</f>
        <v/>
      </c>
      <c r="Q47" s="17">
        <f>N47-O47-M47+P47</f>
        <v/>
      </c>
      <c r="R47" s="17">
        <f>Q47*Campaign_Days-B47</f>
        <v/>
      </c>
    </row>
    <row r="48">
      <c r="A48" s="6" t="inlineStr">
        <is>
          <t>2. r1 c2</t>
        </is>
      </c>
      <c r="B48" s="17">
        <f>Marketing_Spend</f>
        <v/>
      </c>
      <c r="C48" s="14">
        <f>Locals_Share_Ceiling</f>
        <v/>
      </c>
      <c r="D48" s="15">
        <f>GiftShop_Net_Spend_Local</f>
        <v/>
      </c>
      <c r="E48" s="15">
        <f>Sensitivity!$B$17</f>
        <v/>
      </c>
      <c r="F48" s="14">
        <f>Sensitivity!D$16</f>
        <v/>
      </c>
      <c r="G48" s="14">
        <f>Percentage_Locals_Init+(C48-Percentage_Locals_Init)*(1-EXP(-B48/Marketing_Saturation_Spend))</f>
        <v/>
      </c>
      <c r="H48" s="13">
        <f>Tourists_Base*G48/(1-G48)</f>
        <v/>
      </c>
      <c r="I48" s="13">
        <f>H48-Locals_Base</f>
        <v/>
      </c>
      <c r="J48" s="13">
        <f>Locals_Base*(1-(1-EXP(-B48/Marketing_Saturation_Spend)))*Local_AudioTour_Rate_Init+(H48-Locals_Base*(1-(1-EXP(-B48/Marketing_Saturation_Spend))))*F48</f>
        <v/>
      </c>
      <c r="K48" s="13">
        <f>AudioTourist_Base+J48</f>
        <v/>
      </c>
      <c r="L48" s="6">
        <f>MAX(0,ROUNDUP((K48-Device_Capacity)/Device_Block_Size,0))</f>
        <v/>
      </c>
      <c r="M48" s="6">
        <f>L48*Device_Block_Cost/Device_Amort_Days</f>
        <v/>
      </c>
      <c r="N48" s="17">
        <f>Fee_Keep*(Locals_Base*(1-(1-EXP(-B48/Marketing_Saturation_Spend)))*Local_AudioTour_Rate_Init*AudioTour_Price+(H48-Locals_Base*(1-(1-EXP(-B48/Marketing_Saturation_Spend))))*F48*E48-AudioLocal_Base*AudioTour_Price)</f>
        <v/>
      </c>
      <c r="O48" s="17">
        <f>(K48-Total_Daily_AudioTour)*Headset_Cost</f>
        <v/>
      </c>
      <c r="P48" s="17">
        <f>I48*D48+Locals_Base*(1-EXP(-B48/Marketing_Saturation_Spend))*F48*GiftShop_Spillover</f>
        <v/>
      </c>
      <c r="Q48" s="17">
        <f>N48-O48-M48+P48</f>
        <v/>
      </c>
      <c r="R48" s="17">
        <f>Q48*Campaign_Days-B48</f>
        <v/>
      </c>
    </row>
    <row r="49">
      <c r="A49" s="6" t="inlineStr">
        <is>
          <t>2. r1 c3</t>
        </is>
      </c>
      <c r="B49" s="17">
        <f>Marketing_Spend</f>
        <v/>
      </c>
      <c r="C49" s="14">
        <f>Locals_Share_Ceiling</f>
        <v/>
      </c>
      <c r="D49" s="15">
        <f>GiftShop_Net_Spend_Local</f>
        <v/>
      </c>
      <c r="E49" s="15">
        <f>Sensitivity!$B$17</f>
        <v/>
      </c>
      <c r="F49" s="14">
        <f>Sensitivity!E$16</f>
        <v/>
      </c>
      <c r="G49" s="14">
        <f>Percentage_Locals_Init+(C49-Percentage_Locals_Init)*(1-EXP(-B49/Marketing_Saturation_Spend))</f>
        <v/>
      </c>
      <c r="H49" s="13">
        <f>Tourists_Base*G49/(1-G49)</f>
        <v/>
      </c>
      <c r="I49" s="13">
        <f>H49-Locals_Base</f>
        <v/>
      </c>
      <c r="J49" s="13">
        <f>Locals_Base*(1-(1-EXP(-B49/Marketing_Saturation_Spend)))*Local_AudioTour_Rate_Init+(H49-Locals_Base*(1-(1-EXP(-B49/Marketing_Saturation_Spend))))*F49</f>
        <v/>
      </c>
      <c r="K49" s="13">
        <f>AudioTourist_Base+J49</f>
        <v/>
      </c>
      <c r="L49" s="6">
        <f>MAX(0,ROUNDUP((K49-Device_Capacity)/Device_Block_Size,0))</f>
        <v/>
      </c>
      <c r="M49" s="6">
        <f>L49*Device_Block_Cost/Device_Amort_Days</f>
        <v/>
      </c>
      <c r="N49" s="17">
        <f>Fee_Keep*(Locals_Base*(1-(1-EXP(-B49/Marketing_Saturation_Spend)))*Local_AudioTour_Rate_Init*AudioTour_Price+(H49-Locals_Base*(1-(1-EXP(-B49/Marketing_Saturation_Spend))))*F49*E49-AudioLocal_Base*AudioTour_Price)</f>
        <v/>
      </c>
      <c r="O49" s="17">
        <f>(K49-Total_Daily_AudioTour)*Headset_Cost</f>
        <v/>
      </c>
      <c r="P49" s="17">
        <f>I49*D49+Locals_Base*(1-EXP(-B49/Marketing_Saturation_Spend))*F49*GiftShop_Spillover</f>
        <v/>
      </c>
      <c r="Q49" s="17">
        <f>N49-O49-M49+P49</f>
        <v/>
      </c>
      <c r="R49" s="17">
        <f>Q49*Campaign_Days-B49</f>
        <v/>
      </c>
    </row>
    <row r="50">
      <c r="A50" s="6" t="inlineStr">
        <is>
          <t>2. r1 c4</t>
        </is>
      </c>
      <c r="B50" s="17">
        <f>Marketing_Spend</f>
        <v/>
      </c>
      <c r="C50" s="14">
        <f>Locals_Share_Ceiling</f>
        <v/>
      </c>
      <c r="D50" s="15">
        <f>GiftShop_Net_Spend_Local</f>
        <v/>
      </c>
      <c r="E50" s="15">
        <f>Sensitivity!$B$17</f>
        <v/>
      </c>
      <c r="F50" s="14">
        <f>Sensitivity!F$16</f>
        <v/>
      </c>
      <c r="G50" s="14">
        <f>Percentage_Locals_Init+(C50-Percentage_Locals_Init)*(1-EXP(-B50/Marketing_Saturation_Spend))</f>
        <v/>
      </c>
      <c r="H50" s="13">
        <f>Tourists_Base*G50/(1-G50)</f>
        <v/>
      </c>
      <c r="I50" s="13">
        <f>H50-Locals_Base</f>
        <v/>
      </c>
      <c r="J50" s="13">
        <f>Locals_Base*(1-(1-EXP(-B50/Marketing_Saturation_Spend)))*Local_AudioTour_Rate_Init+(H50-Locals_Base*(1-(1-EXP(-B50/Marketing_Saturation_Spend))))*F50</f>
        <v/>
      </c>
      <c r="K50" s="13">
        <f>AudioTourist_Base+J50</f>
        <v/>
      </c>
      <c r="L50" s="6">
        <f>MAX(0,ROUNDUP((K50-Device_Capacity)/Device_Block_Size,0))</f>
        <v/>
      </c>
      <c r="M50" s="6">
        <f>L50*Device_Block_Cost/Device_Amort_Days</f>
        <v/>
      </c>
      <c r="N50" s="17">
        <f>Fee_Keep*(Locals_Base*(1-(1-EXP(-B50/Marketing_Saturation_Spend)))*Local_AudioTour_Rate_Init*AudioTour_Price+(H50-Locals_Base*(1-(1-EXP(-B50/Marketing_Saturation_Spend))))*F50*E50-AudioLocal_Base*AudioTour_Price)</f>
        <v/>
      </c>
      <c r="O50" s="17">
        <f>(K50-Total_Daily_AudioTour)*Headset_Cost</f>
        <v/>
      </c>
      <c r="P50" s="17">
        <f>I50*D50+Locals_Base*(1-EXP(-B50/Marketing_Saturation_Spend))*F50*GiftShop_Spillover</f>
        <v/>
      </c>
      <c r="Q50" s="17">
        <f>N50-O50-M50+P50</f>
        <v/>
      </c>
      <c r="R50" s="17">
        <f>Q50*Campaign_Days-B50</f>
        <v/>
      </c>
    </row>
    <row r="51">
      <c r="A51" s="6" t="inlineStr">
        <is>
          <t>2. r1 c5</t>
        </is>
      </c>
      <c r="B51" s="17">
        <f>Marketing_Spend</f>
        <v/>
      </c>
      <c r="C51" s="14">
        <f>Locals_Share_Ceiling</f>
        <v/>
      </c>
      <c r="D51" s="15">
        <f>GiftShop_Net_Spend_Local</f>
        <v/>
      </c>
      <c r="E51" s="15">
        <f>Sensitivity!$B$17</f>
        <v/>
      </c>
      <c r="F51" s="14">
        <f>Sensitivity!G$16</f>
        <v/>
      </c>
      <c r="G51" s="14">
        <f>Percentage_Locals_Init+(C51-Percentage_Locals_Init)*(1-EXP(-B51/Marketing_Saturation_Spend))</f>
        <v/>
      </c>
      <c r="H51" s="13">
        <f>Tourists_Base*G51/(1-G51)</f>
        <v/>
      </c>
      <c r="I51" s="13">
        <f>H51-Locals_Base</f>
        <v/>
      </c>
      <c r="J51" s="13">
        <f>Locals_Base*(1-(1-EXP(-B51/Marketing_Saturation_Spend)))*Local_AudioTour_Rate_Init+(H51-Locals_Base*(1-(1-EXP(-B51/Marketing_Saturation_Spend))))*F51</f>
        <v/>
      </c>
      <c r="K51" s="13">
        <f>AudioTourist_Base+J51</f>
        <v/>
      </c>
      <c r="L51" s="6">
        <f>MAX(0,ROUNDUP((K51-Device_Capacity)/Device_Block_Size,0))</f>
        <v/>
      </c>
      <c r="M51" s="6">
        <f>L51*Device_Block_Cost/Device_Amort_Days</f>
        <v/>
      </c>
      <c r="N51" s="17">
        <f>Fee_Keep*(Locals_Base*(1-(1-EXP(-B51/Marketing_Saturation_Spend)))*Local_AudioTour_Rate_Init*AudioTour_Price+(H51-Locals_Base*(1-(1-EXP(-B51/Marketing_Saturation_Spend))))*F51*E51-AudioLocal_Base*AudioTour_Price)</f>
        <v/>
      </c>
      <c r="O51" s="17">
        <f>(K51-Total_Daily_AudioTour)*Headset_Cost</f>
        <v/>
      </c>
      <c r="P51" s="17">
        <f>I51*D51+Locals_Base*(1-EXP(-B51/Marketing_Saturation_Spend))*F51*GiftShop_Spillover</f>
        <v/>
      </c>
      <c r="Q51" s="17">
        <f>N51-O51-M51+P51</f>
        <v/>
      </c>
      <c r="R51" s="17">
        <f>Q51*Campaign_Days-B51</f>
        <v/>
      </c>
    </row>
    <row r="52">
      <c r="A52" s="6" t="inlineStr">
        <is>
          <t>2. r2 c1</t>
        </is>
      </c>
      <c r="B52" s="17">
        <f>Marketing_Spend</f>
        <v/>
      </c>
      <c r="C52" s="14">
        <f>Locals_Share_Ceiling</f>
        <v/>
      </c>
      <c r="D52" s="15">
        <f>GiftShop_Net_Spend_Local</f>
        <v/>
      </c>
      <c r="E52" s="15">
        <f>Sensitivity!$B$18</f>
        <v/>
      </c>
      <c r="F52" s="14">
        <f>Sensitivity!C$16</f>
        <v/>
      </c>
      <c r="G52" s="14">
        <f>Percentage_Locals_Init+(C52-Percentage_Locals_Init)*(1-EXP(-B52/Marketing_Saturation_Spend))</f>
        <v/>
      </c>
      <c r="H52" s="13">
        <f>Tourists_Base*G52/(1-G52)</f>
        <v/>
      </c>
      <c r="I52" s="13">
        <f>H52-Locals_Base</f>
        <v/>
      </c>
      <c r="J52" s="13">
        <f>Locals_Base*(1-(1-EXP(-B52/Marketing_Saturation_Spend)))*Local_AudioTour_Rate_Init+(H52-Locals_Base*(1-(1-EXP(-B52/Marketing_Saturation_Spend))))*F52</f>
        <v/>
      </c>
      <c r="K52" s="13">
        <f>AudioTourist_Base+J52</f>
        <v/>
      </c>
      <c r="L52" s="6">
        <f>MAX(0,ROUNDUP((K52-Device_Capacity)/Device_Block_Size,0))</f>
        <v/>
      </c>
      <c r="M52" s="6">
        <f>L52*Device_Block_Cost/Device_Amort_Days</f>
        <v/>
      </c>
      <c r="N52" s="17">
        <f>Fee_Keep*(Locals_Base*(1-(1-EXP(-B52/Marketing_Saturation_Spend)))*Local_AudioTour_Rate_Init*AudioTour_Price+(H52-Locals_Base*(1-(1-EXP(-B52/Marketing_Saturation_Spend))))*F52*E52-AudioLocal_Base*AudioTour_Price)</f>
        <v/>
      </c>
      <c r="O52" s="17">
        <f>(K52-Total_Daily_AudioTour)*Headset_Cost</f>
        <v/>
      </c>
      <c r="P52" s="17">
        <f>I52*D52+Locals_Base*(1-EXP(-B52/Marketing_Saturation_Spend))*F52*GiftShop_Spillover</f>
        <v/>
      </c>
      <c r="Q52" s="17">
        <f>N52-O52-M52+P52</f>
        <v/>
      </c>
      <c r="R52" s="17">
        <f>Q52*Campaign_Days-B52</f>
        <v/>
      </c>
    </row>
    <row r="53">
      <c r="A53" s="6" t="inlineStr">
        <is>
          <t>2. r2 c2</t>
        </is>
      </c>
      <c r="B53" s="17">
        <f>Marketing_Spend</f>
        <v/>
      </c>
      <c r="C53" s="14">
        <f>Locals_Share_Ceiling</f>
        <v/>
      </c>
      <c r="D53" s="15">
        <f>GiftShop_Net_Spend_Local</f>
        <v/>
      </c>
      <c r="E53" s="15">
        <f>Sensitivity!$B$18</f>
        <v/>
      </c>
      <c r="F53" s="14">
        <f>Sensitivity!D$16</f>
        <v/>
      </c>
      <c r="G53" s="14">
        <f>Percentage_Locals_Init+(C53-Percentage_Locals_Init)*(1-EXP(-B53/Marketing_Saturation_Spend))</f>
        <v/>
      </c>
      <c r="H53" s="13">
        <f>Tourists_Base*G53/(1-G53)</f>
        <v/>
      </c>
      <c r="I53" s="13">
        <f>H53-Locals_Base</f>
        <v/>
      </c>
      <c r="J53" s="13">
        <f>Locals_Base*(1-(1-EXP(-B53/Marketing_Saturation_Spend)))*Local_AudioTour_Rate_Init+(H53-Locals_Base*(1-(1-EXP(-B53/Marketing_Saturation_Spend))))*F53</f>
        <v/>
      </c>
      <c r="K53" s="13">
        <f>AudioTourist_Base+J53</f>
        <v/>
      </c>
      <c r="L53" s="6">
        <f>MAX(0,ROUNDUP((K53-Device_Capacity)/Device_Block_Size,0))</f>
        <v/>
      </c>
      <c r="M53" s="6">
        <f>L53*Device_Block_Cost/Device_Amort_Days</f>
        <v/>
      </c>
      <c r="N53" s="17">
        <f>Fee_Keep*(Locals_Base*(1-(1-EXP(-B53/Marketing_Saturation_Spend)))*Local_AudioTour_Rate_Init*AudioTour_Price+(H53-Locals_Base*(1-(1-EXP(-B53/Marketing_Saturation_Spend))))*F53*E53-AudioLocal_Base*AudioTour_Price)</f>
        <v/>
      </c>
      <c r="O53" s="17">
        <f>(K53-Total_Daily_AudioTour)*Headset_Cost</f>
        <v/>
      </c>
      <c r="P53" s="17">
        <f>I53*D53+Locals_Base*(1-EXP(-B53/Marketing_Saturation_Spend))*F53*GiftShop_Spillover</f>
        <v/>
      </c>
      <c r="Q53" s="17">
        <f>N53-O53-M53+P53</f>
        <v/>
      </c>
      <c r="R53" s="17">
        <f>Q53*Campaign_Days-B53</f>
        <v/>
      </c>
    </row>
    <row r="54">
      <c r="A54" s="6" t="inlineStr">
        <is>
          <t>2. r2 c3</t>
        </is>
      </c>
      <c r="B54" s="17">
        <f>Marketing_Spend</f>
        <v/>
      </c>
      <c r="C54" s="14">
        <f>Locals_Share_Ceiling</f>
        <v/>
      </c>
      <c r="D54" s="15">
        <f>GiftShop_Net_Spend_Local</f>
        <v/>
      </c>
      <c r="E54" s="15">
        <f>Sensitivity!$B$18</f>
        <v/>
      </c>
      <c r="F54" s="14">
        <f>Sensitivity!E$16</f>
        <v/>
      </c>
      <c r="G54" s="14">
        <f>Percentage_Locals_Init+(C54-Percentage_Locals_Init)*(1-EXP(-B54/Marketing_Saturation_Spend))</f>
        <v/>
      </c>
      <c r="H54" s="13">
        <f>Tourists_Base*G54/(1-G54)</f>
        <v/>
      </c>
      <c r="I54" s="13">
        <f>H54-Locals_Base</f>
        <v/>
      </c>
      <c r="J54" s="13">
        <f>Locals_Base*(1-(1-EXP(-B54/Marketing_Saturation_Spend)))*Local_AudioTour_Rate_Init+(H54-Locals_Base*(1-(1-EXP(-B54/Marketing_Saturation_Spend))))*F54</f>
        <v/>
      </c>
      <c r="K54" s="13">
        <f>AudioTourist_Base+J54</f>
        <v/>
      </c>
      <c r="L54" s="6">
        <f>MAX(0,ROUNDUP((K54-Device_Capacity)/Device_Block_Size,0))</f>
        <v/>
      </c>
      <c r="M54" s="6">
        <f>L54*Device_Block_Cost/Device_Amort_Days</f>
        <v/>
      </c>
      <c r="N54" s="17">
        <f>Fee_Keep*(Locals_Base*(1-(1-EXP(-B54/Marketing_Saturation_Spend)))*Local_AudioTour_Rate_Init*AudioTour_Price+(H54-Locals_Base*(1-(1-EXP(-B54/Marketing_Saturation_Spend))))*F54*E54-AudioLocal_Base*AudioTour_Price)</f>
        <v/>
      </c>
      <c r="O54" s="17">
        <f>(K54-Total_Daily_AudioTour)*Headset_Cost</f>
        <v/>
      </c>
      <c r="P54" s="17">
        <f>I54*D54+Locals_Base*(1-EXP(-B54/Marketing_Saturation_Spend))*F54*GiftShop_Spillover</f>
        <v/>
      </c>
      <c r="Q54" s="17">
        <f>N54-O54-M54+P54</f>
        <v/>
      </c>
      <c r="R54" s="17">
        <f>Q54*Campaign_Days-B54</f>
        <v/>
      </c>
    </row>
    <row r="55">
      <c r="A55" s="6" t="inlineStr">
        <is>
          <t>2. r2 c4</t>
        </is>
      </c>
      <c r="B55" s="17">
        <f>Marketing_Spend</f>
        <v/>
      </c>
      <c r="C55" s="14">
        <f>Locals_Share_Ceiling</f>
        <v/>
      </c>
      <c r="D55" s="15">
        <f>GiftShop_Net_Spend_Local</f>
        <v/>
      </c>
      <c r="E55" s="15">
        <f>Sensitivity!$B$18</f>
        <v/>
      </c>
      <c r="F55" s="14">
        <f>Sensitivity!F$16</f>
        <v/>
      </c>
      <c r="G55" s="14">
        <f>Percentage_Locals_Init+(C55-Percentage_Locals_Init)*(1-EXP(-B55/Marketing_Saturation_Spend))</f>
        <v/>
      </c>
      <c r="H55" s="13">
        <f>Tourists_Base*G55/(1-G55)</f>
        <v/>
      </c>
      <c r="I55" s="13">
        <f>H55-Locals_Base</f>
        <v/>
      </c>
      <c r="J55" s="13">
        <f>Locals_Base*(1-(1-EXP(-B55/Marketing_Saturation_Spend)))*Local_AudioTour_Rate_Init+(H55-Locals_Base*(1-(1-EXP(-B55/Marketing_Saturation_Spend))))*F55</f>
        <v/>
      </c>
      <c r="K55" s="13">
        <f>AudioTourist_Base+J55</f>
        <v/>
      </c>
      <c r="L55" s="6">
        <f>MAX(0,ROUNDUP((K55-Device_Capacity)/Device_Block_Size,0))</f>
        <v/>
      </c>
      <c r="M55" s="6">
        <f>L55*Device_Block_Cost/Device_Amort_Days</f>
        <v/>
      </c>
      <c r="N55" s="17">
        <f>Fee_Keep*(Locals_Base*(1-(1-EXP(-B55/Marketing_Saturation_Spend)))*Local_AudioTour_Rate_Init*AudioTour_Price+(H55-Locals_Base*(1-(1-EXP(-B55/Marketing_Saturation_Spend))))*F55*E55-AudioLocal_Base*AudioTour_Price)</f>
        <v/>
      </c>
      <c r="O55" s="17">
        <f>(K55-Total_Daily_AudioTour)*Headset_Cost</f>
        <v/>
      </c>
      <c r="P55" s="17">
        <f>I55*D55+Locals_Base*(1-EXP(-B55/Marketing_Saturation_Spend))*F55*GiftShop_Spillover</f>
        <v/>
      </c>
      <c r="Q55" s="17">
        <f>N55-O55-M55+P55</f>
        <v/>
      </c>
      <c r="R55" s="17">
        <f>Q55*Campaign_Days-B55</f>
        <v/>
      </c>
    </row>
    <row r="56">
      <c r="A56" s="6" t="inlineStr">
        <is>
          <t>2. r2 c5</t>
        </is>
      </c>
      <c r="B56" s="17">
        <f>Marketing_Spend</f>
        <v/>
      </c>
      <c r="C56" s="14">
        <f>Locals_Share_Ceiling</f>
        <v/>
      </c>
      <c r="D56" s="15">
        <f>GiftShop_Net_Spend_Local</f>
        <v/>
      </c>
      <c r="E56" s="15">
        <f>Sensitivity!$B$18</f>
        <v/>
      </c>
      <c r="F56" s="14">
        <f>Sensitivity!G$16</f>
        <v/>
      </c>
      <c r="G56" s="14">
        <f>Percentage_Locals_Init+(C56-Percentage_Locals_Init)*(1-EXP(-B56/Marketing_Saturation_Spend))</f>
        <v/>
      </c>
      <c r="H56" s="13">
        <f>Tourists_Base*G56/(1-G56)</f>
        <v/>
      </c>
      <c r="I56" s="13">
        <f>H56-Locals_Base</f>
        <v/>
      </c>
      <c r="J56" s="13">
        <f>Locals_Base*(1-(1-EXP(-B56/Marketing_Saturation_Spend)))*Local_AudioTour_Rate_Init+(H56-Locals_Base*(1-(1-EXP(-B56/Marketing_Saturation_Spend))))*F56</f>
        <v/>
      </c>
      <c r="K56" s="13">
        <f>AudioTourist_Base+J56</f>
        <v/>
      </c>
      <c r="L56" s="6">
        <f>MAX(0,ROUNDUP((K56-Device_Capacity)/Device_Block_Size,0))</f>
        <v/>
      </c>
      <c r="M56" s="6">
        <f>L56*Device_Block_Cost/Device_Amort_Days</f>
        <v/>
      </c>
      <c r="N56" s="17">
        <f>Fee_Keep*(Locals_Base*(1-(1-EXP(-B56/Marketing_Saturation_Spend)))*Local_AudioTour_Rate_Init*AudioTour_Price+(H56-Locals_Base*(1-(1-EXP(-B56/Marketing_Saturation_Spend))))*F56*E56-AudioLocal_Base*AudioTour_Price)</f>
        <v/>
      </c>
      <c r="O56" s="17">
        <f>(K56-Total_Daily_AudioTour)*Headset_Cost</f>
        <v/>
      </c>
      <c r="P56" s="17">
        <f>I56*D56+Locals_Base*(1-EXP(-B56/Marketing_Saturation_Spend))*F56*GiftShop_Spillover</f>
        <v/>
      </c>
      <c r="Q56" s="17">
        <f>N56-O56-M56+P56</f>
        <v/>
      </c>
      <c r="R56" s="17">
        <f>Q56*Campaign_Days-B56</f>
        <v/>
      </c>
    </row>
    <row r="57">
      <c r="A57" s="6" t="inlineStr">
        <is>
          <t>2. r3 c1</t>
        </is>
      </c>
      <c r="B57" s="17">
        <f>Marketing_Spend</f>
        <v/>
      </c>
      <c r="C57" s="14">
        <f>Locals_Share_Ceiling</f>
        <v/>
      </c>
      <c r="D57" s="15">
        <f>GiftShop_Net_Spend_Local</f>
        <v/>
      </c>
      <c r="E57" s="15">
        <f>Sensitivity!$B$19</f>
        <v/>
      </c>
      <c r="F57" s="14">
        <f>Sensitivity!C$16</f>
        <v/>
      </c>
      <c r="G57" s="14">
        <f>Percentage_Locals_Init+(C57-Percentage_Locals_Init)*(1-EXP(-B57/Marketing_Saturation_Spend))</f>
        <v/>
      </c>
      <c r="H57" s="13">
        <f>Tourists_Base*G57/(1-G57)</f>
        <v/>
      </c>
      <c r="I57" s="13">
        <f>H57-Locals_Base</f>
        <v/>
      </c>
      <c r="J57" s="13">
        <f>Locals_Base*(1-(1-EXP(-B57/Marketing_Saturation_Spend)))*Local_AudioTour_Rate_Init+(H57-Locals_Base*(1-(1-EXP(-B57/Marketing_Saturation_Spend))))*F57</f>
        <v/>
      </c>
      <c r="K57" s="13">
        <f>AudioTourist_Base+J57</f>
        <v/>
      </c>
      <c r="L57" s="6">
        <f>MAX(0,ROUNDUP((K57-Device_Capacity)/Device_Block_Size,0))</f>
        <v/>
      </c>
      <c r="M57" s="6">
        <f>L57*Device_Block_Cost/Device_Amort_Days</f>
        <v/>
      </c>
      <c r="N57" s="17">
        <f>Fee_Keep*(Locals_Base*(1-(1-EXP(-B57/Marketing_Saturation_Spend)))*Local_AudioTour_Rate_Init*AudioTour_Price+(H57-Locals_Base*(1-(1-EXP(-B57/Marketing_Saturation_Spend))))*F57*E57-AudioLocal_Base*AudioTour_Price)</f>
        <v/>
      </c>
      <c r="O57" s="17">
        <f>(K57-Total_Daily_AudioTour)*Headset_Cost</f>
        <v/>
      </c>
      <c r="P57" s="17">
        <f>I57*D57+Locals_Base*(1-EXP(-B57/Marketing_Saturation_Spend))*F57*GiftShop_Spillover</f>
        <v/>
      </c>
      <c r="Q57" s="17">
        <f>N57-O57-M57+P57</f>
        <v/>
      </c>
      <c r="R57" s="17">
        <f>Q57*Campaign_Days-B57</f>
        <v/>
      </c>
    </row>
    <row r="58">
      <c r="A58" s="6" t="inlineStr">
        <is>
          <t>2. r3 c2</t>
        </is>
      </c>
      <c r="B58" s="17">
        <f>Marketing_Spend</f>
        <v/>
      </c>
      <c r="C58" s="14">
        <f>Locals_Share_Ceiling</f>
        <v/>
      </c>
      <c r="D58" s="15">
        <f>GiftShop_Net_Spend_Local</f>
        <v/>
      </c>
      <c r="E58" s="15">
        <f>Sensitivity!$B$19</f>
        <v/>
      </c>
      <c r="F58" s="14">
        <f>Sensitivity!D$16</f>
        <v/>
      </c>
      <c r="G58" s="14">
        <f>Percentage_Locals_Init+(C58-Percentage_Locals_Init)*(1-EXP(-B58/Marketing_Saturation_Spend))</f>
        <v/>
      </c>
      <c r="H58" s="13">
        <f>Tourists_Base*G58/(1-G58)</f>
        <v/>
      </c>
      <c r="I58" s="13">
        <f>H58-Locals_Base</f>
        <v/>
      </c>
      <c r="J58" s="13">
        <f>Locals_Base*(1-(1-EXP(-B58/Marketing_Saturation_Spend)))*Local_AudioTour_Rate_Init+(H58-Locals_Base*(1-(1-EXP(-B58/Marketing_Saturation_Spend))))*F58</f>
        <v/>
      </c>
      <c r="K58" s="13">
        <f>AudioTourist_Base+J58</f>
        <v/>
      </c>
      <c r="L58" s="6">
        <f>MAX(0,ROUNDUP((K58-Device_Capacity)/Device_Block_Size,0))</f>
        <v/>
      </c>
      <c r="M58" s="6">
        <f>L58*Device_Block_Cost/Device_Amort_Days</f>
        <v/>
      </c>
      <c r="N58" s="17">
        <f>Fee_Keep*(Locals_Base*(1-(1-EXP(-B58/Marketing_Saturation_Spend)))*Local_AudioTour_Rate_Init*AudioTour_Price+(H58-Locals_Base*(1-(1-EXP(-B58/Marketing_Saturation_Spend))))*F58*E58-AudioLocal_Base*AudioTour_Price)</f>
        <v/>
      </c>
      <c r="O58" s="17">
        <f>(K58-Total_Daily_AudioTour)*Headset_Cost</f>
        <v/>
      </c>
      <c r="P58" s="17">
        <f>I58*D58+Locals_Base*(1-EXP(-B58/Marketing_Saturation_Spend))*F58*GiftShop_Spillover</f>
        <v/>
      </c>
      <c r="Q58" s="17">
        <f>N58-O58-M58+P58</f>
        <v/>
      </c>
      <c r="R58" s="17">
        <f>Q58*Campaign_Days-B58</f>
        <v/>
      </c>
    </row>
    <row r="59">
      <c r="A59" s="6" t="inlineStr">
        <is>
          <t>2. r3 c3</t>
        </is>
      </c>
      <c r="B59" s="17">
        <f>Marketing_Spend</f>
        <v/>
      </c>
      <c r="C59" s="14">
        <f>Locals_Share_Ceiling</f>
        <v/>
      </c>
      <c r="D59" s="15">
        <f>GiftShop_Net_Spend_Local</f>
        <v/>
      </c>
      <c r="E59" s="15">
        <f>Sensitivity!$B$19</f>
        <v/>
      </c>
      <c r="F59" s="14">
        <f>Sensitivity!E$16</f>
        <v/>
      </c>
      <c r="G59" s="14">
        <f>Percentage_Locals_Init+(C59-Percentage_Locals_Init)*(1-EXP(-B59/Marketing_Saturation_Spend))</f>
        <v/>
      </c>
      <c r="H59" s="13">
        <f>Tourists_Base*G59/(1-G59)</f>
        <v/>
      </c>
      <c r="I59" s="13">
        <f>H59-Locals_Base</f>
        <v/>
      </c>
      <c r="J59" s="13">
        <f>Locals_Base*(1-(1-EXP(-B59/Marketing_Saturation_Spend)))*Local_AudioTour_Rate_Init+(H59-Locals_Base*(1-(1-EXP(-B59/Marketing_Saturation_Spend))))*F59</f>
        <v/>
      </c>
      <c r="K59" s="13">
        <f>AudioTourist_Base+J59</f>
        <v/>
      </c>
      <c r="L59" s="6">
        <f>MAX(0,ROUNDUP((K59-Device_Capacity)/Device_Block_Size,0))</f>
        <v/>
      </c>
      <c r="M59" s="6">
        <f>L59*Device_Block_Cost/Device_Amort_Days</f>
        <v/>
      </c>
      <c r="N59" s="17">
        <f>Fee_Keep*(Locals_Base*(1-(1-EXP(-B59/Marketing_Saturation_Spend)))*Local_AudioTour_Rate_Init*AudioTour_Price+(H59-Locals_Base*(1-(1-EXP(-B59/Marketing_Saturation_Spend))))*F59*E59-AudioLocal_Base*AudioTour_Price)</f>
        <v/>
      </c>
      <c r="O59" s="17">
        <f>(K59-Total_Daily_AudioTour)*Headset_Cost</f>
        <v/>
      </c>
      <c r="P59" s="17">
        <f>I59*D59+Locals_Base*(1-EXP(-B59/Marketing_Saturation_Spend))*F59*GiftShop_Spillover</f>
        <v/>
      </c>
      <c r="Q59" s="17">
        <f>N59-O59-M59+P59</f>
        <v/>
      </c>
      <c r="R59" s="17">
        <f>Q59*Campaign_Days-B59</f>
        <v/>
      </c>
    </row>
    <row r="60">
      <c r="A60" s="6" t="inlineStr">
        <is>
          <t>2. r3 c4</t>
        </is>
      </c>
      <c r="B60" s="17">
        <f>Marketing_Spend</f>
        <v/>
      </c>
      <c r="C60" s="14">
        <f>Locals_Share_Ceiling</f>
        <v/>
      </c>
      <c r="D60" s="15">
        <f>GiftShop_Net_Spend_Local</f>
        <v/>
      </c>
      <c r="E60" s="15">
        <f>Sensitivity!$B$19</f>
        <v/>
      </c>
      <c r="F60" s="14">
        <f>Sensitivity!F$16</f>
        <v/>
      </c>
      <c r="G60" s="14">
        <f>Percentage_Locals_Init+(C60-Percentage_Locals_Init)*(1-EXP(-B60/Marketing_Saturation_Spend))</f>
        <v/>
      </c>
      <c r="H60" s="13">
        <f>Tourists_Base*G60/(1-G60)</f>
        <v/>
      </c>
      <c r="I60" s="13">
        <f>H60-Locals_Base</f>
        <v/>
      </c>
      <c r="J60" s="13">
        <f>Locals_Base*(1-(1-EXP(-B60/Marketing_Saturation_Spend)))*Local_AudioTour_Rate_Init+(H60-Locals_Base*(1-(1-EXP(-B60/Marketing_Saturation_Spend))))*F60</f>
        <v/>
      </c>
      <c r="K60" s="13">
        <f>AudioTourist_Base+J60</f>
        <v/>
      </c>
      <c r="L60" s="6">
        <f>MAX(0,ROUNDUP((K60-Device_Capacity)/Device_Block_Size,0))</f>
        <v/>
      </c>
      <c r="M60" s="6">
        <f>L60*Device_Block_Cost/Device_Amort_Days</f>
        <v/>
      </c>
      <c r="N60" s="17">
        <f>Fee_Keep*(Locals_Base*(1-(1-EXP(-B60/Marketing_Saturation_Spend)))*Local_AudioTour_Rate_Init*AudioTour_Price+(H60-Locals_Base*(1-(1-EXP(-B60/Marketing_Saturation_Spend))))*F60*E60-AudioLocal_Base*AudioTour_Price)</f>
        <v/>
      </c>
      <c r="O60" s="17">
        <f>(K60-Total_Daily_AudioTour)*Headset_Cost</f>
        <v/>
      </c>
      <c r="P60" s="17">
        <f>I60*D60+Locals_Base*(1-EXP(-B60/Marketing_Saturation_Spend))*F60*GiftShop_Spillover</f>
        <v/>
      </c>
      <c r="Q60" s="17">
        <f>N60-O60-M60+P60</f>
        <v/>
      </c>
      <c r="R60" s="17">
        <f>Q60*Campaign_Days-B60</f>
        <v/>
      </c>
    </row>
    <row r="61">
      <c r="A61" s="6" t="inlineStr">
        <is>
          <t>2. r3 c5</t>
        </is>
      </c>
      <c r="B61" s="17">
        <f>Marketing_Spend</f>
        <v/>
      </c>
      <c r="C61" s="14">
        <f>Locals_Share_Ceiling</f>
        <v/>
      </c>
      <c r="D61" s="15">
        <f>GiftShop_Net_Spend_Local</f>
        <v/>
      </c>
      <c r="E61" s="15">
        <f>Sensitivity!$B$19</f>
        <v/>
      </c>
      <c r="F61" s="14">
        <f>Sensitivity!G$16</f>
        <v/>
      </c>
      <c r="G61" s="14">
        <f>Percentage_Locals_Init+(C61-Percentage_Locals_Init)*(1-EXP(-B61/Marketing_Saturation_Spend))</f>
        <v/>
      </c>
      <c r="H61" s="13">
        <f>Tourists_Base*G61/(1-G61)</f>
        <v/>
      </c>
      <c r="I61" s="13">
        <f>H61-Locals_Base</f>
        <v/>
      </c>
      <c r="J61" s="13">
        <f>Locals_Base*(1-(1-EXP(-B61/Marketing_Saturation_Spend)))*Local_AudioTour_Rate_Init+(H61-Locals_Base*(1-(1-EXP(-B61/Marketing_Saturation_Spend))))*F61</f>
        <v/>
      </c>
      <c r="K61" s="13">
        <f>AudioTourist_Base+J61</f>
        <v/>
      </c>
      <c r="L61" s="6">
        <f>MAX(0,ROUNDUP((K61-Device_Capacity)/Device_Block_Size,0))</f>
        <v/>
      </c>
      <c r="M61" s="6">
        <f>L61*Device_Block_Cost/Device_Amort_Days</f>
        <v/>
      </c>
      <c r="N61" s="17">
        <f>Fee_Keep*(Locals_Base*(1-(1-EXP(-B61/Marketing_Saturation_Spend)))*Local_AudioTour_Rate_Init*AudioTour_Price+(H61-Locals_Base*(1-(1-EXP(-B61/Marketing_Saturation_Spend))))*F61*E61-AudioLocal_Base*AudioTour_Price)</f>
        <v/>
      </c>
      <c r="O61" s="17">
        <f>(K61-Total_Daily_AudioTour)*Headset_Cost</f>
        <v/>
      </c>
      <c r="P61" s="17">
        <f>I61*D61+Locals_Base*(1-EXP(-B61/Marketing_Saturation_Spend))*F61*GiftShop_Spillover</f>
        <v/>
      </c>
      <c r="Q61" s="17">
        <f>N61-O61-M61+P61</f>
        <v/>
      </c>
      <c r="R61" s="17">
        <f>Q61*Campaign_Days-B61</f>
        <v/>
      </c>
    </row>
    <row r="62">
      <c r="A62" s="6" t="inlineStr">
        <is>
          <t>2. r4 c1</t>
        </is>
      </c>
      <c r="B62" s="17">
        <f>Marketing_Spend</f>
        <v/>
      </c>
      <c r="C62" s="14">
        <f>Locals_Share_Ceiling</f>
        <v/>
      </c>
      <c r="D62" s="15">
        <f>GiftShop_Net_Spend_Local</f>
        <v/>
      </c>
      <c r="E62" s="15">
        <f>Sensitivity!$B$20</f>
        <v/>
      </c>
      <c r="F62" s="14">
        <f>Sensitivity!C$16</f>
        <v/>
      </c>
      <c r="G62" s="14">
        <f>Percentage_Locals_Init+(C62-Percentage_Locals_Init)*(1-EXP(-B62/Marketing_Saturation_Spend))</f>
        <v/>
      </c>
      <c r="H62" s="13">
        <f>Tourists_Base*G62/(1-G62)</f>
        <v/>
      </c>
      <c r="I62" s="13">
        <f>H62-Locals_Base</f>
        <v/>
      </c>
      <c r="J62" s="13">
        <f>Locals_Base*(1-(1-EXP(-B62/Marketing_Saturation_Spend)))*Local_AudioTour_Rate_Init+(H62-Locals_Base*(1-(1-EXP(-B62/Marketing_Saturation_Spend))))*F62</f>
        <v/>
      </c>
      <c r="K62" s="13">
        <f>AudioTourist_Base+J62</f>
        <v/>
      </c>
      <c r="L62" s="6">
        <f>MAX(0,ROUNDUP((K62-Device_Capacity)/Device_Block_Size,0))</f>
        <v/>
      </c>
      <c r="M62" s="6">
        <f>L62*Device_Block_Cost/Device_Amort_Days</f>
        <v/>
      </c>
      <c r="N62" s="17">
        <f>Fee_Keep*(Locals_Base*(1-(1-EXP(-B62/Marketing_Saturation_Spend)))*Local_AudioTour_Rate_Init*AudioTour_Price+(H62-Locals_Base*(1-(1-EXP(-B62/Marketing_Saturation_Spend))))*F62*E62-AudioLocal_Base*AudioTour_Price)</f>
        <v/>
      </c>
      <c r="O62" s="17">
        <f>(K62-Total_Daily_AudioTour)*Headset_Cost</f>
        <v/>
      </c>
      <c r="P62" s="17">
        <f>I62*D62+Locals_Base*(1-EXP(-B62/Marketing_Saturation_Spend))*F62*GiftShop_Spillover</f>
        <v/>
      </c>
      <c r="Q62" s="17">
        <f>N62-O62-M62+P62</f>
        <v/>
      </c>
      <c r="R62" s="17">
        <f>Q62*Campaign_Days-B62</f>
        <v/>
      </c>
    </row>
    <row r="63">
      <c r="A63" s="6" t="inlineStr">
        <is>
          <t>2. r4 c2</t>
        </is>
      </c>
      <c r="B63" s="17">
        <f>Marketing_Spend</f>
        <v/>
      </c>
      <c r="C63" s="14">
        <f>Locals_Share_Ceiling</f>
        <v/>
      </c>
      <c r="D63" s="15">
        <f>GiftShop_Net_Spend_Local</f>
        <v/>
      </c>
      <c r="E63" s="15">
        <f>Sensitivity!$B$20</f>
        <v/>
      </c>
      <c r="F63" s="14">
        <f>Sensitivity!D$16</f>
        <v/>
      </c>
      <c r="G63" s="14">
        <f>Percentage_Locals_Init+(C63-Percentage_Locals_Init)*(1-EXP(-B63/Marketing_Saturation_Spend))</f>
        <v/>
      </c>
      <c r="H63" s="13">
        <f>Tourists_Base*G63/(1-G63)</f>
        <v/>
      </c>
      <c r="I63" s="13">
        <f>H63-Locals_Base</f>
        <v/>
      </c>
      <c r="J63" s="13">
        <f>Locals_Base*(1-(1-EXP(-B63/Marketing_Saturation_Spend)))*Local_AudioTour_Rate_Init+(H63-Locals_Base*(1-(1-EXP(-B63/Marketing_Saturation_Spend))))*F63</f>
        <v/>
      </c>
      <c r="K63" s="13">
        <f>AudioTourist_Base+J63</f>
        <v/>
      </c>
      <c r="L63" s="6">
        <f>MAX(0,ROUNDUP((K63-Device_Capacity)/Device_Block_Size,0))</f>
        <v/>
      </c>
      <c r="M63" s="6">
        <f>L63*Device_Block_Cost/Device_Amort_Days</f>
        <v/>
      </c>
      <c r="N63" s="17">
        <f>Fee_Keep*(Locals_Base*(1-(1-EXP(-B63/Marketing_Saturation_Spend)))*Local_AudioTour_Rate_Init*AudioTour_Price+(H63-Locals_Base*(1-(1-EXP(-B63/Marketing_Saturation_Spend))))*F63*E63-AudioLocal_Base*AudioTour_Price)</f>
        <v/>
      </c>
      <c r="O63" s="17">
        <f>(K63-Total_Daily_AudioTour)*Headset_Cost</f>
        <v/>
      </c>
      <c r="P63" s="17">
        <f>I63*D63+Locals_Base*(1-EXP(-B63/Marketing_Saturation_Spend))*F63*GiftShop_Spillover</f>
        <v/>
      </c>
      <c r="Q63" s="17">
        <f>N63-O63-M63+P63</f>
        <v/>
      </c>
      <c r="R63" s="17">
        <f>Q63*Campaign_Days-B63</f>
        <v/>
      </c>
    </row>
    <row r="64">
      <c r="A64" s="6" t="inlineStr">
        <is>
          <t>2. r4 c3</t>
        </is>
      </c>
      <c r="B64" s="17">
        <f>Marketing_Spend</f>
        <v/>
      </c>
      <c r="C64" s="14">
        <f>Locals_Share_Ceiling</f>
        <v/>
      </c>
      <c r="D64" s="15">
        <f>GiftShop_Net_Spend_Local</f>
        <v/>
      </c>
      <c r="E64" s="15">
        <f>Sensitivity!$B$20</f>
        <v/>
      </c>
      <c r="F64" s="14">
        <f>Sensitivity!E$16</f>
        <v/>
      </c>
      <c r="G64" s="14">
        <f>Percentage_Locals_Init+(C64-Percentage_Locals_Init)*(1-EXP(-B64/Marketing_Saturation_Spend))</f>
        <v/>
      </c>
      <c r="H64" s="13">
        <f>Tourists_Base*G64/(1-G64)</f>
        <v/>
      </c>
      <c r="I64" s="13">
        <f>H64-Locals_Base</f>
        <v/>
      </c>
      <c r="J64" s="13">
        <f>Locals_Base*(1-(1-EXP(-B64/Marketing_Saturation_Spend)))*Local_AudioTour_Rate_Init+(H64-Locals_Base*(1-(1-EXP(-B64/Marketing_Saturation_Spend))))*F64</f>
        <v/>
      </c>
      <c r="K64" s="13">
        <f>AudioTourist_Base+J64</f>
        <v/>
      </c>
      <c r="L64" s="6">
        <f>MAX(0,ROUNDUP((K64-Device_Capacity)/Device_Block_Size,0))</f>
        <v/>
      </c>
      <c r="M64" s="6">
        <f>L64*Device_Block_Cost/Device_Amort_Days</f>
        <v/>
      </c>
      <c r="N64" s="17">
        <f>Fee_Keep*(Locals_Base*(1-(1-EXP(-B64/Marketing_Saturation_Spend)))*Local_AudioTour_Rate_Init*AudioTour_Price+(H64-Locals_Base*(1-(1-EXP(-B64/Marketing_Saturation_Spend))))*F64*E64-AudioLocal_Base*AudioTour_Price)</f>
        <v/>
      </c>
      <c r="O64" s="17">
        <f>(K64-Total_Daily_AudioTour)*Headset_Cost</f>
        <v/>
      </c>
      <c r="P64" s="17">
        <f>I64*D64+Locals_Base*(1-EXP(-B64/Marketing_Saturation_Spend))*F64*GiftShop_Spillover</f>
        <v/>
      </c>
      <c r="Q64" s="17">
        <f>N64-O64-M64+P64</f>
        <v/>
      </c>
      <c r="R64" s="17">
        <f>Q64*Campaign_Days-B64</f>
        <v/>
      </c>
    </row>
    <row r="65">
      <c r="A65" s="6" t="inlineStr">
        <is>
          <t>2. r4 c4</t>
        </is>
      </c>
      <c r="B65" s="17">
        <f>Marketing_Spend</f>
        <v/>
      </c>
      <c r="C65" s="14">
        <f>Locals_Share_Ceiling</f>
        <v/>
      </c>
      <c r="D65" s="15">
        <f>GiftShop_Net_Spend_Local</f>
        <v/>
      </c>
      <c r="E65" s="15">
        <f>Sensitivity!$B$20</f>
        <v/>
      </c>
      <c r="F65" s="14">
        <f>Sensitivity!F$16</f>
        <v/>
      </c>
      <c r="G65" s="14">
        <f>Percentage_Locals_Init+(C65-Percentage_Locals_Init)*(1-EXP(-B65/Marketing_Saturation_Spend))</f>
        <v/>
      </c>
      <c r="H65" s="13">
        <f>Tourists_Base*G65/(1-G65)</f>
        <v/>
      </c>
      <c r="I65" s="13">
        <f>H65-Locals_Base</f>
        <v/>
      </c>
      <c r="J65" s="13">
        <f>Locals_Base*(1-(1-EXP(-B65/Marketing_Saturation_Spend)))*Local_AudioTour_Rate_Init+(H65-Locals_Base*(1-(1-EXP(-B65/Marketing_Saturation_Spend))))*F65</f>
        <v/>
      </c>
      <c r="K65" s="13">
        <f>AudioTourist_Base+J65</f>
        <v/>
      </c>
      <c r="L65" s="6">
        <f>MAX(0,ROUNDUP((K65-Device_Capacity)/Device_Block_Size,0))</f>
        <v/>
      </c>
      <c r="M65" s="6">
        <f>L65*Device_Block_Cost/Device_Amort_Days</f>
        <v/>
      </c>
      <c r="N65" s="17">
        <f>Fee_Keep*(Locals_Base*(1-(1-EXP(-B65/Marketing_Saturation_Spend)))*Local_AudioTour_Rate_Init*AudioTour_Price+(H65-Locals_Base*(1-(1-EXP(-B65/Marketing_Saturation_Spend))))*F65*E65-AudioLocal_Base*AudioTour_Price)</f>
        <v/>
      </c>
      <c r="O65" s="17">
        <f>(K65-Total_Daily_AudioTour)*Headset_Cost</f>
        <v/>
      </c>
      <c r="P65" s="17">
        <f>I65*D65+Locals_Base*(1-EXP(-B65/Marketing_Saturation_Spend))*F65*GiftShop_Spillover</f>
        <v/>
      </c>
      <c r="Q65" s="17">
        <f>N65-O65-M65+P65</f>
        <v/>
      </c>
      <c r="R65" s="17">
        <f>Q65*Campaign_Days-B65</f>
        <v/>
      </c>
    </row>
    <row r="66">
      <c r="A66" s="6" t="inlineStr">
        <is>
          <t>2. r4 c5</t>
        </is>
      </c>
      <c r="B66" s="17">
        <f>Marketing_Spend</f>
        <v/>
      </c>
      <c r="C66" s="14">
        <f>Locals_Share_Ceiling</f>
        <v/>
      </c>
      <c r="D66" s="15">
        <f>GiftShop_Net_Spend_Local</f>
        <v/>
      </c>
      <c r="E66" s="15">
        <f>Sensitivity!$B$20</f>
        <v/>
      </c>
      <c r="F66" s="14">
        <f>Sensitivity!G$16</f>
        <v/>
      </c>
      <c r="G66" s="14">
        <f>Percentage_Locals_Init+(C66-Percentage_Locals_Init)*(1-EXP(-B66/Marketing_Saturation_Spend))</f>
        <v/>
      </c>
      <c r="H66" s="13">
        <f>Tourists_Base*G66/(1-G66)</f>
        <v/>
      </c>
      <c r="I66" s="13">
        <f>H66-Locals_Base</f>
        <v/>
      </c>
      <c r="J66" s="13">
        <f>Locals_Base*(1-(1-EXP(-B66/Marketing_Saturation_Spend)))*Local_AudioTour_Rate_Init+(H66-Locals_Base*(1-(1-EXP(-B66/Marketing_Saturation_Spend))))*F66</f>
        <v/>
      </c>
      <c r="K66" s="13">
        <f>AudioTourist_Base+J66</f>
        <v/>
      </c>
      <c r="L66" s="6">
        <f>MAX(0,ROUNDUP((K66-Device_Capacity)/Device_Block_Size,0))</f>
        <v/>
      </c>
      <c r="M66" s="6">
        <f>L66*Device_Block_Cost/Device_Amort_Days</f>
        <v/>
      </c>
      <c r="N66" s="17">
        <f>Fee_Keep*(Locals_Base*(1-(1-EXP(-B66/Marketing_Saturation_Spend)))*Local_AudioTour_Rate_Init*AudioTour_Price+(H66-Locals_Base*(1-(1-EXP(-B66/Marketing_Saturation_Spend))))*F66*E66-AudioLocal_Base*AudioTour_Price)</f>
        <v/>
      </c>
      <c r="O66" s="17">
        <f>(K66-Total_Daily_AudioTour)*Headset_Cost</f>
        <v/>
      </c>
      <c r="P66" s="17">
        <f>I66*D66+Locals_Base*(1-EXP(-B66/Marketing_Saturation_Spend))*F66*GiftShop_Spillover</f>
        <v/>
      </c>
      <c r="Q66" s="17">
        <f>N66-O66-M66+P66</f>
        <v/>
      </c>
      <c r="R66" s="17">
        <f>Q66*Campaign_Days-B66</f>
        <v/>
      </c>
    </row>
    <row r="67">
      <c r="A67" s="6" t="inlineStr">
        <is>
          <t>2. r5 c1</t>
        </is>
      </c>
      <c r="B67" s="17">
        <f>Marketing_Spend</f>
        <v/>
      </c>
      <c r="C67" s="14">
        <f>Locals_Share_Ceiling</f>
        <v/>
      </c>
      <c r="D67" s="15">
        <f>GiftShop_Net_Spend_Local</f>
        <v/>
      </c>
      <c r="E67" s="15">
        <f>Sensitivity!$B$21</f>
        <v/>
      </c>
      <c r="F67" s="14">
        <f>Sensitivity!C$16</f>
        <v/>
      </c>
      <c r="G67" s="14">
        <f>Percentage_Locals_Init+(C67-Percentage_Locals_Init)*(1-EXP(-B67/Marketing_Saturation_Spend))</f>
        <v/>
      </c>
      <c r="H67" s="13">
        <f>Tourists_Base*G67/(1-G67)</f>
        <v/>
      </c>
      <c r="I67" s="13">
        <f>H67-Locals_Base</f>
        <v/>
      </c>
      <c r="J67" s="13">
        <f>Locals_Base*(1-(1-EXP(-B67/Marketing_Saturation_Spend)))*Local_AudioTour_Rate_Init+(H67-Locals_Base*(1-(1-EXP(-B67/Marketing_Saturation_Spend))))*F67</f>
        <v/>
      </c>
      <c r="K67" s="13">
        <f>AudioTourist_Base+J67</f>
        <v/>
      </c>
      <c r="L67" s="6">
        <f>MAX(0,ROUNDUP((K67-Device_Capacity)/Device_Block_Size,0))</f>
        <v/>
      </c>
      <c r="M67" s="6">
        <f>L67*Device_Block_Cost/Device_Amort_Days</f>
        <v/>
      </c>
      <c r="N67" s="17">
        <f>Fee_Keep*(Locals_Base*(1-(1-EXP(-B67/Marketing_Saturation_Spend)))*Local_AudioTour_Rate_Init*AudioTour_Price+(H67-Locals_Base*(1-(1-EXP(-B67/Marketing_Saturation_Spend))))*F67*E67-AudioLocal_Base*AudioTour_Price)</f>
        <v/>
      </c>
      <c r="O67" s="17">
        <f>(K67-Total_Daily_AudioTour)*Headset_Cost</f>
        <v/>
      </c>
      <c r="P67" s="17">
        <f>I67*D67+Locals_Base*(1-EXP(-B67/Marketing_Saturation_Spend))*F67*GiftShop_Spillover</f>
        <v/>
      </c>
      <c r="Q67" s="17">
        <f>N67-O67-M67+P67</f>
        <v/>
      </c>
      <c r="R67" s="17">
        <f>Q67*Campaign_Days-B67</f>
        <v/>
      </c>
    </row>
    <row r="68">
      <c r="A68" s="6" t="inlineStr">
        <is>
          <t>2. r5 c2</t>
        </is>
      </c>
      <c r="B68" s="17">
        <f>Marketing_Spend</f>
        <v/>
      </c>
      <c r="C68" s="14">
        <f>Locals_Share_Ceiling</f>
        <v/>
      </c>
      <c r="D68" s="15">
        <f>GiftShop_Net_Spend_Local</f>
        <v/>
      </c>
      <c r="E68" s="15">
        <f>Sensitivity!$B$21</f>
        <v/>
      </c>
      <c r="F68" s="14">
        <f>Sensitivity!D$16</f>
        <v/>
      </c>
      <c r="G68" s="14">
        <f>Percentage_Locals_Init+(C68-Percentage_Locals_Init)*(1-EXP(-B68/Marketing_Saturation_Spend))</f>
        <v/>
      </c>
      <c r="H68" s="13">
        <f>Tourists_Base*G68/(1-G68)</f>
        <v/>
      </c>
      <c r="I68" s="13">
        <f>H68-Locals_Base</f>
        <v/>
      </c>
      <c r="J68" s="13">
        <f>Locals_Base*(1-(1-EXP(-B68/Marketing_Saturation_Spend)))*Local_AudioTour_Rate_Init+(H68-Locals_Base*(1-(1-EXP(-B68/Marketing_Saturation_Spend))))*F68</f>
        <v/>
      </c>
      <c r="K68" s="13">
        <f>AudioTourist_Base+J68</f>
        <v/>
      </c>
      <c r="L68" s="6">
        <f>MAX(0,ROUNDUP((K68-Device_Capacity)/Device_Block_Size,0))</f>
        <v/>
      </c>
      <c r="M68" s="6">
        <f>L68*Device_Block_Cost/Device_Amort_Days</f>
        <v/>
      </c>
      <c r="N68" s="17">
        <f>Fee_Keep*(Locals_Base*(1-(1-EXP(-B68/Marketing_Saturation_Spend)))*Local_AudioTour_Rate_Init*AudioTour_Price+(H68-Locals_Base*(1-(1-EXP(-B68/Marketing_Saturation_Spend))))*F68*E68-AudioLocal_Base*AudioTour_Price)</f>
        <v/>
      </c>
      <c r="O68" s="17">
        <f>(K68-Total_Daily_AudioTour)*Headset_Cost</f>
        <v/>
      </c>
      <c r="P68" s="17">
        <f>I68*D68+Locals_Base*(1-EXP(-B68/Marketing_Saturation_Spend))*F68*GiftShop_Spillover</f>
        <v/>
      </c>
      <c r="Q68" s="17">
        <f>N68-O68-M68+P68</f>
        <v/>
      </c>
      <c r="R68" s="17">
        <f>Q68*Campaign_Days-B68</f>
        <v/>
      </c>
    </row>
    <row r="69">
      <c r="A69" s="6" t="inlineStr">
        <is>
          <t>2. r5 c3</t>
        </is>
      </c>
      <c r="B69" s="17">
        <f>Marketing_Spend</f>
        <v/>
      </c>
      <c r="C69" s="14">
        <f>Locals_Share_Ceiling</f>
        <v/>
      </c>
      <c r="D69" s="15">
        <f>GiftShop_Net_Spend_Local</f>
        <v/>
      </c>
      <c r="E69" s="15">
        <f>Sensitivity!$B$21</f>
        <v/>
      </c>
      <c r="F69" s="14">
        <f>Sensitivity!E$16</f>
        <v/>
      </c>
      <c r="G69" s="14">
        <f>Percentage_Locals_Init+(C69-Percentage_Locals_Init)*(1-EXP(-B69/Marketing_Saturation_Spend))</f>
        <v/>
      </c>
      <c r="H69" s="13">
        <f>Tourists_Base*G69/(1-G69)</f>
        <v/>
      </c>
      <c r="I69" s="13">
        <f>H69-Locals_Base</f>
        <v/>
      </c>
      <c r="J69" s="13">
        <f>Locals_Base*(1-(1-EXP(-B69/Marketing_Saturation_Spend)))*Local_AudioTour_Rate_Init+(H69-Locals_Base*(1-(1-EXP(-B69/Marketing_Saturation_Spend))))*F69</f>
        <v/>
      </c>
      <c r="K69" s="13">
        <f>AudioTourist_Base+J69</f>
        <v/>
      </c>
      <c r="L69" s="6">
        <f>MAX(0,ROUNDUP((K69-Device_Capacity)/Device_Block_Size,0))</f>
        <v/>
      </c>
      <c r="M69" s="6">
        <f>L69*Device_Block_Cost/Device_Amort_Days</f>
        <v/>
      </c>
      <c r="N69" s="17">
        <f>Fee_Keep*(Locals_Base*(1-(1-EXP(-B69/Marketing_Saturation_Spend)))*Local_AudioTour_Rate_Init*AudioTour_Price+(H69-Locals_Base*(1-(1-EXP(-B69/Marketing_Saturation_Spend))))*F69*E69-AudioLocal_Base*AudioTour_Price)</f>
        <v/>
      </c>
      <c r="O69" s="17">
        <f>(K69-Total_Daily_AudioTour)*Headset_Cost</f>
        <v/>
      </c>
      <c r="P69" s="17">
        <f>I69*D69+Locals_Base*(1-EXP(-B69/Marketing_Saturation_Spend))*F69*GiftShop_Spillover</f>
        <v/>
      </c>
      <c r="Q69" s="17">
        <f>N69-O69-M69+P69</f>
        <v/>
      </c>
      <c r="R69" s="17">
        <f>Q69*Campaign_Days-B69</f>
        <v/>
      </c>
    </row>
    <row r="70">
      <c r="A70" s="6" t="inlineStr">
        <is>
          <t>2. r5 c4</t>
        </is>
      </c>
      <c r="B70" s="17">
        <f>Marketing_Spend</f>
        <v/>
      </c>
      <c r="C70" s="14">
        <f>Locals_Share_Ceiling</f>
        <v/>
      </c>
      <c r="D70" s="15">
        <f>GiftShop_Net_Spend_Local</f>
        <v/>
      </c>
      <c r="E70" s="15">
        <f>Sensitivity!$B$21</f>
        <v/>
      </c>
      <c r="F70" s="14">
        <f>Sensitivity!F$16</f>
        <v/>
      </c>
      <c r="G70" s="14">
        <f>Percentage_Locals_Init+(C70-Percentage_Locals_Init)*(1-EXP(-B70/Marketing_Saturation_Spend))</f>
        <v/>
      </c>
      <c r="H70" s="13">
        <f>Tourists_Base*G70/(1-G70)</f>
        <v/>
      </c>
      <c r="I70" s="13">
        <f>H70-Locals_Base</f>
        <v/>
      </c>
      <c r="J70" s="13">
        <f>Locals_Base*(1-(1-EXP(-B70/Marketing_Saturation_Spend)))*Local_AudioTour_Rate_Init+(H70-Locals_Base*(1-(1-EXP(-B70/Marketing_Saturation_Spend))))*F70</f>
        <v/>
      </c>
      <c r="K70" s="13">
        <f>AudioTourist_Base+J70</f>
        <v/>
      </c>
      <c r="L70" s="6">
        <f>MAX(0,ROUNDUP((K70-Device_Capacity)/Device_Block_Size,0))</f>
        <v/>
      </c>
      <c r="M70" s="6">
        <f>L70*Device_Block_Cost/Device_Amort_Days</f>
        <v/>
      </c>
      <c r="N70" s="17">
        <f>Fee_Keep*(Locals_Base*(1-(1-EXP(-B70/Marketing_Saturation_Spend)))*Local_AudioTour_Rate_Init*AudioTour_Price+(H70-Locals_Base*(1-(1-EXP(-B70/Marketing_Saturation_Spend))))*F70*E70-AudioLocal_Base*AudioTour_Price)</f>
        <v/>
      </c>
      <c r="O70" s="17">
        <f>(K70-Total_Daily_AudioTour)*Headset_Cost</f>
        <v/>
      </c>
      <c r="P70" s="17">
        <f>I70*D70+Locals_Base*(1-EXP(-B70/Marketing_Saturation_Spend))*F70*GiftShop_Spillover</f>
        <v/>
      </c>
      <c r="Q70" s="17">
        <f>N70-O70-M70+P70</f>
        <v/>
      </c>
      <c r="R70" s="17">
        <f>Q70*Campaign_Days-B70</f>
        <v/>
      </c>
    </row>
    <row r="71">
      <c r="A71" s="6" t="inlineStr">
        <is>
          <t>2. r5 c5</t>
        </is>
      </c>
      <c r="B71" s="17">
        <f>Marketing_Spend</f>
        <v/>
      </c>
      <c r="C71" s="14">
        <f>Locals_Share_Ceiling</f>
        <v/>
      </c>
      <c r="D71" s="15">
        <f>GiftShop_Net_Spend_Local</f>
        <v/>
      </c>
      <c r="E71" s="15">
        <f>Sensitivity!$B$21</f>
        <v/>
      </c>
      <c r="F71" s="14">
        <f>Sensitivity!G$16</f>
        <v/>
      </c>
      <c r="G71" s="14">
        <f>Percentage_Locals_Init+(C71-Percentage_Locals_Init)*(1-EXP(-B71/Marketing_Saturation_Spend))</f>
        <v/>
      </c>
      <c r="H71" s="13">
        <f>Tourists_Base*G71/(1-G71)</f>
        <v/>
      </c>
      <c r="I71" s="13">
        <f>H71-Locals_Base</f>
        <v/>
      </c>
      <c r="J71" s="13">
        <f>Locals_Base*(1-(1-EXP(-B71/Marketing_Saturation_Spend)))*Local_AudioTour_Rate_Init+(H71-Locals_Base*(1-(1-EXP(-B71/Marketing_Saturation_Spend))))*F71</f>
        <v/>
      </c>
      <c r="K71" s="13">
        <f>AudioTourist_Base+J71</f>
        <v/>
      </c>
      <c r="L71" s="6">
        <f>MAX(0,ROUNDUP((K71-Device_Capacity)/Device_Block_Size,0))</f>
        <v/>
      </c>
      <c r="M71" s="6">
        <f>L71*Device_Block_Cost/Device_Amort_Days</f>
        <v/>
      </c>
      <c r="N71" s="17">
        <f>Fee_Keep*(Locals_Base*(1-(1-EXP(-B71/Marketing_Saturation_Spend)))*Local_AudioTour_Rate_Init*AudioTour_Price+(H71-Locals_Base*(1-(1-EXP(-B71/Marketing_Saturation_Spend))))*F71*E71-AudioLocal_Base*AudioTour_Price)</f>
        <v/>
      </c>
      <c r="O71" s="17">
        <f>(K71-Total_Daily_AudioTour)*Headset_Cost</f>
        <v/>
      </c>
      <c r="P71" s="17">
        <f>I71*D71+Locals_Base*(1-EXP(-B71/Marketing_Saturation_Spend))*F71*GiftShop_Spillover</f>
        <v/>
      </c>
      <c r="Q71" s="17">
        <f>N71-O71-M71+P71</f>
        <v/>
      </c>
      <c r="R71" s="17">
        <f>Q71*Campaign_Days-B71</f>
        <v/>
      </c>
    </row>
    <row r="72">
      <c r="A72" s="6" t="inlineStr">
        <is>
          <t>2. r6 c1</t>
        </is>
      </c>
      <c r="B72" s="17">
        <f>Marketing_Spend</f>
        <v/>
      </c>
      <c r="C72" s="14">
        <f>Locals_Share_Ceiling</f>
        <v/>
      </c>
      <c r="D72" s="15">
        <f>GiftShop_Net_Spend_Local</f>
        <v/>
      </c>
      <c r="E72" s="15">
        <f>Sensitivity!$B$22</f>
        <v/>
      </c>
      <c r="F72" s="14">
        <f>Sensitivity!C$16</f>
        <v/>
      </c>
      <c r="G72" s="14">
        <f>Percentage_Locals_Init+(C72-Percentage_Locals_Init)*(1-EXP(-B72/Marketing_Saturation_Spend))</f>
        <v/>
      </c>
      <c r="H72" s="13">
        <f>Tourists_Base*G72/(1-G72)</f>
        <v/>
      </c>
      <c r="I72" s="13">
        <f>H72-Locals_Base</f>
        <v/>
      </c>
      <c r="J72" s="13">
        <f>Locals_Base*(1-(1-EXP(-B72/Marketing_Saturation_Spend)))*Local_AudioTour_Rate_Init+(H72-Locals_Base*(1-(1-EXP(-B72/Marketing_Saturation_Spend))))*F72</f>
        <v/>
      </c>
      <c r="K72" s="13">
        <f>AudioTourist_Base+J72</f>
        <v/>
      </c>
      <c r="L72" s="6">
        <f>MAX(0,ROUNDUP((K72-Device_Capacity)/Device_Block_Size,0))</f>
        <v/>
      </c>
      <c r="M72" s="6">
        <f>L72*Device_Block_Cost/Device_Amort_Days</f>
        <v/>
      </c>
      <c r="N72" s="17">
        <f>Fee_Keep*(Locals_Base*(1-(1-EXP(-B72/Marketing_Saturation_Spend)))*Local_AudioTour_Rate_Init*AudioTour_Price+(H72-Locals_Base*(1-(1-EXP(-B72/Marketing_Saturation_Spend))))*F72*E72-AudioLocal_Base*AudioTour_Price)</f>
        <v/>
      </c>
      <c r="O72" s="17">
        <f>(K72-Total_Daily_AudioTour)*Headset_Cost</f>
        <v/>
      </c>
      <c r="P72" s="17">
        <f>I72*D72+Locals_Base*(1-EXP(-B72/Marketing_Saturation_Spend))*F72*GiftShop_Spillover</f>
        <v/>
      </c>
      <c r="Q72" s="17">
        <f>N72-O72-M72+P72</f>
        <v/>
      </c>
      <c r="R72" s="17">
        <f>Q72*Campaign_Days-B72</f>
        <v/>
      </c>
    </row>
    <row r="73">
      <c r="A73" s="6" t="inlineStr">
        <is>
          <t>2. r6 c2</t>
        </is>
      </c>
      <c r="B73" s="17">
        <f>Marketing_Spend</f>
        <v/>
      </c>
      <c r="C73" s="14">
        <f>Locals_Share_Ceiling</f>
        <v/>
      </c>
      <c r="D73" s="15">
        <f>GiftShop_Net_Spend_Local</f>
        <v/>
      </c>
      <c r="E73" s="15">
        <f>Sensitivity!$B$22</f>
        <v/>
      </c>
      <c r="F73" s="14">
        <f>Sensitivity!D$16</f>
        <v/>
      </c>
      <c r="G73" s="14">
        <f>Percentage_Locals_Init+(C73-Percentage_Locals_Init)*(1-EXP(-B73/Marketing_Saturation_Spend))</f>
        <v/>
      </c>
      <c r="H73" s="13">
        <f>Tourists_Base*G73/(1-G73)</f>
        <v/>
      </c>
      <c r="I73" s="13">
        <f>H73-Locals_Base</f>
        <v/>
      </c>
      <c r="J73" s="13">
        <f>Locals_Base*(1-(1-EXP(-B73/Marketing_Saturation_Spend)))*Local_AudioTour_Rate_Init+(H73-Locals_Base*(1-(1-EXP(-B73/Marketing_Saturation_Spend))))*F73</f>
        <v/>
      </c>
      <c r="K73" s="13">
        <f>AudioTourist_Base+J73</f>
        <v/>
      </c>
      <c r="L73" s="6">
        <f>MAX(0,ROUNDUP((K73-Device_Capacity)/Device_Block_Size,0))</f>
        <v/>
      </c>
      <c r="M73" s="6">
        <f>L73*Device_Block_Cost/Device_Amort_Days</f>
        <v/>
      </c>
      <c r="N73" s="17">
        <f>Fee_Keep*(Locals_Base*(1-(1-EXP(-B73/Marketing_Saturation_Spend)))*Local_AudioTour_Rate_Init*AudioTour_Price+(H73-Locals_Base*(1-(1-EXP(-B73/Marketing_Saturation_Spend))))*F73*E73-AudioLocal_Base*AudioTour_Price)</f>
        <v/>
      </c>
      <c r="O73" s="17">
        <f>(K73-Total_Daily_AudioTour)*Headset_Cost</f>
        <v/>
      </c>
      <c r="P73" s="17">
        <f>I73*D73+Locals_Base*(1-EXP(-B73/Marketing_Saturation_Spend))*F73*GiftShop_Spillover</f>
        <v/>
      </c>
      <c r="Q73" s="17">
        <f>N73-O73-M73+P73</f>
        <v/>
      </c>
      <c r="R73" s="17">
        <f>Q73*Campaign_Days-B73</f>
        <v/>
      </c>
    </row>
    <row r="74">
      <c r="A74" s="6" t="inlineStr">
        <is>
          <t>2. r6 c3</t>
        </is>
      </c>
      <c r="B74" s="17">
        <f>Marketing_Spend</f>
        <v/>
      </c>
      <c r="C74" s="14">
        <f>Locals_Share_Ceiling</f>
        <v/>
      </c>
      <c r="D74" s="15">
        <f>GiftShop_Net_Spend_Local</f>
        <v/>
      </c>
      <c r="E74" s="15">
        <f>Sensitivity!$B$22</f>
        <v/>
      </c>
      <c r="F74" s="14">
        <f>Sensitivity!E$16</f>
        <v/>
      </c>
      <c r="G74" s="14">
        <f>Percentage_Locals_Init+(C74-Percentage_Locals_Init)*(1-EXP(-B74/Marketing_Saturation_Spend))</f>
        <v/>
      </c>
      <c r="H74" s="13">
        <f>Tourists_Base*G74/(1-G74)</f>
        <v/>
      </c>
      <c r="I74" s="13">
        <f>H74-Locals_Base</f>
        <v/>
      </c>
      <c r="J74" s="13">
        <f>Locals_Base*(1-(1-EXP(-B74/Marketing_Saturation_Spend)))*Local_AudioTour_Rate_Init+(H74-Locals_Base*(1-(1-EXP(-B74/Marketing_Saturation_Spend))))*F74</f>
        <v/>
      </c>
      <c r="K74" s="13">
        <f>AudioTourist_Base+J74</f>
        <v/>
      </c>
      <c r="L74" s="6">
        <f>MAX(0,ROUNDUP((K74-Device_Capacity)/Device_Block_Size,0))</f>
        <v/>
      </c>
      <c r="M74" s="6">
        <f>L74*Device_Block_Cost/Device_Amort_Days</f>
        <v/>
      </c>
      <c r="N74" s="17">
        <f>Fee_Keep*(Locals_Base*(1-(1-EXP(-B74/Marketing_Saturation_Spend)))*Local_AudioTour_Rate_Init*AudioTour_Price+(H74-Locals_Base*(1-(1-EXP(-B74/Marketing_Saturation_Spend))))*F74*E74-AudioLocal_Base*AudioTour_Price)</f>
        <v/>
      </c>
      <c r="O74" s="17">
        <f>(K74-Total_Daily_AudioTour)*Headset_Cost</f>
        <v/>
      </c>
      <c r="P74" s="17">
        <f>I74*D74+Locals_Base*(1-EXP(-B74/Marketing_Saturation_Spend))*F74*GiftShop_Spillover</f>
        <v/>
      </c>
      <c r="Q74" s="17">
        <f>N74-O74-M74+P74</f>
        <v/>
      </c>
      <c r="R74" s="17">
        <f>Q74*Campaign_Days-B74</f>
        <v/>
      </c>
    </row>
    <row r="75">
      <c r="A75" s="6" t="inlineStr">
        <is>
          <t>2. r6 c4</t>
        </is>
      </c>
      <c r="B75" s="17">
        <f>Marketing_Spend</f>
        <v/>
      </c>
      <c r="C75" s="14">
        <f>Locals_Share_Ceiling</f>
        <v/>
      </c>
      <c r="D75" s="15">
        <f>GiftShop_Net_Spend_Local</f>
        <v/>
      </c>
      <c r="E75" s="15">
        <f>Sensitivity!$B$22</f>
        <v/>
      </c>
      <c r="F75" s="14">
        <f>Sensitivity!F$16</f>
        <v/>
      </c>
      <c r="G75" s="14">
        <f>Percentage_Locals_Init+(C75-Percentage_Locals_Init)*(1-EXP(-B75/Marketing_Saturation_Spend))</f>
        <v/>
      </c>
      <c r="H75" s="13">
        <f>Tourists_Base*G75/(1-G75)</f>
        <v/>
      </c>
      <c r="I75" s="13">
        <f>H75-Locals_Base</f>
        <v/>
      </c>
      <c r="J75" s="13">
        <f>Locals_Base*(1-(1-EXP(-B75/Marketing_Saturation_Spend)))*Local_AudioTour_Rate_Init+(H75-Locals_Base*(1-(1-EXP(-B75/Marketing_Saturation_Spend))))*F75</f>
        <v/>
      </c>
      <c r="K75" s="13">
        <f>AudioTourist_Base+J75</f>
        <v/>
      </c>
      <c r="L75" s="6">
        <f>MAX(0,ROUNDUP((K75-Device_Capacity)/Device_Block_Size,0))</f>
        <v/>
      </c>
      <c r="M75" s="6">
        <f>L75*Device_Block_Cost/Device_Amort_Days</f>
        <v/>
      </c>
      <c r="N75" s="17">
        <f>Fee_Keep*(Locals_Base*(1-(1-EXP(-B75/Marketing_Saturation_Spend)))*Local_AudioTour_Rate_Init*AudioTour_Price+(H75-Locals_Base*(1-(1-EXP(-B75/Marketing_Saturation_Spend))))*F75*E75-AudioLocal_Base*AudioTour_Price)</f>
        <v/>
      </c>
      <c r="O75" s="17">
        <f>(K75-Total_Daily_AudioTour)*Headset_Cost</f>
        <v/>
      </c>
      <c r="P75" s="17">
        <f>I75*D75+Locals_Base*(1-EXP(-B75/Marketing_Saturation_Spend))*F75*GiftShop_Spillover</f>
        <v/>
      </c>
      <c r="Q75" s="17">
        <f>N75-O75-M75+P75</f>
        <v/>
      </c>
      <c r="R75" s="17">
        <f>Q75*Campaign_Days-B75</f>
        <v/>
      </c>
    </row>
    <row r="76">
      <c r="A76" s="6" t="inlineStr">
        <is>
          <t>2. r6 c5</t>
        </is>
      </c>
      <c r="B76" s="17">
        <f>Marketing_Spend</f>
        <v/>
      </c>
      <c r="C76" s="14">
        <f>Locals_Share_Ceiling</f>
        <v/>
      </c>
      <c r="D76" s="15">
        <f>GiftShop_Net_Spend_Local</f>
        <v/>
      </c>
      <c r="E76" s="15">
        <f>Sensitivity!$B$22</f>
        <v/>
      </c>
      <c r="F76" s="14">
        <f>Sensitivity!G$16</f>
        <v/>
      </c>
      <c r="G76" s="14">
        <f>Percentage_Locals_Init+(C76-Percentage_Locals_Init)*(1-EXP(-B76/Marketing_Saturation_Spend))</f>
        <v/>
      </c>
      <c r="H76" s="13">
        <f>Tourists_Base*G76/(1-G76)</f>
        <v/>
      </c>
      <c r="I76" s="13">
        <f>H76-Locals_Base</f>
        <v/>
      </c>
      <c r="J76" s="13">
        <f>Locals_Base*(1-(1-EXP(-B76/Marketing_Saturation_Spend)))*Local_AudioTour_Rate_Init+(H76-Locals_Base*(1-(1-EXP(-B76/Marketing_Saturation_Spend))))*F76</f>
        <v/>
      </c>
      <c r="K76" s="13">
        <f>AudioTourist_Base+J76</f>
        <v/>
      </c>
      <c r="L76" s="6">
        <f>MAX(0,ROUNDUP((K76-Device_Capacity)/Device_Block_Size,0))</f>
        <v/>
      </c>
      <c r="M76" s="6">
        <f>L76*Device_Block_Cost/Device_Amort_Days</f>
        <v/>
      </c>
      <c r="N76" s="17">
        <f>Fee_Keep*(Locals_Base*(1-(1-EXP(-B76/Marketing_Saturation_Spend)))*Local_AudioTour_Rate_Init*AudioTour_Price+(H76-Locals_Base*(1-(1-EXP(-B76/Marketing_Saturation_Spend))))*F76*E76-AudioLocal_Base*AudioTour_Price)</f>
        <v/>
      </c>
      <c r="O76" s="17">
        <f>(K76-Total_Daily_AudioTour)*Headset_Cost</f>
        <v/>
      </c>
      <c r="P76" s="17">
        <f>I76*D76+Locals_Base*(1-EXP(-B76/Marketing_Saturation_Spend))*F76*GiftShop_Spillover</f>
        <v/>
      </c>
      <c r="Q76" s="17">
        <f>N76-O76-M76+P76</f>
        <v/>
      </c>
      <c r="R76" s="17">
        <f>Q76*Campaign_Days-B76</f>
        <v/>
      </c>
    </row>
    <row r="77">
      <c r="A77" s="6" t="inlineStr">
        <is>
          <t>2. r7 c1</t>
        </is>
      </c>
      <c r="B77" s="17">
        <f>Marketing_Spend</f>
        <v/>
      </c>
      <c r="C77" s="14">
        <f>Locals_Share_Ceiling</f>
        <v/>
      </c>
      <c r="D77" s="15">
        <f>GiftShop_Net_Spend_Local</f>
        <v/>
      </c>
      <c r="E77" s="15">
        <f>Sensitivity!$B$23</f>
        <v/>
      </c>
      <c r="F77" s="14">
        <f>Sensitivity!C$16</f>
        <v/>
      </c>
      <c r="G77" s="14">
        <f>Percentage_Locals_Init+(C77-Percentage_Locals_Init)*(1-EXP(-B77/Marketing_Saturation_Spend))</f>
        <v/>
      </c>
      <c r="H77" s="13">
        <f>Tourists_Base*G77/(1-G77)</f>
        <v/>
      </c>
      <c r="I77" s="13">
        <f>H77-Locals_Base</f>
        <v/>
      </c>
      <c r="J77" s="13">
        <f>Locals_Base*(1-(1-EXP(-B77/Marketing_Saturation_Spend)))*Local_AudioTour_Rate_Init+(H77-Locals_Base*(1-(1-EXP(-B77/Marketing_Saturation_Spend))))*F77</f>
        <v/>
      </c>
      <c r="K77" s="13">
        <f>AudioTourist_Base+J77</f>
        <v/>
      </c>
      <c r="L77" s="6">
        <f>MAX(0,ROUNDUP((K77-Device_Capacity)/Device_Block_Size,0))</f>
        <v/>
      </c>
      <c r="M77" s="6">
        <f>L77*Device_Block_Cost/Device_Amort_Days</f>
        <v/>
      </c>
      <c r="N77" s="17">
        <f>Fee_Keep*(Locals_Base*(1-(1-EXP(-B77/Marketing_Saturation_Spend)))*Local_AudioTour_Rate_Init*AudioTour_Price+(H77-Locals_Base*(1-(1-EXP(-B77/Marketing_Saturation_Spend))))*F77*E77-AudioLocal_Base*AudioTour_Price)</f>
        <v/>
      </c>
      <c r="O77" s="17">
        <f>(K77-Total_Daily_AudioTour)*Headset_Cost</f>
        <v/>
      </c>
      <c r="P77" s="17">
        <f>I77*D77+Locals_Base*(1-EXP(-B77/Marketing_Saturation_Spend))*F77*GiftShop_Spillover</f>
        <v/>
      </c>
      <c r="Q77" s="17">
        <f>N77-O77-M77+P77</f>
        <v/>
      </c>
      <c r="R77" s="17">
        <f>Q77*Campaign_Days-B77</f>
        <v/>
      </c>
    </row>
    <row r="78">
      <c r="A78" s="6" t="inlineStr">
        <is>
          <t>2. r7 c2</t>
        </is>
      </c>
      <c r="B78" s="17">
        <f>Marketing_Spend</f>
        <v/>
      </c>
      <c r="C78" s="14">
        <f>Locals_Share_Ceiling</f>
        <v/>
      </c>
      <c r="D78" s="15">
        <f>GiftShop_Net_Spend_Local</f>
        <v/>
      </c>
      <c r="E78" s="15">
        <f>Sensitivity!$B$23</f>
        <v/>
      </c>
      <c r="F78" s="14">
        <f>Sensitivity!D$16</f>
        <v/>
      </c>
      <c r="G78" s="14">
        <f>Percentage_Locals_Init+(C78-Percentage_Locals_Init)*(1-EXP(-B78/Marketing_Saturation_Spend))</f>
        <v/>
      </c>
      <c r="H78" s="13">
        <f>Tourists_Base*G78/(1-G78)</f>
        <v/>
      </c>
      <c r="I78" s="13">
        <f>H78-Locals_Base</f>
        <v/>
      </c>
      <c r="J78" s="13">
        <f>Locals_Base*(1-(1-EXP(-B78/Marketing_Saturation_Spend)))*Local_AudioTour_Rate_Init+(H78-Locals_Base*(1-(1-EXP(-B78/Marketing_Saturation_Spend))))*F78</f>
        <v/>
      </c>
      <c r="K78" s="13">
        <f>AudioTourist_Base+J78</f>
        <v/>
      </c>
      <c r="L78" s="6">
        <f>MAX(0,ROUNDUP((K78-Device_Capacity)/Device_Block_Size,0))</f>
        <v/>
      </c>
      <c r="M78" s="6">
        <f>L78*Device_Block_Cost/Device_Amort_Days</f>
        <v/>
      </c>
      <c r="N78" s="17">
        <f>Fee_Keep*(Locals_Base*(1-(1-EXP(-B78/Marketing_Saturation_Spend)))*Local_AudioTour_Rate_Init*AudioTour_Price+(H78-Locals_Base*(1-(1-EXP(-B78/Marketing_Saturation_Spend))))*F78*E78-AudioLocal_Base*AudioTour_Price)</f>
        <v/>
      </c>
      <c r="O78" s="17">
        <f>(K78-Total_Daily_AudioTour)*Headset_Cost</f>
        <v/>
      </c>
      <c r="P78" s="17">
        <f>I78*D78+Locals_Base*(1-EXP(-B78/Marketing_Saturation_Spend))*F78*GiftShop_Spillover</f>
        <v/>
      </c>
      <c r="Q78" s="17">
        <f>N78-O78-M78+P78</f>
        <v/>
      </c>
      <c r="R78" s="17">
        <f>Q78*Campaign_Days-B78</f>
        <v/>
      </c>
    </row>
    <row r="79">
      <c r="A79" s="6" t="inlineStr">
        <is>
          <t>2. r7 c3</t>
        </is>
      </c>
      <c r="B79" s="17">
        <f>Marketing_Spend</f>
        <v/>
      </c>
      <c r="C79" s="14">
        <f>Locals_Share_Ceiling</f>
        <v/>
      </c>
      <c r="D79" s="15">
        <f>GiftShop_Net_Spend_Local</f>
        <v/>
      </c>
      <c r="E79" s="15">
        <f>Sensitivity!$B$23</f>
        <v/>
      </c>
      <c r="F79" s="14">
        <f>Sensitivity!E$16</f>
        <v/>
      </c>
      <c r="G79" s="14">
        <f>Percentage_Locals_Init+(C79-Percentage_Locals_Init)*(1-EXP(-B79/Marketing_Saturation_Spend))</f>
        <v/>
      </c>
      <c r="H79" s="13">
        <f>Tourists_Base*G79/(1-G79)</f>
        <v/>
      </c>
      <c r="I79" s="13">
        <f>H79-Locals_Base</f>
        <v/>
      </c>
      <c r="J79" s="13">
        <f>Locals_Base*(1-(1-EXP(-B79/Marketing_Saturation_Spend)))*Local_AudioTour_Rate_Init+(H79-Locals_Base*(1-(1-EXP(-B79/Marketing_Saturation_Spend))))*F79</f>
        <v/>
      </c>
      <c r="K79" s="13">
        <f>AudioTourist_Base+J79</f>
        <v/>
      </c>
      <c r="L79" s="6">
        <f>MAX(0,ROUNDUP((K79-Device_Capacity)/Device_Block_Size,0))</f>
        <v/>
      </c>
      <c r="M79" s="6">
        <f>L79*Device_Block_Cost/Device_Amort_Days</f>
        <v/>
      </c>
      <c r="N79" s="17">
        <f>Fee_Keep*(Locals_Base*(1-(1-EXP(-B79/Marketing_Saturation_Spend)))*Local_AudioTour_Rate_Init*AudioTour_Price+(H79-Locals_Base*(1-(1-EXP(-B79/Marketing_Saturation_Spend))))*F79*E79-AudioLocal_Base*AudioTour_Price)</f>
        <v/>
      </c>
      <c r="O79" s="17">
        <f>(K79-Total_Daily_AudioTour)*Headset_Cost</f>
        <v/>
      </c>
      <c r="P79" s="17">
        <f>I79*D79+Locals_Base*(1-EXP(-B79/Marketing_Saturation_Spend))*F79*GiftShop_Spillover</f>
        <v/>
      </c>
      <c r="Q79" s="17">
        <f>N79-O79-M79+P79</f>
        <v/>
      </c>
      <c r="R79" s="17">
        <f>Q79*Campaign_Days-B79</f>
        <v/>
      </c>
    </row>
    <row r="80">
      <c r="A80" s="6" t="inlineStr">
        <is>
          <t>2. r7 c4</t>
        </is>
      </c>
      <c r="B80" s="17">
        <f>Marketing_Spend</f>
        <v/>
      </c>
      <c r="C80" s="14">
        <f>Locals_Share_Ceiling</f>
        <v/>
      </c>
      <c r="D80" s="15">
        <f>GiftShop_Net_Spend_Local</f>
        <v/>
      </c>
      <c r="E80" s="15">
        <f>Sensitivity!$B$23</f>
        <v/>
      </c>
      <c r="F80" s="14">
        <f>Sensitivity!F$16</f>
        <v/>
      </c>
      <c r="G80" s="14">
        <f>Percentage_Locals_Init+(C80-Percentage_Locals_Init)*(1-EXP(-B80/Marketing_Saturation_Spend))</f>
        <v/>
      </c>
      <c r="H80" s="13">
        <f>Tourists_Base*G80/(1-G80)</f>
        <v/>
      </c>
      <c r="I80" s="13">
        <f>H80-Locals_Base</f>
        <v/>
      </c>
      <c r="J80" s="13">
        <f>Locals_Base*(1-(1-EXP(-B80/Marketing_Saturation_Spend)))*Local_AudioTour_Rate_Init+(H80-Locals_Base*(1-(1-EXP(-B80/Marketing_Saturation_Spend))))*F80</f>
        <v/>
      </c>
      <c r="K80" s="13">
        <f>AudioTourist_Base+J80</f>
        <v/>
      </c>
      <c r="L80" s="6">
        <f>MAX(0,ROUNDUP((K80-Device_Capacity)/Device_Block_Size,0))</f>
        <v/>
      </c>
      <c r="M80" s="6">
        <f>L80*Device_Block_Cost/Device_Amort_Days</f>
        <v/>
      </c>
      <c r="N80" s="17">
        <f>Fee_Keep*(Locals_Base*(1-(1-EXP(-B80/Marketing_Saturation_Spend)))*Local_AudioTour_Rate_Init*AudioTour_Price+(H80-Locals_Base*(1-(1-EXP(-B80/Marketing_Saturation_Spend))))*F80*E80-AudioLocal_Base*AudioTour_Price)</f>
        <v/>
      </c>
      <c r="O80" s="17">
        <f>(K80-Total_Daily_AudioTour)*Headset_Cost</f>
        <v/>
      </c>
      <c r="P80" s="17">
        <f>I80*D80+Locals_Base*(1-EXP(-B80/Marketing_Saturation_Spend))*F80*GiftShop_Spillover</f>
        <v/>
      </c>
      <c r="Q80" s="17">
        <f>N80-O80-M80+P80</f>
        <v/>
      </c>
      <c r="R80" s="17">
        <f>Q80*Campaign_Days-B80</f>
        <v/>
      </c>
    </row>
    <row r="81">
      <c r="A81" s="6" t="inlineStr">
        <is>
          <t>2. r7 c5</t>
        </is>
      </c>
      <c r="B81" s="17">
        <f>Marketing_Spend</f>
        <v/>
      </c>
      <c r="C81" s="14">
        <f>Locals_Share_Ceiling</f>
        <v/>
      </c>
      <c r="D81" s="15">
        <f>GiftShop_Net_Spend_Local</f>
        <v/>
      </c>
      <c r="E81" s="15">
        <f>Sensitivity!$B$23</f>
        <v/>
      </c>
      <c r="F81" s="14">
        <f>Sensitivity!G$16</f>
        <v/>
      </c>
      <c r="G81" s="14">
        <f>Percentage_Locals_Init+(C81-Percentage_Locals_Init)*(1-EXP(-B81/Marketing_Saturation_Spend))</f>
        <v/>
      </c>
      <c r="H81" s="13">
        <f>Tourists_Base*G81/(1-G81)</f>
        <v/>
      </c>
      <c r="I81" s="13">
        <f>H81-Locals_Base</f>
        <v/>
      </c>
      <c r="J81" s="13">
        <f>Locals_Base*(1-(1-EXP(-B81/Marketing_Saturation_Spend)))*Local_AudioTour_Rate_Init+(H81-Locals_Base*(1-(1-EXP(-B81/Marketing_Saturation_Spend))))*F81</f>
        <v/>
      </c>
      <c r="K81" s="13">
        <f>AudioTourist_Base+J81</f>
        <v/>
      </c>
      <c r="L81" s="6">
        <f>MAX(0,ROUNDUP((K81-Device_Capacity)/Device_Block_Size,0))</f>
        <v/>
      </c>
      <c r="M81" s="6">
        <f>L81*Device_Block_Cost/Device_Amort_Days</f>
        <v/>
      </c>
      <c r="N81" s="17">
        <f>Fee_Keep*(Locals_Base*(1-(1-EXP(-B81/Marketing_Saturation_Spend)))*Local_AudioTour_Rate_Init*AudioTour_Price+(H81-Locals_Base*(1-(1-EXP(-B81/Marketing_Saturation_Spend))))*F81*E81-AudioLocal_Base*AudioTour_Price)</f>
        <v/>
      </c>
      <c r="O81" s="17">
        <f>(K81-Total_Daily_AudioTour)*Headset_Cost</f>
        <v/>
      </c>
      <c r="P81" s="17">
        <f>I81*D81+Locals_Base*(1-EXP(-B81/Marketing_Saturation_Spend))*F81*GiftShop_Spillover</f>
        <v/>
      </c>
      <c r="Q81" s="17">
        <f>N81-O81-M81+P81</f>
        <v/>
      </c>
      <c r="R81" s="17">
        <f>Q81*Campaign_Days-B81</f>
        <v/>
      </c>
    </row>
    <row r="82">
      <c r="A82" s="6" t="inlineStr">
        <is>
          <t>2. r8 c1</t>
        </is>
      </c>
      <c r="B82" s="17">
        <f>Marketing_Spend</f>
        <v/>
      </c>
      <c r="C82" s="14">
        <f>Locals_Share_Ceiling</f>
        <v/>
      </c>
      <c r="D82" s="15">
        <f>GiftShop_Net_Spend_Local</f>
        <v/>
      </c>
      <c r="E82" s="15">
        <f>Sensitivity!$B$24</f>
        <v/>
      </c>
      <c r="F82" s="14">
        <f>Sensitivity!C$16</f>
        <v/>
      </c>
      <c r="G82" s="14">
        <f>Percentage_Locals_Init+(C82-Percentage_Locals_Init)*(1-EXP(-B82/Marketing_Saturation_Spend))</f>
        <v/>
      </c>
      <c r="H82" s="13">
        <f>Tourists_Base*G82/(1-G82)</f>
        <v/>
      </c>
      <c r="I82" s="13">
        <f>H82-Locals_Base</f>
        <v/>
      </c>
      <c r="J82" s="13">
        <f>Locals_Base*(1-(1-EXP(-B82/Marketing_Saturation_Spend)))*Local_AudioTour_Rate_Init+(H82-Locals_Base*(1-(1-EXP(-B82/Marketing_Saturation_Spend))))*F82</f>
        <v/>
      </c>
      <c r="K82" s="13">
        <f>AudioTourist_Base+J82</f>
        <v/>
      </c>
      <c r="L82" s="6">
        <f>MAX(0,ROUNDUP((K82-Device_Capacity)/Device_Block_Size,0))</f>
        <v/>
      </c>
      <c r="M82" s="6">
        <f>L82*Device_Block_Cost/Device_Amort_Days</f>
        <v/>
      </c>
      <c r="N82" s="17">
        <f>Fee_Keep*(Locals_Base*(1-(1-EXP(-B82/Marketing_Saturation_Spend)))*Local_AudioTour_Rate_Init*AudioTour_Price+(H82-Locals_Base*(1-(1-EXP(-B82/Marketing_Saturation_Spend))))*F82*E82-AudioLocal_Base*AudioTour_Price)</f>
        <v/>
      </c>
      <c r="O82" s="17">
        <f>(K82-Total_Daily_AudioTour)*Headset_Cost</f>
        <v/>
      </c>
      <c r="P82" s="17">
        <f>I82*D82+Locals_Base*(1-EXP(-B82/Marketing_Saturation_Spend))*F82*GiftShop_Spillover</f>
        <v/>
      </c>
      <c r="Q82" s="17">
        <f>N82-O82-M82+P82</f>
        <v/>
      </c>
      <c r="R82" s="17">
        <f>Q82*Campaign_Days-B82</f>
        <v/>
      </c>
    </row>
    <row r="83">
      <c r="A83" s="6" t="inlineStr">
        <is>
          <t>2. r8 c2</t>
        </is>
      </c>
      <c r="B83" s="17">
        <f>Marketing_Spend</f>
        <v/>
      </c>
      <c r="C83" s="14">
        <f>Locals_Share_Ceiling</f>
        <v/>
      </c>
      <c r="D83" s="15">
        <f>GiftShop_Net_Spend_Local</f>
        <v/>
      </c>
      <c r="E83" s="15">
        <f>Sensitivity!$B$24</f>
        <v/>
      </c>
      <c r="F83" s="14">
        <f>Sensitivity!D$16</f>
        <v/>
      </c>
      <c r="G83" s="14">
        <f>Percentage_Locals_Init+(C83-Percentage_Locals_Init)*(1-EXP(-B83/Marketing_Saturation_Spend))</f>
        <v/>
      </c>
      <c r="H83" s="13">
        <f>Tourists_Base*G83/(1-G83)</f>
        <v/>
      </c>
      <c r="I83" s="13">
        <f>H83-Locals_Base</f>
        <v/>
      </c>
      <c r="J83" s="13">
        <f>Locals_Base*(1-(1-EXP(-B83/Marketing_Saturation_Spend)))*Local_AudioTour_Rate_Init+(H83-Locals_Base*(1-(1-EXP(-B83/Marketing_Saturation_Spend))))*F83</f>
        <v/>
      </c>
      <c r="K83" s="13">
        <f>AudioTourist_Base+J83</f>
        <v/>
      </c>
      <c r="L83" s="6">
        <f>MAX(0,ROUNDUP((K83-Device_Capacity)/Device_Block_Size,0))</f>
        <v/>
      </c>
      <c r="M83" s="6">
        <f>L83*Device_Block_Cost/Device_Amort_Days</f>
        <v/>
      </c>
      <c r="N83" s="17">
        <f>Fee_Keep*(Locals_Base*(1-(1-EXP(-B83/Marketing_Saturation_Spend)))*Local_AudioTour_Rate_Init*AudioTour_Price+(H83-Locals_Base*(1-(1-EXP(-B83/Marketing_Saturation_Spend))))*F83*E83-AudioLocal_Base*AudioTour_Price)</f>
        <v/>
      </c>
      <c r="O83" s="17">
        <f>(K83-Total_Daily_AudioTour)*Headset_Cost</f>
        <v/>
      </c>
      <c r="P83" s="17">
        <f>I83*D83+Locals_Base*(1-EXP(-B83/Marketing_Saturation_Spend))*F83*GiftShop_Spillover</f>
        <v/>
      </c>
      <c r="Q83" s="17">
        <f>N83-O83-M83+P83</f>
        <v/>
      </c>
      <c r="R83" s="17">
        <f>Q83*Campaign_Days-B83</f>
        <v/>
      </c>
    </row>
    <row r="84">
      <c r="A84" s="6" t="inlineStr">
        <is>
          <t>2. r8 c3</t>
        </is>
      </c>
      <c r="B84" s="17">
        <f>Marketing_Spend</f>
        <v/>
      </c>
      <c r="C84" s="14">
        <f>Locals_Share_Ceiling</f>
        <v/>
      </c>
      <c r="D84" s="15">
        <f>GiftShop_Net_Spend_Local</f>
        <v/>
      </c>
      <c r="E84" s="15">
        <f>Sensitivity!$B$24</f>
        <v/>
      </c>
      <c r="F84" s="14">
        <f>Sensitivity!E$16</f>
        <v/>
      </c>
      <c r="G84" s="14">
        <f>Percentage_Locals_Init+(C84-Percentage_Locals_Init)*(1-EXP(-B84/Marketing_Saturation_Spend))</f>
        <v/>
      </c>
      <c r="H84" s="13">
        <f>Tourists_Base*G84/(1-G84)</f>
        <v/>
      </c>
      <c r="I84" s="13">
        <f>H84-Locals_Base</f>
        <v/>
      </c>
      <c r="J84" s="13">
        <f>Locals_Base*(1-(1-EXP(-B84/Marketing_Saturation_Spend)))*Local_AudioTour_Rate_Init+(H84-Locals_Base*(1-(1-EXP(-B84/Marketing_Saturation_Spend))))*F84</f>
        <v/>
      </c>
      <c r="K84" s="13">
        <f>AudioTourist_Base+J84</f>
        <v/>
      </c>
      <c r="L84" s="6">
        <f>MAX(0,ROUNDUP((K84-Device_Capacity)/Device_Block_Size,0))</f>
        <v/>
      </c>
      <c r="M84" s="6">
        <f>L84*Device_Block_Cost/Device_Amort_Days</f>
        <v/>
      </c>
      <c r="N84" s="17">
        <f>Fee_Keep*(Locals_Base*(1-(1-EXP(-B84/Marketing_Saturation_Spend)))*Local_AudioTour_Rate_Init*AudioTour_Price+(H84-Locals_Base*(1-(1-EXP(-B84/Marketing_Saturation_Spend))))*F84*E84-AudioLocal_Base*AudioTour_Price)</f>
        <v/>
      </c>
      <c r="O84" s="17">
        <f>(K84-Total_Daily_AudioTour)*Headset_Cost</f>
        <v/>
      </c>
      <c r="P84" s="17">
        <f>I84*D84+Locals_Base*(1-EXP(-B84/Marketing_Saturation_Spend))*F84*GiftShop_Spillover</f>
        <v/>
      </c>
      <c r="Q84" s="17">
        <f>N84-O84-M84+P84</f>
        <v/>
      </c>
      <c r="R84" s="17">
        <f>Q84*Campaign_Days-B84</f>
        <v/>
      </c>
    </row>
    <row r="85">
      <c r="A85" s="6" t="inlineStr">
        <is>
          <t>2. r8 c4</t>
        </is>
      </c>
      <c r="B85" s="17">
        <f>Marketing_Spend</f>
        <v/>
      </c>
      <c r="C85" s="14">
        <f>Locals_Share_Ceiling</f>
        <v/>
      </c>
      <c r="D85" s="15">
        <f>GiftShop_Net_Spend_Local</f>
        <v/>
      </c>
      <c r="E85" s="15">
        <f>Sensitivity!$B$24</f>
        <v/>
      </c>
      <c r="F85" s="14">
        <f>Sensitivity!F$16</f>
        <v/>
      </c>
      <c r="G85" s="14">
        <f>Percentage_Locals_Init+(C85-Percentage_Locals_Init)*(1-EXP(-B85/Marketing_Saturation_Spend))</f>
        <v/>
      </c>
      <c r="H85" s="13">
        <f>Tourists_Base*G85/(1-G85)</f>
        <v/>
      </c>
      <c r="I85" s="13">
        <f>H85-Locals_Base</f>
        <v/>
      </c>
      <c r="J85" s="13">
        <f>Locals_Base*(1-(1-EXP(-B85/Marketing_Saturation_Spend)))*Local_AudioTour_Rate_Init+(H85-Locals_Base*(1-(1-EXP(-B85/Marketing_Saturation_Spend))))*F85</f>
        <v/>
      </c>
      <c r="K85" s="13">
        <f>AudioTourist_Base+J85</f>
        <v/>
      </c>
      <c r="L85" s="6">
        <f>MAX(0,ROUNDUP((K85-Device_Capacity)/Device_Block_Size,0))</f>
        <v/>
      </c>
      <c r="M85" s="6">
        <f>L85*Device_Block_Cost/Device_Amort_Days</f>
        <v/>
      </c>
      <c r="N85" s="17">
        <f>Fee_Keep*(Locals_Base*(1-(1-EXP(-B85/Marketing_Saturation_Spend)))*Local_AudioTour_Rate_Init*AudioTour_Price+(H85-Locals_Base*(1-(1-EXP(-B85/Marketing_Saturation_Spend))))*F85*E85-AudioLocal_Base*AudioTour_Price)</f>
        <v/>
      </c>
      <c r="O85" s="17">
        <f>(K85-Total_Daily_AudioTour)*Headset_Cost</f>
        <v/>
      </c>
      <c r="P85" s="17">
        <f>I85*D85+Locals_Base*(1-EXP(-B85/Marketing_Saturation_Spend))*F85*GiftShop_Spillover</f>
        <v/>
      </c>
      <c r="Q85" s="17">
        <f>N85-O85-M85+P85</f>
        <v/>
      </c>
      <c r="R85" s="17">
        <f>Q85*Campaign_Days-B85</f>
        <v/>
      </c>
    </row>
    <row r="86">
      <c r="A86" s="6" t="inlineStr">
        <is>
          <t>2. r8 c5</t>
        </is>
      </c>
      <c r="B86" s="17">
        <f>Marketing_Spend</f>
        <v/>
      </c>
      <c r="C86" s="14">
        <f>Locals_Share_Ceiling</f>
        <v/>
      </c>
      <c r="D86" s="15">
        <f>GiftShop_Net_Spend_Local</f>
        <v/>
      </c>
      <c r="E86" s="15">
        <f>Sensitivity!$B$24</f>
        <v/>
      </c>
      <c r="F86" s="14">
        <f>Sensitivity!G$16</f>
        <v/>
      </c>
      <c r="G86" s="14">
        <f>Percentage_Locals_Init+(C86-Percentage_Locals_Init)*(1-EXP(-B86/Marketing_Saturation_Spend))</f>
        <v/>
      </c>
      <c r="H86" s="13">
        <f>Tourists_Base*G86/(1-G86)</f>
        <v/>
      </c>
      <c r="I86" s="13">
        <f>H86-Locals_Base</f>
        <v/>
      </c>
      <c r="J86" s="13">
        <f>Locals_Base*(1-(1-EXP(-B86/Marketing_Saturation_Spend)))*Local_AudioTour_Rate_Init+(H86-Locals_Base*(1-(1-EXP(-B86/Marketing_Saturation_Spend))))*F86</f>
        <v/>
      </c>
      <c r="K86" s="13">
        <f>AudioTourist_Base+J86</f>
        <v/>
      </c>
      <c r="L86" s="6">
        <f>MAX(0,ROUNDUP((K86-Device_Capacity)/Device_Block_Size,0))</f>
        <v/>
      </c>
      <c r="M86" s="6">
        <f>L86*Device_Block_Cost/Device_Amort_Days</f>
        <v/>
      </c>
      <c r="N86" s="17">
        <f>Fee_Keep*(Locals_Base*(1-(1-EXP(-B86/Marketing_Saturation_Spend)))*Local_AudioTour_Rate_Init*AudioTour_Price+(H86-Locals_Base*(1-(1-EXP(-B86/Marketing_Saturation_Spend))))*F86*E86-AudioLocal_Base*AudioTour_Price)</f>
        <v/>
      </c>
      <c r="O86" s="17">
        <f>(K86-Total_Daily_AudioTour)*Headset_Cost</f>
        <v/>
      </c>
      <c r="P86" s="17">
        <f>I86*D86+Locals_Base*(1-EXP(-B86/Marketing_Saturation_Spend))*F86*GiftShop_Spillover</f>
        <v/>
      </c>
      <c r="Q86" s="17">
        <f>N86-O86-M86+P86</f>
        <v/>
      </c>
      <c r="R86" s="17">
        <f>Q86*Campaign_Days-B86</f>
        <v/>
      </c>
    </row>
    <row r="87">
      <c r="A87" s="6" t="inlineStr">
        <is>
          <t>3. r1 c1</t>
        </is>
      </c>
      <c r="B87" s="17">
        <f>Sensitivity!$B$29</f>
        <v/>
      </c>
      <c r="C87" s="14">
        <f>Sensitivity!C$28</f>
        <v/>
      </c>
      <c r="D87" s="15">
        <f>GiftShop_Net_Spend_Local</f>
        <v/>
      </c>
      <c r="E87" s="15">
        <f>Average_PWYW</f>
        <v/>
      </c>
      <c r="F87" s="14">
        <f>Local_AudioTour_Rate_PWYW</f>
        <v/>
      </c>
      <c r="G87" s="14">
        <f>Percentage_Locals_Init+(C87-Percentage_Locals_Init)*(1-EXP(-B87/Marketing_Saturation_Spend))</f>
        <v/>
      </c>
      <c r="H87" s="13">
        <f>Tourists_Base*G87/(1-G87)</f>
        <v/>
      </c>
      <c r="I87" s="13">
        <f>H87-Locals_Base</f>
        <v/>
      </c>
      <c r="J87" s="13">
        <f>Locals_Base*(1-(1-EXP(-B87/Marketing_Saturation_Spend)))*Local_AudioTour_Rate_Init+(H87-Locals_Base*(1-(1-EXP(-B87/Marketing_Saturation_Spend))))*F87</f>
        <v/>
      </c>
      <c r="K87" s="13">
        <f>AudioTourist_Base+J87</f>
        <v/>
      </c>
      <c r="L87" s="6">
        <f>MAX(0,ROUNDUP((K87-Device_Capacity)/Device_Block_Size,0))</f>
        <v/>
      </c>
      <c r="M87" s="6">
        <f>L87*Device_Block_Cost/Device_Amort_Days</f>
        <v/>
      </c>
      <c r="N87" s="17">
        <f>Fee_Keep*(Locals_Base*(1-(1-EXP(-B87/Marketing_Saturation_Spend)))*Local_AudioTour_Rate_Init*AudioTour_Price+(H87-Locals_Base*(1-(1-EXP(-B87/Marketing_Saturation_Spend))))*F87*E87-AudioLocal_Base*AudioTour_Price)</f>
        <v/>
      </c>
      <c r="O87" s="17">
        <f>(K87-Total_Daily_AudioTour)*Headset_Cost</f>
        <v/>
      </c>
      <c r="P87" s="17">
        <f>I87*D87+Locals_Base*(1-EXP(-B87/Marketing_Saturation_Spend))*F87*GiftShop_Spillover</f>
        <v/>
      </c>
      <c r="Q87" s="17">
        <f>N87-O87-M87+P87</f>
        <v/>
      </c>
      <c r="R87" s="17">
        <f>Q87*Campaign_Days-B87</f>
        <v/>
      </c>
    </row>
    <row r="88">
      <c r="A88" s="6" t="inlineStr">
        <is>
          <t>3. r1 c2</t>
        </is>
      </c>
      <c r="B88" s="17">
        <f>Sensitivity!$B$29</f>
        <v/>
      </c>
      <c r="C88" s="14">
        <f>Sensitivity!D$28</f>
        <v/>
      </c>
      <c r="D88" s="15">
        <f>GiftShop_Net_Spend_Local</f>
        <v/>
      </c>
      <c r="E88" s="15">
        <f>Average_PWYW</f>
        <v/>
      </c>
      <c r="F88" s="14">
        <f>Local_AudioTour_Rate_PWYW</f>
        <v/>
      </c>
      <c r="G88" s="14">
        <f>Percentage_Locals_Init+(C88-Percentage_Locals_Init)*(1-EXP(-B88/Marketing_Saturation_Spend))</f>
        <v/>
      </c>
      <c r="H88" s="13">
        <f>Tourists_Base*G88/(1-G88)</f>
        <v/>
      </c>
      <c r="I88" s="13">
        <f>H88-Locals_Base</f>
        <v/>
      </c>
      <c r="J88" s="13">
        <f>Locals_Base*(1-(1-EXP(-B88/Marketing_Saturation_Spend)))*Local_AudioTour_Rate_Init+(H88-Locals_Base*(1-(1-EXP(-B88/Marketing_Saturation_Spend))))*F88</f>
        <v/>
      </c>
      <c r="K88" s="13">
        <f>AudioTourist_Base+J88</f>
        <v/>
      </c>
      <c r="L88" s="6">
        <f>MAX(0,ROUNDUP((K88-Device_Capacity)/Device_Block_Size,0))</f>
        <v/>
      </c>
      <c r="M88" s="6">
        <f>L88*Device_Block_Cost/Device_Amort_Days</f>
        <v/>
      </c>
      <c r="N88" s="17">
        <f>Fee_Keep*(Locals_Base*(1-(1-EXP(-B88/Marketing_Saturation_Spend)))*Local_AudioTour_Rate_Init*AudioTour_Price+(H88-Locals_Base*(1-(1-EXP(-B88/Marketing_Saturation_Spend))))*F88*E88-AudioLocal_Base*AudioTour_Price)</f>
        <v/>
      </c>
      <c r="O88" s="17">
        <f>(K88-Total_Daily_AudioTour)*Headset_Cost</f>
        <v/>
      </c>
      <c r="P88" s="17">
        <f>I88*D88+Locals_Base*(1-EXP(-B88/Marketing_Saturation_Spend))*F88*GiftShop_Spillover</f>
        <v/>
      </c>
      <c r="Q88" s="17">
        <f>N88-O88-M88+P88</f>
        <v/>
      </c>
      <c r="R88" s="17">
        <f>Q88*Campaign_Days-B88</f>
        <v/>
      </c>
    </row>
    <row r="89">
      <c r="A89" s="6" t="inlineStr">
        <is>
          <t>3. r1 c3</t>
        </is>
      </c>
      <c r="B89" s="17">
        <f>Sensitivity!$B$29</f>
        <v/>
      </c>
      <c r="C89" s="14">
        <f>Sensitivity!E$28</f>
        <v/>
      </c>
      <c r="D89" s="15">
        <f>GiftShop_Net_Spend_Local</f>
        <v/>
      </c>
      <c r="E89" s="15">
        <f>Average_PWYW</f>
        <v/>
      </c>
      <c r="F89" s="14">
        <f>Local_AudioTour_Rate_PWYW</f>
        <v/>
      </c>
      <c r="G89" s="14">
        <f>Percentage_Locals_Init+(C89-Percentage_Locals_Init)*(1-EXP(-B89/Marketing_Saturation_Spend))</f>
        <v/>
      </c>
      <c r="H89" s="13">
        <f>Tourists_Base*G89/(1-G89)</f>
        <v/>
      </c>
      <c r="I89" s="13">
        <f>H89-Locals_Base</f>
        <v/>
      </c>
      <c r="J89" s="13">
        <f>Locals_Base*(1-(1-EXP(-B89/Marketing_Saturation_Spend)))*Local_AudioTour_Rate_Init+(H89-Locals_Base*(1-(1-EXP(-B89/Marketing_Saturation_Spend))))*F89</f>
        <v/>
      </c>
      <c r="K89" s="13">
        <f>AudioTourist_Base+J89</f>
        <v/>
      </c>
      <c r="L89" s="6">
        <f>MAX(0,ROUNDUP((K89-Device_Capacity)/Device_Block_Size,0))</f>
        <v/>
      </c>
      <c r="M89" s="6">
        <f>L89*Device_Block_Cost/Device_Amort_Days</f>
        <v/>
      </c>
      <c r="N89" s="17">
        <f>Fee_Keep*(Locals_Base*(1-(1-EXP(-B89/Marketing_Saturation_Spend)))*Local_AudioTour_Rate_Init*AudioTour_Price+(H89-Locals_Base*(1-(1-EXP(-B89/Marketing_Saturation_Spend))))*F89*E89-AudioLocal_Base*AudioTour_Price)</f>
        <v/>
      </c>
      <c r="O89" s="17">
        <f>(K89-Total_Daily_AudioTour)*Headset_Cost</f>
        <v/>
      </c>
      <c r="P89" s="17">
        <f>I89*D89+Locals_Base*(1-EXP(-B89/Marketing_Saturation_Spend))*F89*GiftShop_Spillover</f>
        <v/>
      </c>
      <c r="Q89" s="17">
        <f>N89-O89-M89+P89</f>
        <v/>
      </c>
      <c r="R89" s="17">
        <f>Q89*Campaign_Days-B89</f>
        <v/>
      </c>
    </row>
    <row r="90">
      <c r="A90" s="6" t="inlineStr">
        <is>
          <t>3. r1 c4</t>
        </is>
      </c>
      <c r="B90" s="17">
        <f>Sensitivity!$B$29</f>
        <v/>
      </c>
      <c r="C90" s="14">
        <f>Sensitivity!F$28</f>
        <v/>
      </c>
      <c r="D90" s="15">
        <f>GiftShop_Net_Spend_Local</f>
        <v/>
      </c>
      <c r="E90" s="15">
        <f>Average_PWYW</f>
        <v/>
      </c>
      <c r="F90" s="14">
        <f>Local_AudioTour_Rate_PWYW</f>
        <v/>
      </c>
      <c r="G90" s="14">
        <f>Percentage_Locals_Init+(C90-Percentage_Locals_Init)*(1-EXP(-B90/Marketing_Saturation_Spend))</f>
        <v/>
      </c>
      <c r="H90" s="13">
        <f>Tourists_Base*G90/(1-G90)</f>
        <v/>
      </c>
      <c r="I90" s="13">
        <f>H90-Locals_Base</f>
        <v/>
      </c>
      <c r="J90" s="13">
        <f>Locals_Base*(1-(1-EXP(-B90/Marketing_Saturation_Spend)))*Local_AudioTour_Rate_Init+(H90-Locals_Base*(1-(1-EXP(-B90/Marketing_Saturation_Spend))))*F90</f>
        <v/>
      </c>
      <c r="K90" s="13">
        <f>AudioTourist_Base+J90</f>
        <v/>
      </c>
      <c r="L90" s="6">
        <f>MAX(0,ROUNDUP((K90-Device_Capacity)/Device_Block_Size,0))</f>
        <v/>
      </c>
      <c r="M90" s="6">
        <f>L90*Device_Block_Cost/Device_Amort_Days</f>
        <v/>
      </c>
      <c r="N90" s="17">
        <f>Fee_Keep*(Locals_Base*(1-(1-EXP(-B90/Marketing_Saturation_Spend)))*Local_AudioTour_Rate_Init*AudioTour_Price+(H90-Locals_Base*(1-(1-EXP(-B90/Marketing_Saturation_Spend))))*F90*E90-AudioLocal_Base*AudioTour_Price)</f>
        <v/>
      </c>
      <c r="O90" s="17">
        <f>(K90-Total_Daily_AudioTour)*Headset_Cost</f>
        <v/>
      </c>
      <c r="P90" s="17">
        <f>I90*D90+Locals_Base*(1-EXP(-B90/Marketing_Saturation_Spend))*F90*GiftShop_Spillover</f>
        <v/>
      </c>
      <c r="Q90" s="17">
        <f>N90-O90-M90+P90</f>
        <v/>
      </c>
      <c r="R90" s="17">
        <f>Q90*Campaign_Days-B90</f>
        <v/>
      </c>
    </row>
    <row r="91">
      <c r="A91" s="6" t="inlineStr">
        <is>
          <t>3. r1 c5</t>
        </is>
      </c>
      <c r="B91" s="17">
        <f>Sensitivity!$B$29</f>
        <v/>
      </c>
      <c r="C91" s="14">
        <f>Sensitivity!G$28</f>
        <v/>
      </c>
      <c r="D91" s="15">
        <f>GiftShop_Net_Spend_Local</f>
        <v/>
      </c>
      <c r="E91" s="15">
        <f>Average_PWYW</f>
        <v/>
      </c>
      <c r="F91" s="14">
        <f>Local_AudioTour_Rate_PWYW</f>
        <v/>
      </c>
      <c r="G91" s="14">
        <f>Percentage_Locals_Init+(C91-Percentage_Locals_Init)*(1-EXP(-B91/Marketing_Saturation_Spend))</f>
        <v/>
      </c>
      <c r="H91" s="13">
        <f>Tourists_Base*G91/(1-G91)</f>
        <v/>
      </c>
      <c r="I91" s="13">
        <f>H91-Locals_Base</f>
        <v/>
      </c>
      <c r="J91" s="13">
        <f>Locals_Base*(1-(1-EXP(-B91/Marketing_Saturation_Spend)))*Local_AudioTour_Rate_Init+(H91-Locals_Base*(1-(1-EXP(-B91/Marketing_Saturation_Spend))))*F91</f>
        <v/>
      </c>
      <c r="K91" s="13">
        <f>AudioTourist_Base+J91</f>
        <v/>
      </c>
      <c r="L91" s="6">
        <f>MAX(0,ROUNDUP((K91-Device_Capacity)/Device_Block_Size,0))</f>
        <v/>
      </c>
      <c r="M91" s="6">
        <f>L91*Device_Block_Cost/Device_Amort_Days</f>
        <v/>
      </c>
      <c r="N91" s="17">
        <f>Fee_Keep*(Locals_Base*(1-(1-EXP(-B91/Marketing_Saturation_Spend)))*Local_AudioTour_Rate_Init*AudioTour_Price+(H91-Locals_Base*(1-(1-EXP(-B91/Marketing_Saturation_Spend))))*F91*E91-AudioLocal_Base*AudioTour_Price)</f>
        <v/>
      </c>
      <c r="O91" s="17">
        <f>(K91-Total_Daily_AudioTour)*Headset_Cost</f>
        <v/>
      </c>
      <c r="P91" s="17">
        <f>I91*D91+Locals_Base*(1-EXP(-B91/Marketing_Saturation_Spend))*F91*GiftShop_Spillover</f>
        <v/>
      </c>
      <c r="Q91" s="17">
        <f>N91-O91-M91+P91</f>
        <v/>
      </c>
      <c r="R91" s="17">
        <f>Q91*Campaign_Days-B91</f>
        <v/>
      </c>
    </row>
    <row r="92">
      <c r="A92" s="6" t="inlineStr">
        <is>
          <t>3. r1 c6</t>
        </is>
      </c>
      <c r="B92" s="17">
        <f>Sensitivity!$B$29</f>
        <v/>
      </c>
      <c r="C92" s="14">
        <f>Sensitivity!H$28</f>
        <v/>
      </c>
      <c r="D92" s="15">
        <f>GiftShop_Net_Spend_Local</f>
        <v/>
      </c>
      <c r="E92" s="15">
        <f>Average_PWYW</f>
        <v/>
      </c>
      <c r="F92" s="14">
        <f>Local_AudioTour_Rate_PWYW</f>
        <v/>
      </c>
      <c r="G92" s="14">
        <f>Percentage_Locals_Init+(C92-Percentage_Locals_Init)*(1-EXP(-B92/Marketing_Saturation_Spend))</f>
        <v/>
      </c>
      <c r="H92" s="13">
        <f>Tourists_Base*G92/(1-G92)</f>
        <v/>
      </c>
      <c r="I92" s="13">
        <f>H92-Locals_Base</f>
        <v/>
      </c>
      <c r="J92" s="13">
        <f>Locals_Base*(1-(1-EXP(-B92/Marketing_Saturation_Spend)))*Local_AudioTour_Rate_Init+(H92-Locals_Base*(1-(1-EXP(-B92/Marketing_Saturation_Spend))))*F92</f>
        <v/>
      </c>
      <c r="K92" s="13">
        <f>AudioTourist_Base+J92</f>
        <v/>
      </c>
      <c r="L92" s="6">
        <f>MAX(0,ROUNDUP((K92-Device_Capacity)/Device_Block_Size,0))</f>
        <v/>
      </c>
      <c r="M92" s="6">
        <f>L92*Device_Block_Cost/Device_Amort_Days</f>
        <v/>
      </c>
      <c r="N92" s="17">
        <f>Fee_Keep*(Locals_Base*(1-(1-EXP(-B92/Marketing_Saturation_Spend)))*Local_AudioTour_Rate_Init*AudioTour_Price+(H92-Locals_Base*(1-(1-EXP(-B92/Marketing_Saturation_Spend))))*F92*E92-AudioLocal_Base*AudioTour_Price)</f>
        <v/>
      </c>
      <c r="O92" s="17">
        <f>(K92-Total_Daily_AudioTour)*Headset_Cost</f>
        <v/>
      </c>
      <c r="P92" s="17">
        <f>I92*D92+Locals_Base*(1-EXP(-B92/Marketing_Saturation_Spend))*F92*GiftShop_Spillover</f>
        <v/>
      </c>
      <c r="Q92" s="17">
        <f>N92-O92-M92+P92</f>
        <v/>
      </c>
      <c r="R92" s="17">
        <f>Q92*Campaign_Days-B92</f>
        <v/>
      </c>
    </row>
    <row r="93">
      <c r="A93" s="6" t="inlineStr">
        <is>
          <t>3. r2 c1</t>
        </is>
      </c>
      <c r="B93" s="17">
        <f>Sensitivity!$B$30</f>
        <v/>
      </c>
      <c r="C93" s="14">
        <f>Sensitivity!C$28</f>
        <v/>
      </c>
      <c r="D93" s="15">
        <f>GiftShop_Net_Spend_Local</f>
        <v/>
      </c>
      <c r="E93" s="15">
        <f>Average_PWYW</f>
        <v/>
      </c>
      <c r="F93" s="14">
        <f>Local_AudioTour_Rate_PWYW</f>
        <v/>
      </c>
      <c r="G93" s="14">
        <f>Percentage_Locals_Init+(C93-Percentage_Locals_Init)*(1-EXP(-B93/Marketing_Saturation_Spend))</f>
        <v/>
      </c>
      <c r="H93" s="13">
        <f>Tourists_Base*G93/(1-G93)</f>
        <v/>
      </c>
      <c r="I93" s="13">
        <f>H93-Locals_Base</f>
        <v/>
      </c>
      <c r="J93" s="13">
        <f>Locals_Base*(1-(1-EXP(-B93/Marketing_Saturation_Spend)))*Local_AudioTour_Rate_Init+(H93-Locals_Base*(1-(1-EXP(-B93/Marketing_Saturation_Spend))))*F93</f>
        <v/>
      </c>
      <c r="K93" s="13">
        <f>AudioTourist_Base+J93</f>
        <v/>
      </c>
      <c r="L93" s="6">
        <f>MAX(0,ROUNDUP((K93-Device_Capacity)/Device_Block_Size,0))</f>
        <v/>
      </c>
      <c r="M93" s="6">
        <f>L93*Device_Block_Cost/Device_Amort_Days</f>
        <v/>
      </c>
      <c r="N93" s="17">
        <f>Fee_Keep*(Locals_Base*(1-(1-EXP(-B93/Marketing_Saturation_Spend)))*Local_AudioTour_Rate_Init*AudioTour_Price+(H93-Locals_Base*(1-(1-EXP(-B93/Marketing_Saturation_Spend))))*F93*E93-AudioLocal_Base*AudioTour_Price)</f>
        <v/>
      </c>
      <c r="O93" s="17">
        <f>(K93-Total_Daily_AudioTour)*Headset_Cost</f>
        <v/>
      </c>
      <c r="P93" s="17">
        <f>I93*D93+Locals_Base*(1-EXP(-B93/Marketing_Saturation_Spend))*F93*GiftShop_Spillover</f>
        <v/>
      </c>
      <c r="Q93" s="17">
        <f>N93-O93-M93+P93</f>
        <v/>
      </c>
      <c r="R93" s="17">
        <f>Q93*Campaign_Days-B93</f>
        <v/>
      </c>
    </row>
    <row r="94">
      <c r="A94" s="6" t="inlineStr">
        <is>
          <t>3. r2 c2</t>
        </is>
      </c>
      <c r="B94" s="17">
        <f>Sensitivity!$B$30</f>
        <v/>
      </c>
      <c r="C94" s="14">
        <f>Sensitivity!D$28</f>
        <v/>
      </c>
      <c r="D94" s="15">
        <f>GiftShop_Net_Spend_Local</f>
        <v/>
      </c>
      <c r="E94" s="15">
        <f>Average_PWYW</f>
        <v/>
      </c>
      <c r="F94" s="14">
        <f>Local_AudioTour_Rate_PWYW</f>
        <v/>
      </c>
      <c r="G94" s="14">
        <f>Percentage_Locals_Init+(C94-Percentage_Locals_Init)*(1-EXP(-B94/Marketing_Saturation_Spend))</f>
        <v/>
      </c>
      <c r="H94" s="13">
        <f>Tourists_Base*G94/(1-G94)</f>
        <v/>
      </c>
      <c r="I94" s="13">
        <f>H94-Locals_Base</f>
        <v/>
      </c>
      <c r="J94" s="13">
        <f>Locals_Base*(1-(1-EXP(-B94/Marketing_Saturation_Spend)))*Local_AudioTour_Rate_Init+(H94-Locals_Base*(1-(1-EXP(-B94/Marketing_Saturation_Spend))))*F94</f>
        <v/>
      </c>
      <c r="K94" s="13">
        <f>AudioTourist_Base+J94</f>
        <v/>
      </c>
      <c r="L94" s="6">
        <f>MAX(0,ROUNDUP((K94-Device_Capacity)/Device_Block_Size,0))</f>
        <v/>
      </c>
      <c r="M94" s="6">
        <f>L94*Device_Block_Cost/Device_Amort_Days</f>
        <v/>
      </c>
      <c r="N94" s="17">
        <f>Fee_Keep*(Locals_Base*(1-(1-EXP(-B94/Marketing_Saturation_Spend)))*Local_AudioTour_Rate_Init*AudioTour_Price+(H94-Locals_Base*(1-(1-EXP(-B94/Marketing_Saturation_Spend))))*F94*E94-AudioLocal_Base*AudioTour_Price)</f>
        <v/>
      </c>
      <c r="O94" s="17">
        <f>(K94-Total_Daily_AudioTour)*Headset_Cost</f>
        <v/>
      </c>
      <c r="P94" s="17">
        <f>I94*D94+Locals_Base*(1-EXP(-B94/Marketing_Saturation_Spend))*F94*GiftShop_Spillover</f>
        <v/>
      </c>
      <c r="Q94" s="17">
        <f>N94-O94-M94+P94</f>
        <v/>
      </c>
      <c r="R94" s="17">
        <f>Q94*Campaign_Days-B94</f>
        <v/>
      </c>
    </row>
    <row r="95">
      <c r="A95" s="6" t="inlineStr">
        <is>
          <t>3. r2 c3</t>
        </is>
      </c>
      <c r="B95" s="17">
        <f>Sensitivity!$B$30</f>
        <v/>
      </c>
      <c r="C95" s="14">
        <f>Sensitivity!E$28</f>
        <v/>
      </c>
      <c r="D95" s="15">
        <f>GiftShop_Net_Spend_Local</f>
        <v/>
      </c>
      <c r="E95" s="15">
        <f>Average_PWYW</f>
        <v/>
      </c>
      <c r="F95" s="14">
        <f>Local_AudioTour_Rate_PWYW</f>
        <v/>
      </c>
      <c r="G95" s="14">
        <f>Percentage_Locals_Init+(C95-Percentage_Locals_Init)*(1-EXP(-B95/Marketing_Saturation_Spend))</f>
        <v/>
      </c>
      <c r="H95" s="13">
        <f>Tourists_Base*G95/(1-G95)</f>
        <v/>
      </c>
      <c r="I95" s="13">
        <f>H95-Locals_Base</f>
        <v/>
      </c>
      <c r="J95" s="13">
        <f>Locals_Base*(1-(1-EXP(-B95/Marketing_Saturation_Spend)))*Local_AudioTour_Rate_Init+(H95-Locals_Base*(1-(1-EXP(-B95/Marketing_Saturation_Spend))))*F95</f>
        <v/>
      </c>
      <c r="K95" s="13">
        <f>AudioTourist_Base+J95</f>
        <v/>
      </c>
      <c r="L95" s="6">
        <f>MAX(0,ROUNDUP((K95-Device_Capacity)/Device_Block_Size,0))</f>
        <v/>
      </c>
      <c r="M95" s="6">
        <f>L95*Device_Block_Cost/Device_Amort_Days</f>
        <v/>
      </c>
      <c r="N95" s="17">
        <f>Fee_Keep*(Locals_Base*(1-(1-EXP(-B95/Marketing_Saturation_Spend)))*Local_AudioTour_Rate_Init*AudioTour_Price+(H95-Locals_Base*(1-(1-EXP(-B95/Marketing_Saturation_Spend))))*F95*E95-AudioLocal_Base*AudioTour_Price)</f>
        <v/>
      </c>
      <c r="O95" s="17">
        <f>(K95-Total_Daily_AudioTour)*Headset_Cost</f>
        <v/>
      </c>
      <c r="P95" s="17">
        <f>I95*D95+Locals_Base*(1-EXP(-B95/Marketing_Saturation_Spend))*F95*GiftShop_Spillover</f>
        <v/>
      </c>
      <c r="Q95" s="17">
        <f>N95-O95-M95+P95</f>
        <v/>
      </c>
      <c r="R95" s="17">
        <f>Q95*Campaign_Days-B95</f>
        <v/>
      </c>
    </row>
    <row r="96">
      <c r="A96" s="6" t="inlineStr">
        <is>
          <t>3. r2 c4</t>
        </is>
      </c>
      <c r="B96" s="17">
        <f>Sensitivity!$B$30</f>
        <v/>
      </c>
      <c r="C96" s="14">
        <f>Sensitivity!F$28</f>
        <v/>
      </c>
      <c r="D96" s="15">
        <f>GiftShop_Net_Spend_Local</f>
        <v/>
      </c>
      <c r="E96" s="15">
        <f>Average_PWYW</f>
        <v/>
      </c>
      <c r="F96" s="14">
        <f>Local_AudioTour_Rate_PWYW</f>
        <v/>
      </c>
      <c r="G96" s="14">
        <f>Percentage_Locals_Init+(C96-Percentage_Locals_Init)*(1-EXP(-B96/Marketing_Saturation_Spend))</f>
        <v/>
      </c>
      <c r="H96" s="13">
        <f>Tourists_Base*G96/(1-G96)</f>
        <v/>
      </c>
      <c r="I96" s="13">
        <f>H96-Locals_Base</f>
        <v/>
      </c>
      <c r="J96" s="13">
        <f>Locals_Base*(1-(1-EXP(-B96/Marketing_Saturation_Spend)))*Local_AudioTour_Rate_Init+(H96-Locals_Base*(1-(1-EXP(-B96/Marketing_Saturation_Spend))))*F96</f>
        <v/>
      </c>
      <c r="K96" s="13">
        <f>AudioTourist_Base+J96</f>
        <v/>
      </c>
      <c r="L96" s="6">
        <f>MAX(0,ROUNDUP((K96-Device_Capacity)/Device_Block_Size,0))</f>
        <v/>
      </c>
      <c r="M96" s="6">
        <f>L96*Device_Block_Cost/Device_Amort_Days</f>
        <v/>
      </c>
      <c r="N96" s="17">
        <f>Fee_Keep*(Locals_Base*(1-(1-EXP(-B96/Marketing_Saturation_Spend)))*Local_AudioTour_Rate_Init*AudioTour_Price+(H96-Locals_Base*(1-(1-EXP(-B96/Marketing_Saturation_Spend))))*F96*E96-AudioLocal_Base*AudioTour_Price)</f>
        <v/>
      </c>
      <c r="O96" s="17">
        <f>(K96-Total_Daily_AudioTour)*Headset_Cost</f>
        <v/>
      </c>
      <c r="P96" s="17">
        <f>I96*D96+Locals_Base*(1-EXP(-B96/Marketing_Saturation_Spend))*F96*GiftShop_Spillover</f>
        <v/>
      </c>
      <c r="Q96" s="17">
        <f>N96-O96-M96+P96</f>
        <v/>
      </c>
      <c r="R96" s="17">
        <f>Q96*Campaign_Days-B96</f>
        <v/>
      </c>
    </row>
    <row r="97">
      <c r="A97" s="6" t="inlineStr">
        <is>
          <t>3. r2 c5</t>
        </is>
      </c>
      <c r="B97" s="17">
        <f>Sensitivity!$B$30</f>
        <v/>
      </c>
      <c r="C97" s="14">
        <f>Sensitivity!G$28</f>
        <v/>
      </c>
      <c r="D97" s="15">
        <f>GiftShop_Net_Spend_Local</f>
        <v/>
      </c>
      <c r="E97" s="15">
        <f>Average_PWYW</f>
        <v/>
      </c>
      <c r="F97" s="14">
        <f>Local_AudioTour_Rate_PWYW</f>
        <v/>
      </c>
      <c r="G97" s="14">
        <f>Percentage_Locals_Init+(C97-Percentage_Locals_Init)*(1-EXP(-B97/Marketing_Saturation_Spend))</f>
        <v/>
      </c>
      <c r="H97" s="13">
        <f>Tourists_Base*G97/(1-G97)</f>
        <v/>
      </c>
      <c r="I97" s="13">
        <f>H97-Locals_Base</f>
        <v/>
      </c>
      <c r="J97" s="13">
        <f>Locals_Base*(1-(1-EXP(-B97/Marketing_Saturation_Spend)))*Local_AudioTour_Rate_Init+(H97-Locals_Base*(1-(1-EXP(-B97/Marketing_Saturation_Spend))))*F97</f>
        <v/>
      </c>
      <c r="K97" s="13">
        <f>AudioTourist_Base+J97</f>
        <v/>
      </c>
      <c r="L97" s="6">
        <f>MAX(0,ROUNDUP((K97-Device_Capacity)/Device_Block_Size,0))</f>
        <v/>
      </c>
      <c r="M97" s="6">
        <f>L97*Device_Block_Cost/Device_Amort_Days</f>
        <v/>
      </c>
      <c r="N97" s="17">
        <f>Fee_Keep*(Locals_Base*(1-(1-EXP(-B97/Marketing_Saturation_Spend)))*Local_AudioTour_Rate_Init*AudioTour_Price+(H97-Locals_Base*(1-(1-EXP(-B97/Marketing_Saturation_Spend))))*F97*E97-AudioLocal_Base*AudioTour_Price)</f>
        <v/>
      </c>
      <c r="O97" s="17">
        <f>(K97-Total_Daily_AudioTour)*Headset_Cost</f>
        <v/>
      </c>
      <c r="P97" s="17">
        <f>I97*D97+Locals_Base*(1-EXP(-B97/Marketing_Saturation_Spend))*F97*GiftShop_Spillover</f>
        <v/>
      </c>
      <c r="Q97" s="17">
        <f>N97-O97-M97+P97</f>
        <v/>
      </c>
      <c r="R97" s="17">
        <f>Q97*Campaign_Days-B97</f>
        <v/>
      </c>
    </row>
    <row r="98">
      <c r="A98" s="6" t="inlineStr">
        <is>
          <t>3. r2 c6</t>
        </is>
      </c>
      <c r="B98" s="17">
        <f>Sensitivity!$B$30</f>
        <v/>
      </c>
      <c r="C98" s="14">
        <f>Sensitivity!H$28</f>
        <v/>
      </c>
      <c r="D98" s="15">
        <f>GiftShop_Net_Spend_Local</f>
        <v/>
      </c>
      <c r="E98" s="15">
        <f>Average_PWYW</f>
        <v/>
      </c>
      <c r="F98" s="14">
        <f>Local_AudioTour_Rate_PWYW</f>
        <v/>
      </c>
      <c r="G98" s="14">
        <f>Percentage_Locals_Init+(C98-Percentage_Locals_Init)*(1-EXP(-B98/Marketing_Saturation_Spend))</f>
        <v/>
      </c>
      <c r="H98" s="13">
        <f>Tourists_Base*G98/(1-G98)</f>
        <v/>
      </c>
      <c r="I98" s="13">
        <f>H98-Locals_Base</f>
        <v/>
      </c>
      <c r="J98" s="13">
        <f>Locals_Base*(1-(1-EXP(-B98/Marketing_Saturation_Spend)))*Local_AudioTour_Rate_Init+(H98-Locals_Base*(1-(1-EXP(-B98/Marketing_Saturation_Spend))))*F98</f>
        <v/>
      </c>
      <c r="K98" s="13">
        <f>AudioTourist_Base+J98</f>
        <v/>
      </c>
      <c r="L98" s="6">
        <f>MAX(0,ROUNDUP((K98-Device_Capacity)/Device_Block_Size,0))</f>
        <v/>
      </c>
      <c r="M98" s="6">
        <f>L98*Device_Block_Cost/Device_Amort_Days</f>
        <v/>
      </c>
      <c r="N98" s="17">
        <f>Fee_Keep*(Locals_Base*(1-(1-EXP(-B98/Marketing_Saturation_Spend)))*Local_AudioTour_Rate_Init*AudioTour_Price+(H98-Locals_Base*(1-(1-EXP(-B98/Marketing_Saturation_Spend))))*F98*E98-AudioLocal_Base*AudioTour_Price)</f>
        <v/>
      </c>
      <c r="O98" s="17">
        <f>(K98-Total_Daily_AudioTour)*Headset_Cost</f>
        <v/>
      </c>
      <c r="P98" s="17">
        <f>I98*D98+Locals_Base*(1-EXP(-B98/Marketing_Saturation_Spend))*F98*GiftShop_Spillover</f>
        <v/>
      </c>
      <c r="Q98" s="17">
        <f>N98-O98-M98+P98</f>
        <v/>
      </c>
      <c r="R98" s="17">
        <f>Q98*Campaign_Days-B98</f>
        <v/>
      </c>
    </row>
    <row r="99">
      <c r="A99" s="6" t="inlineStr">
        <is>
          <t>3. r3 c1</t>
        </is>
      </c>
      <c r="B99" s="17">
        <f>Sensitivity!$B$31</f>
        <v/>
      </c>
      <c r="C99" s="14">
        <f>Sensitivity!C$28</f>
        <v/>
      </c>
      <c r="D99" s="15">
        <f>GiftShop_Net_Spend_Local</f>
        <v/>
      </c>
      <c r="E99" s="15">
        <f>Average_PWYW</f>
        <v/>
      </c>
      <c r="F99" s="14">
        <f>Local_AudioTour_Rate_PWYW</f>
        <v/>
      </c>
      <c r="G99" s="14">
        <f>Percentage_Locals_Init+(C99-Percentage_Locals_Init)*(1-EXP(-B99/Marketing_Saturation_Spend))</f>
        <v/>
      </c>
      <c r="H99" s="13">
        <f>Tourists_Base*G99/(1-G99)</f>
        <v/>
      </c>
      <c r="I99" s="13">
        <f>H99-Locals_Base</f>
        <v/>
      </c>
      <c r="J99" s="13">
        <f>Locals_Base*(1-(1-EXP(-B99/Marketing_Saturation_Spend)))*Local_AudioTour_Rate_Init+(H99-Locals_Base*(1-(1-EXP(-B99/Marketing_Saturation_Spend))))*F99</f>
        <v/>
      </c>
      <c r="K99" s="13">
        <f>AudioTourist_Base+J99</f>
        <v/>
      </c>
      <c r="L99" s="6">
        <f>MAX(0,ROUNDUP((K99-Device_Capacity)/Device_Block_Size,0))</f>
        <v/>
      </c>
      <c r="M99" s="6">
        <f>L99*Device_Block_Cost/Device_Amort_Days</f>
        <v/>
      </c>
      <c r="N99" s="17">
        <f>Fee_Keep*(Locals_Base*(1-(1-EXP(-B99/Marketing_Saturation_Spend)))*Local_AudioTour_Rate_Init*AudioTour_Price+(H99-Locals_Base*(1-(1-EXP(-B99/Marketing_Saturation_Spend))))*F99*E99-AudioLocal_Base*AudioTour_Price)</f>
        <v/>
      </c>
      <c r="O99" s="17">
        <f>(K99-Total_Daily_AudioTour)*Headset_Cost</f>
        <v/>
      </c>
      <c r="P99" s="17">
        <f>I99*D99+Locals_Base*(1-EXP(-B99/Marketing_Saturation_Spend))*F99*GiftShop_Spillover</f>
        <v/>
      </c>
      <c r="Q99" s="17">
        <f>N99-O99-M99+P99</f>
        <v/>
      </c>
      <c r="R99" s="17">
        <f>Q99*Campaign_Days-B99</f>
        <v/>
      </c>
    </row>
    <row r="100">
      <c r="A100" s="6" t="inlineStr">
        <is>
          <t>3. r3 c2</t>
        </is>
      </c>
      <c r="B100" s="17">
        <f>Sensitivity!$B$31</f>
        <v/>
      </c>
      <c r="C100" s="14">
        <f>Sensitivity!D$28</f>
        <v/>
      </c>
      <c r="D100" s="15">
        <f>GiftShop_Net_Spend_Local</f>
        <v/>
      </c>
      <c r="E100" s="15">
        <f>Average_PWYW</f>
        <v/>
      </c>
      <c r="F100" s="14">
        <f>Local_AudioTour_Rate_PWYW</f>
        <v/>
      </c>
      <c r="G100" s="14">
        <f>Percentage_Locals_Init+(C100-Percentage_Locals_Init)*(1-EXP(-B100/Marketing_Saturation_Spend))</f>
        <v/>
      </c>
      <c r="H100" s="13">
        <f>Tourists_Base*G100/(1-G100)</f>
        <v/>
      </c>
      <c r="I100" s="13">
        <f>H100-Locals_Base</f>
        <v/>
      </c>
      <c r="J100" s="13">
        <f>Locals_Base*(1-(1-EXP(-B100/Marketing_Saturation_Spend)))*Local_AudioTour_Rate_Init+(H100-Locals_Base*(1-(1-EXP(-B100/Marketing_Saturation_Spend))))*F100</f>
        <v/>
      </c>
      <c r="K100" s="13">
        <f>AudioTourist_Base+J100</f>
        <v/>
      </c>
      <c r="L100" s="6">
        <f>MAX(0,ROUNDUP((K100-Device_Capacity)/Device_Block_Size,0))</f>
        <v/>
      </c>
      <c r="M100" s="6">
        <f>L100*Device_Block_Cost/Device_Amort_Days</f>
        <v/>
      </c>
      <c r="N100" s="17">
        <f>Fee_Keep*(Locals_Base*(1-(1-EXP(-B100/Marketing_Saturation_Spend)))*Local_AudioTour_Rate_Init*AudioTour_Price+(H100-Locals_Base*(1-(1-EXP(-B100/Marketing_Saturation_Spend))))*F100*E100-AudioLocal_Base*AudioTour_Price)</f>
        <v/>
      </c>
      <c r="O100" s="17">
        <f>(K100-Total_Daily_AudioTour)*Headset_Cost</f>
        <v/>
      </c>
      <c r="P100" s="17">
        <f>I100*D100+Locals_Base*(1-EXP(-B100/Marketing_Saturation_Spend))*F100*GiftShop_Spillover</f>
        <v/>
      </c>
      <c r="Q100" s="17">
        <f>N100-O100-M100+P100</f>
        <v/>
      </c>
      <c r="R100" s="17">
        <f>Q100*Campaign_Days-B100</f>
        <v/>
      </c>
    </row>
    <row r="101">
      <c r="A101" s="6" t="inlineStr">
        <is>
          <t>3. r3 c3</t>
        </is>
      </c>
      <c r="B101" s="17">
        <f>Sensitivity!$B$31</f>
        <v/>
      </c>
      <c r="C101" s="14">
        <f>Sensitivity!E$28</f>
        <v/>
      </c>
      <c r="D101" s="15">
        <f>GiftShop_Net_Spend_Local</f>
        <v/>
      </c>
      <c r="E101" s="15">
        <f>Average_PWYW</f>
        <v/>
      </c>
      <c r="F101" s="14">
        <f>Local_AudioTour_Rate_PWYW</f>
        <v/>
      </c>
      <c r="G101" s="14">
        <f>Percentage_Locals_Init+(C101-Percentage_Locals_Init)*(1-EXP(-B101/Marketing_Saturation_Spend))</f>
        <v/>
      </c>
      <c r="H101" s="13">
        <f>Tourists_Base*G101/(1-G101)</f>
        <v/>
      </c>
      <c r="I101" s="13">
        <f>H101-Locals_Base</f>
        <v/>
      </c>
      <c r="J101" s="13">
        <f>Locals_Base*(1-(1-EXP(-B101/Marketing_Saturation_Spend)))*Local_AudioTour_Rate_Init+(H101-Locals_Base*(1-(1-EXP(-B101/Marketing_Saturation_Spend))))*F101</f>
        <v/>
      </c>
      <c r="K101" s="13">
        <f>AudioTourist_Base+J101</f>
        <v/>
      </c>
      <c r="L101" s="6">
        <f>MAX(0,ROUNDUP((K101-Device_Capacity)/Device_Block_Size,0))</f>
        <v/>
      </c>
      <c r="M101" s="6">
        <f>L101*Device_Block_Cost/Device_Amort_Days</f>
        <v/>
      </c>
      <c r="N101" s="17">
        <f>Fee_Keep*(Locals_Base*(1-(1-EXP(-B101/Marketing_Saturation_Spend)))*Local_AudioTour_Rate_Init*AudioTour_Price+(H101-Locals_Base*(1-(1-EXP(-B101/Marketing_Saturation_Spend))))*F101*E101-AudioLocal_Base*AudioTour_Price)</f>
        <v/>
      </c>
      <c r="O101" s="17">
        <f>(K101-Total_Daily_AudioTour)*Headset_Cost</f>
        <v/>
      </c>
      <c r="P101" s="17">
        <f>I101*D101+Locals_Base*(1-EXP(-B101/Marketing_Saturation_Spend))*F101*GiftShop_Spillover</f>
        <v/>
      </c>
      <c r="Q101" s="17">
        <f>N101-O101-M101+P101</f>
        <v/>
      </c>
      <c r="R101" s="17">
        <f>Q101*Campaign_Days-B101</f>
        <v/>
      </c>
    </row>
    <row r="102">
      <c r="A102" s="6" t="inlineStr">
        <is>
          <t>3. r3 c4</t>
        </is>
      </c>
      <c r="B102" s="17">
        <f>Sensitivity!$B$31</f>
        <v/>
      </c>
      <c r="C102" s="14">
        <f>Sensitivity!F$28</f>
        <v/>
      </c>
      <c r="D102" s="15">
        <f>GiftShop_Net_Spend_Local</f>
        <v/>
      </c>
      <c r="E102" s="15">
        <f>Average_PWYW</f>
        <v/>
      </c>
      <c r="F102" s="14">
        <f>Local_AudioTour_Rate_PWYW</f>
        <v/>
      </c>
      <c r="G102" s="14">
        <f>Percentage_Locals_Init+(C102-Percentage_Locals_Init)*(1-EXP(-B102/Marketing_Saturation_Spend))</f>
        <v/>
      </c>
      <c r="H102" s="13">
        <f>Tourists_Base*G102/(1-G102)</f>
        <v/>
      </c>
      <c r="I102" s="13">
        <f>H102-Locals_Base</f>
        <v/>
      </c>
      <c r="J102" s="13">
        <f>Locals_Base*(1-(1-EXP(-B102/Marketing_Saturation_Spend)))*Local_AudioTour_Rate_Init+(H102-Locals_Base*(1-(1-EXP(-B102/Marketing_Saturation_Spend))))*F102</f>
        <v/>
      </c>
      <c r="K102" s="13">
        <f>AudioTourist_Base+J102</f>
        <v/>
      </c>
      <c r="L102" s="6">
        <f>MAX(0,ROUNDUP((K102-Device_Capacity)/Device_Block_Size,0))</f>
        <v/>
      </c>
      <c r="M102" s="6">
        <f>L102*Device_Block_Cost/Device_Amort_Days</f>
        <v/>
      </c>
      <c r="N102" s="17">
        <f>Fee_Keep*(Locals_Base*(1-(1-EXP(-B102/Marketing_Saturation_Spend)))*Local_AudioTour_Rate_Init*AudioTour_Price+(H102-Locals_Base*(1-(1-EXP(-B102/Marketing_Saturation_Spend))))*F102*E102-AudioLocal_Base*AudioTour_Price)</f>
        <v/>
      </c>
      <c r="O102" s="17">
        <f>(K102-Total_Daily_AudioTour)*Headset_Cost</f>
        <v/>
      </c>
      <c r="P102" s="17">
        <f>I102*D102+Locals_Base*(1-EXP(-B102/Marketing_Saturation_Spend))*F102*GiftShop_Spillover</f>
        <v/>
      </c>
      <c r="Q102" s="17">
        <f>N102-O102-M102+P102</f>
        <v/>
      </c>
      <c r="R102" s="17">
        <f>Q102*Campaign_Days-B102</f>
        <v/>
      </c>
    </row>
    <row r="103">
      <c r="A103" s="6" t="inlineStr">
        <is>
          <t>3. r3 c5</t>
        </is>
      </c>
      <c r="B103" s="17">
        <f>Sensitivity!$B$31</f>
        <v/>
      </c>
      <c r="C103" s="14">
        <f>Sensitivity!G$28</f>
        <v/>
      </c>
      <c r="D103" s="15">
        <f>GiftShop_Net_Spend_Local</f>
        <v/>
      </c>
      <c r="E103" s="15">
        <f>Average_PWYW</f>
        <v/>
      </c>
      <c r="F103" s="14">
        <f>Local_AudioTour_Rate_PWYW</f>
        <v/>
      </c>
      <c r="G103" s="14">
        <f>Percentage_Locals_Init+(C103-Percentage_Locals_Init)*(1-EXP(-B103/Marketing_Saturation_Spend))</f>
        <v/>
      </c>
      <c r="H103" s="13">
        <f>Tourists_Base*G103/(1-G103)</f>
        <v/>
      </c>
      <c r="I103" s="13">
        <f>H103-Locals_Base</f>
        <v/>
      </c>
      <c r="J103" s="13">
        <f>Locals_Base*(1-(1-EXP(-B103/Marketing_Saturation_Spend)))*Local_AudioTour_Rate_Init+(H103-Locals_Base*(1-(1-EXP(-B103/Marketing_Saturation_Spend))))*F103</f>
        <v/>
      </c>
      <c r="K103" s="13">
        <f>AudioTourist_Base+J103</f>
        <v/>
      </c>
      <c r="L103" s="6">
        <f>MAX(0,ROUNDUP((K103-Device_Capacity)/Device_Block_Size,0))</f>
        <v/>
      </c>
      <c r="M103" s="6">
        <f>L103*Device_Block_Cost/Device_Amort_Days</f>
        <v/>
      </c>
      <c r="N103" s="17">
        <f>Fee_Keep*(Locals_Base*(1-(1-EXP(-B103/Marketing_Saturation_Spend)))*Local_AudioTour_Rate_Init*AudioTour_Price+(H103-Locals_Base*(1-(1-EXP(-B103/Marketing_Saturation_Spend))))*F103*E103-AudioLocal_Base*AudioTour_Price)</f>
        <v/>
      </c>
      <c r="O103" s="17">
        <f>(K103-Total_Daily_AudioTour)*Headset_Cost</f>
        <v/>
      </c>
      <c r="P103" s="17">
        <f>I103*D103+Locals_Base*(1-EXP(-B103/Marketing_Saturation_Spend))*F103*GiftShop_Spillover</f>
        <v/>
      </c>
      <c r="Q103" s="17">
        <f>N103-O103-M103+P103</f>
        <v/>
      </c>
      <c r="R103" s="17">
        <f>Q103*Campaign_Days-B103</f>
        <v/>
      </c>
    </row>
    <row r="104">
      <c r="A104" s="6" t="inlineStr">
        <is>
          <t>3. r3 c6</t>
        </is>
      </c>
      <c r="B104" s="17">
        <f>Sensitivity!$B$31</f>
        <v/>
      </c>
      <c r="C104" s="14">
        <f>Sensitivity!H$28</f>
        <v/>
      </c>
      <c r="D104" s="15">
        <f>GiftShop_Net_Spend_Local</f>
        <v/>
      </c>
      <c r="E104" s="15">
        <f>Average_PWYW</f>
        <v/>
      </c>
      <c r="F104" s="14">
        <f>Local_AudioTour_Rate_PWYW</f>
        <v/>
      </c>
      <c r="G104" s="14">
        <f>Percentage_Locals_Init+(C104-Percentage_Locals_Init)*(1-EXP(-B104/Marketing_Saturation_Spend))</f>
        <v/>
      </c>
      <c r="H104" s="13">
        <f>Tourists_Base*G104/(1-G104)</f>
        <v/>
      </c>
      <c r="I104" s="13">
        <f>H104-Locals_Base</f>
        <v/>
      </c>
      <c r="J104" s="13">
        <f>Locals_Base*(1-(1-EXP(-B104/Marketing_Saturation_Spend)))*Local_AudioTour_Rate_Init+(H104-Locals_Base*(1-(1-EXP(-B104/Marketing_Saturation_Spend))))*F104</f>
        <v/>
      </c>
      <c r="K104" s="13">
        <f>AudioTourist_Base+J104</f>
        <v/>
      </c>
      <c r="L104" s="6">
        <f>MAX(0,ROUNDUP((K104-Device_Capacity)/Device_Block_Size,0))</f>
        <v/>
      </c>
      <c r="M104" s="6">
        <f>L104*Device_Block_Cost/Device_Amort_Days</f>
        <v/>
      </c>
      <c r="N104" s="17">
        <f>Fee_Keep*(Locals_Base*(1-(1-EXP(-B104/Marketing_Saturation_Spend)))*Local_AudioTour_Rate_Init*AudioTour_Price+(H104-Locals_Base*(1-(1-EXP(-B104/Marketing_Saturation_Spend))))*F104*E104-AudioLocal_Base*AudioTour_Price)</f>
        <v/>
      </c>
      <c r="O104" s="17">
        <f>(K104-Total_Daily_AudioTour)*Headset_Cost</f>
        <v/>
      </c>
      <c r="P104" s="17">
        <f>I104*D104+Locals_Base*(1-EXP(-B104/Marketing_Saturation_Spend))*F104*GiftShop_Spillover</f>
        <v/>
      </c>
      <c r="Q104" s="17">
        <f>N104-O104-M104+P104</f>
        <v/>
      </c>
      <c r="R104" s="17">
        <f>Q104*Campaign_Days-B104</f>
        <v/>
      </c>
    </row>
    <row r="105">
      <c r="A105" s="6" t="inlineStr">
        <is>
          <t>3. r4 c1</t>
        </is>
      </c>
      <c r="B105" s="17">
        <f>Sensitivity!$B$32</f>
        <v/>
      </c>
      <c r="C105" s="14">
        <f>Sensitivity!C$28</f>
        <v/>
      </c>
      <c r="D105" s="15">
        <f>GiftShop_Net_Spend_Local</f>
        <v/>
      </c>
      <c r="E105" s="15">
        <f>Average_PWYW</f>
        <v/>
      </c>
      <c r="F105" s="14">
        <f>Local_AudioTour_Rate_PWYW</f>
        <v/>
      </c>
      <c r="G105" s="14">
        <f>Percentage_Locals_Init+(C105-Percentage_Locals_Init)*(1-EXP(-B105/Marketing_Saturation_Spend))</f>
        <v/>
      </c>
      <c r="H105" s="13">
        <f>Tourists_Base*G105/(1-G105)</f>
        <v/>
      </c>
      <c r="I105" s="13">
        <f>H105-Locals_Base</f>
        <v/>
      </c>
      <c r="J105" s="13">
        <f>Locals_Base*(1-(1-EXP(-B105/Marketing_Saturation_Spend)))*Local_AudioTour_Rate_Init+(H105-Locals_Base*(1-(1-EXP(-B105/Marketing_Saturation_Spend))))*F105</f>
        <v/>
      </c>
      <c r="K105" s="13">
        <f>AudioTourist_Base+J105</f>
        <v/>
      </c>
      <c r="L105" s="6">
        <f>MAX(0,ROUNDUP((K105-Device_Capacity)/Device_Block_Size,0))</f>
        <v/>
      </c>
      <c r="M105" s="6">
        <f>L105*Device_Block_Cost/Device_Amort_Days</f>
        <v/>
      </c>
      <c r="N105" s="17">
        <f>Fee_Keep*(Locals_Base*(1-(1-EXP(-B105/Marketing_Saturation_Spend)))*Local_AudioTour_Rate_Init*AudioTour_Price+(H105-Locals_Base*(1-(1-EXP(-B105/Marketing_Saturation_Spend))))*F105*E105-AudioLocal_Base*AudioTour_Price)</f>
        <v/>
      </c>
      <c r="O105" s="17">
        <f>(K105-Total_Daily_AudioTour)*Headset_Cost</f>
        <v/>
      </c>
      <c r="P105" s="17">
        <f>I105*D105+Locals_Base*(1-EXP(-B105/Marketing_Saturation_Spend))*F105*GiftShop_Spillover</f>
        <v/>
      </c>
      <c r="Q105" s="17">
        <f>N105-O105-M105+P105</f>
        <v/>
      </c>
      <c r="R105" s="17">
        <f>Q105*Campaign_Days-B105</f>
        <v/>
      </c>
    </row>
    <row r="106">
      <c r="A106" s="6" t="inlineStr">
        <is>
          <t>3. r4 c2</t>
        </is>
      </c>
      <c r="B106" s="17">
        <f>Sensitivity!$B$32</f>
        <v/>
      </c>
      <c r="C106" s="14">
        <f>Sensitivity!D$28</f>
        <v/>
      </c>
      <c r="D106" s="15">
        <f>GiftShop_Net_Spend_Local</f>
        <v/>
      </c>
      <c r="E106" s="15">
        <f>Average_PWYW</f>
        <v/>
      </c>
      <c r="F106" s="14">
        <f>Local_AudioTour_Rate_PWYW</f>
        <v/>
      </c>
      <c r="G106" s="14">
        <f>Percentage_Locals_Init+(C106-Percentage_Locals_Init)*(1-EXP(-B106/Marketing_Saturation_Spend))</f>
        <v/>
      </c>
      <c r="H106" s="13">
        <f>Tourists_Base*G106/(1-G106)</f>
        <v/>
      </c>
      <c r="I106" s="13">
        <f>H106-Locals_Base</f>
        <v/>
      </c>
      <c r="J106" s="13">
        <f>Locals_Base*(1-(1-EXP(-B106/Marketing_Saturation_Spend)))*Local_AudioTour_Rate_Init+(H106-Locals_Base*(1-(1-EXP(-B106/Marketing_Saturation_Spend))))*F106</f>
        <v/>
      </c>
      <c r="K106" s="13">
        <f>AudioTourist_Base+J106</f>
        <v/>
      </c>
      <c r="L106" s="6">
        <f>MAX(0,ROUNDUP((K106-Device_Capacity)/Device_Block_Size,0))</f>
        <v/>
      </c>
      <c r="M106" s="6">
        <f>L106*Device_Block_Cost/Device_Amort_Days</f>
        <v/>
      </c>
      <c r="N106" s="17">
        <f>Fee_Keep*(Locals_Base*(1-(1-EXP(-B106/Marketing_Saturation_Spend)))*Local_AudioTour_Rate_Init*AudioTour_Price+(H106-Locals_Base*(1-(1-EXP(-B106/Marketing_Saturation_Spend))))*F106*E106-AudioLocal_Base*AudioTour_Price)</f>
        <v/>
      </c>
      <c r="O106" s="17">
        <f>(K106-Total_Daily_AudioTour)*Headset_Cost</f>
        <v/>
      </c>
      <c r="P106" s="17">
        <f>I106*D106+Locals_Base*(1-EXP(-B106/Marketing_Saturation_Spend))*F106*GiftShop_Spillover</f>
        <v/>
      </c>
      <c r="Q106" s="17">
        <f>N106-O106-M106+P106</f>
        <v/>
      </c>
      <c r="R106" s="17">
        <f>Q106*Campaign_Days-B106</f>
        <v/>
      </c>
    </row>
    <row r="107">
      <c r="A107" s="6" t="inlineStr">
        <is>
          <t>3. r4 c3</t>
        </is>
      </c>
      <c r="B107" s="17">
        <f>Sensitivity!$B$32</f>
        <v/>
      </c>
      <c r="C107" s="14">
        <f>Sensitivity!E$28</f>
        <v/>
      </c>
      <c r="D107" s="15">
        <f>GiftShop_Net_Spend_Local</f>
        <v/>
      </c>
      <c r="E107" s="15">
        <f>Average_PWYW</f>
        <v/>
      </c>
      <c r="F107" s="14">
        <f>Local_AudioTour_Rate_PWYW</f>
        <v/>
      </c>
      <c r="G107" s="14">
        <f>Percentage_Locals_Init+(C107-Percentage_Locals_Init)*(1-EXP(-B107/Marketing_Saturation_Spend))</f>
        <v/>
      </c>
      <c r="H107" s="13">
        <f>Tourists_Base*G107/(1-G107)</f>
        <v/>
      </c>
      <c r="I107" s="13">
        <f>H107-Locals_Base</f>
        <v/>
      </c>
      <c r="J107" s="13">
        <f>Locals_Base*(1-(1-EXP(-B107/Marketing_Saturation_Spend)))*Local_AudioTour_Rate_Init+(H107-Locals_Base*(1-(1-EXP(-B107/Marketing_Saturation_Spend))))*F107</f>
        <v/>
      </c>
      <c r="K107" s="13">
        <f>AudioTourist_Base+J107</f>
        <v/>
      </c>
      <c r="L107" s="6">
        <f>MAX(0,ROUNDUP((K107-Device_Capacity)/Device_Block_Size,0))</f>
        <v/>
      </c>
      <c r="M107" s="6">
        <f>L107*Device_Block_Cost/Device_Amort_Days</f>
        <v/>
      </c>
      <c r="N107" s="17">
        <f>Fee_Keep*(Locals_Base*(1-(1-EXP(-B107/Marketing_Saturation_Spend)))*Local_AudioTour_Rate_Init*AudioTour_Price+(H107-Locals_Base*(1-(1-EXP(-B107/Marketing_Saturation_Spend))))*F107*E107-AudioLocal_Base*AudioTour_Price)</f>
        <v/>
      </c>
      <c r="O107" s="17">
        <f>(K107-Total_Daily_AudioTour)*Headset_Cost</f>
        <v/>
      </c>
      <c r="P107" s="17">
        <f>I107*D107+Locals_Base*(1-EXP(-B107/Marketing_Saturation_Spend))*F107*GiftShop_Spillover</f>
        <v/>
      </c>
      <c r="Q107" s="17">
        <f>N107-O107-M107+P107</f>
        <v/>
      </c>
      <c r="R107" s="17">
        <f>Q107*Campaign_Days-B107</f>
        <v/>
      </c>
    </row>
    <row r="108">
      <c r="A108" s="6" t="inlineStr">
        <is>
          <t>3. r4 c4</t>
        </is>
      </c>
      <c r="B108" s="17">
        <f>Sensitivity!$B$32</f>
        <v/>
      </c>
      <c r="C108" s="14">
        <f>Sensitivity!F$28</f>
        <v/>
      </c>
      <c r="D108" s="15">
        <f>GiftShop_Net_Spend_Local</f>
        <v/>
      </c>
      <c r="E108" s="15">
        <f>Average_PWYW</f>
        <v/>
      </c>
      <c r="F108" s="14">
        <f>Local_AudioTour_Rate_PWYW</f>
        <v/>
      </c>
      <c r="G108" s="14">
        <f>Percentage_Locals_Init+(C108-Percentage_Locals_Init)*(1-EXP(-B108/Marketing_Saturation_Spend))</f>
        <v/>
      </c>
      <c r="H108" s="13">
        <f>Tourists_Base*G108/(1-G108)</f>
        <v/>
      </c>
      <c r="I108" s="13">
        <f>H108-Locals_Base</f>
        <v/>
      </c>
      <c r="J108" s="13">
        <f>Locals_Base*(1-(1-EXP(-B108/Marketing_Saturation_Spend)))*Local_AudioTour_Rate_Init+(H108-Locals_Base*(1-(1-EXP(-B108/Marketing_Saturation_Spend))))*F108</f>
        <v/>
      </c>
      <c r="K108" s="13">
        <f>AudioTourist_Base+J108</f>
        <v/>
      </c>
      <c r="L108" s="6">
        <f>MAX(0,ROUNDUP((K108-Device_Capacity)/Device_Block_Size,0))</f>
        <v/>
      </c>
      <c r="M108" s="6">
        <f>L108*Device_Block_Cost/Device_Amort_Days</f>
        <v/>
      </c>
      <c r="N108" s="17">
        <f>Fee_Keep*(Locals_Base*(1-(1-EXP(-B108/Marketing_Saturation_Spend)))*Local_AudioTour_Rate_Init*AudioTour_Price+(H108-Locals_Base*(1-(1-EXP(-B108/Marketing_Saturation_Spend))))*F108*E108-AudioLocal_Base*AudioTour_Price)</f>
        <v/>
      </c>
      <c r="O108" s="17">
        <f>(K108-Total_Daily_AudioTour)*Headset_Cost</f>
        <v/>
      </c>
      <c r="P108" s="17">
        <f>I108*D108+Locals_Base*(1-EXP(-B108/Marketing_Saturation_Spend))*F108*GiftShop_Spillover</f>
        <v/>
      </c>
      <c r="Q108" s="17">
        <f>N108-O108-M108+P108</f>
        <v/>
      </c>
      <c r="R108" s="17">
        <f>Q108*Campaign_Days-B108</f>
        <v/>
      </c>
    </row>
    <row r="109">
      <c r="A109" s="6" t="inlineStr">
        <is>
          <t>3. r4 c5</t>
        </is>
      </c>
      <c r="B109" s="17">
        <f>Sensitivity!$B$32</f>
        <v/>
      </c>
      <c r="C109" s="14">
        <f>Sensitivity!G$28</f>
        <v/>
      </c>
      <c r="D109" s="15">
        <f>GiftShop_Net_Spend_Local</f>
        <v/>
      </c>
      <c r="E109" s="15">
        <f>Average_PWYW</f>
        <v/>
      </c>
      <c r="F109" s="14">
        <f>Local_AudioTour_Rate_PWYW</f>
        <v/>
      </c>
      <c r="G109" s="14">
        <f>Percentage_Locals_Init+(C109-Percentage_Locals_Init)*(1-EXP(-B109/Marketing_Saturation_Spend))</f>
        <v/>
      </c>
      <c r="H109" s="13">
        <f>Tourists_Base*G109/(1-G109)</f>
        <v/>
      </c>
      <c r="I109" s="13">
        <f>H109-Locals_Base</f>
        <v/>
      </c>
      <c r="J109" s="13">
        <f>Locals_Base*(1-(1-EXP(-B109/Marketing_Saturation_Spend)))*Local_AudioTour_Rate_Init+(H109-Locals_Base*(1-(1-EXP(-B109/Marketing_Saturation_Spend))))*F109</f>
        <v/>
      </c>
      <c r="K109" s="13">
        <f>AudioTourist_Base+J109</f>
        <v/>
      </c>
      <c r="L109" s="6">
        <f>MAX(0,ROUNDUP((K109-Device_Capacity)/Device_Block_Size,0))</f>
        <v/>
      </c>
      <c r="M109" s="6">
        <f>L109*Device_Block_Cost/Device_Amort_Days</f>
        <v/>
      </c>
      <c r="N109" s="17">
        <f>Fee_Keep*(Locals_Base*(1-(1-EXP(-B109/Marketing_Saturation_Spend)))*Local_AudioTour_Rate_Init*AudioTour_Price+(H109-Locals_Base*(1-(1-EXP(-B109/Marketing_Saturation_Spend))))*F109*E109-AudioLocal_Base*AudioTour_Price)</f>
        <v/>
      </c>
      <c r="O109" s="17">
        <f>(K109-Total_Daily_AudioTour)*Headset_Cost</f>
        <v/>
      </c>
      <c r="P109" s="17">
        <f>I109*D109+Locals_Base*(1-EXP(-B109/Marketing_Saturation_Spend))*F109*GiftShop_Spillover</f>
        <v/>
      </c>
      <c r="Q109" s="17">
        <f>N109-O109-M109+P109</f>
        <v/>
      </c>
      <c r="R109" s="17">
        <f>Q109*Campaign_Days-B109</f>
        <v/>
      </c>
    </row>
    <row r="110">
      <c r="A110" s="6" t="inlineStr">
        <is>
          <t>3. r4 c6</t>
        </is>
      </c>
      <c r="B110" s="17">
        <f>Sensitivity!$B$32</f>
        <v/>
      </c>
      <c r="C110" s="14">
        <f>Sensitivity!H$28</f>
        <v/>
      </c>
      <c r="D110" s="15">
        <f>GiftShop_Net_Spend_Local</f>
        <v/>
      </c>
      <c r="E110" s="15">
        <f>Average_PWYW</f>
        <v/>
      </c>
      <c r="F110" s="14">
        <f>Local_AudioTour_Rate_PWYW</f>
        <v/>
      </c>
      <c r="G110" s="14">
        <f>Percentage_Locals_Init+(C110-Percentage_Locals_Init)*(1-EXP(-B110/Marketing_Saturation_Spend))</f>
        <v/>
      </c>
      <c r="H110" s="13">
        <f>Tourists_Base*G110/(1-G110)</f>
        <v/>
      </c>
      <c r="I110" s="13">
        <f>H110-Locals_Base</f>
        <v/>
      </c>
      <c r="J110" s="13">
        <f>Locals_Base*(1-(1-EXP(-B110/Marketing_Saturation_Spend)))*Local_AudioTour_Rate_Init+(H110-Locals_Base*(1-(1-EXP(-B110/Marketing_Saturation_Spend))))*F110</f>
        <v/>
      </c>
      <c r="K110" s="13">
        <f>AudioTourist_Base+J110</f>
        <v/>
      </c>
      <c r="L110" s="6">
        <f>MAX(0,ROUNDUP((K110-Device_Capacity)/Device_Block_Size,0))</f>
        <v/>
      </c>
      <c r="M110" s="6">
        <f>L110*Device_Block_Cost/Device_Amort_Days</f>
        <v/>
      </c>
      <c r="N110" s="17">
        <f>Fee_Keep*(Locals_Base*(1-(1-EXP(-B110/Marketing_Saturation_Spend)))*Local_AudioTour_Rate_Init*AudioTour_Price+(H110-Locals_Base*(1-(1-EXP(-B110/Marketing_Saturation_Spend))))*F110*E110-AudioLocal_Base*AudioTour_Price)</f>
        <v/>
      </c>
      <c r="O110" s="17">
        <f>(K110-Total_Daily_AudioTour)*Headset_Cost</f>
        <v/>
      </c>
      <c r="P110" s="17">
        <f>I110*D110+Locals_Base*(1-EXP(-B110/Marketing_Saturation_Spend))*F110*GiftShop_Spillover</f>
        <v/>
      </c>
      <c r="Q110" s="17">
        <f>N110-O110-M110+P110</f>
        <v/>
      </c>
      <c r="R110" s="17">
        <f>Q110*Campaign_Days-B110</f>
        <v/>
      </c>
    </row>
    <row r="111">
      <c r="A111" s="6" t="inlineStr">
        <is>
          <t>3. r5 c1</t>
        </is>
      </c>
      <c r="B111" s="17">
        <f>Sensitivity!$B$33</f>
        <v/>
      </c>
      <c r="C111" s="14">
        <f>Sensitivity!C$28</f>
        <v/>
      </c>
      <c r="D111" s="15">
        <f>GiftShop_Net_Spend_Local</f>
        <v/>
      </c>
      <c r="E111" s="15">
        <f>Average_PWYW</f>
        <v/>
      </c>
      <c r="F111" s="14">
        <f>Local_AudioTour_Rate_PWYW</f>
        <v/>
      </c>
      <c r="G111" s="14">
        <f>Percentage_Locals_Init+(C111-Percentage_Locals_Init)*(1-EXP(-B111/Marketing_Saturation_Spend))</f>
        <v/>
      </c>
      <c r="H111" s="13">
        <f>Tourists_Base*G111/(1-G111)</f>
        <v/>
      </c>
      <c r="I111" s="13">
        <f>H111-Locals_Base</f>
        <v/>
      </c>
      <c r="J111" s="13">
        <f>Locals_Base*(1-(1-EXP(-B111/Marketing_Saturation_Spend)))*Local_AudioTour_Rate_Init+(H111-Locals_Base*(1-(1-EXP(-B111/Marketing_Saturation_Spend))))*F111</f>
        <v/>
      </c>
      <c r="K111" s="13">
        <f>AudioTourist_Base+J111</f>
        <v/>
      </c>
      <c r="L111" s="6">
        <f>MAX(0,ROUNDUP((K111-Device_Capacity)/Device_Block_Size,0))</f>
        <v/>
      </c>
      <c r="M111" s="6">
        <f>L111*Device_Block_Cost/Device_Amort_Days</f>
        <v/>
      </c>
      <c r="N111" s="17">
        <f>Fee_Keep*(Locals_Base*(1-(1-EXP(-B111/Marketing_Saturation_Spend)))*Local_AudioTour_Rate_Init*AudioTour_Price+(H111-Locals_Base*(1-(1-EXP(-B111/Marketing_Saturation_Spend))))*F111*E111-AudioLocal_Base*AudioTour_Price)</f>
        <v/>
      </c>
      <c r="O111" s="17">
        <f>(K111-Total_Daily_AudioTour)*Headset_Cost</f>
        <v/>
      </c>
      <c r="P111" s="17">
        <f>I111*D111+Locals_Base*(1-EXP(-B111/Marketing_Saturation_Spend))*F111*GiftShop_Spillover</f>
        <v/>
      </c>
      <c r="Q111" s="17">
        <f>N111-O111-M111+P111</f>
        <v/>
      </c>
      <c r="R111" s="17">
        <f>Q111*Campaign_Days-B111</f>
        <v/>
      </c>
    </row>
    <row r="112">
      <c r="A112" s="6" t="inlineStr">
        <is>
          <t>3. r5 c2</t>
        </is>
      </c>
      <c r="B112" s="17">
        <f>Sensitivity!$B$33</f>
        <v/>
      </c>
      <c r="C112" s="14">
        <f>Sensitivity!D$28</f>
        <v/>
      </c>
      <c r="D112" s="15">
        <f>GiftShop_Net_Spend_Local</f>
        <v/>
      </c>
      <c r="E112" s="15">
        <f>Average_PWYW</f>
        <v/>
      </c>
      <c r="F112" s="14">
        <f>Local_AudioTour_Rate_PWYW</f>
        <v/>
      </c>
      <c r="G112" s="14">
        <f>Percentage_Locals_Init+(C112-Percentage_Locals_Init)*(1-EXP(-B112/Marketing_Saturation_Spend))</f>
        <v/>
      </c>
      <c r="H112" s="13">
        <f>Tourists_Base*G112/(1-G112)</f>
        <v/>
      </c>
      <c r="I112" s="13">
        <f>H112-Locals_Base</f>
        <v/>
      </c>
      <c r="J112" s="13">
        <f>Locals_Base*(1-(1-EXP(-B112/Marketing_Saturation_Spend)))*Local_AudioTour_Rate_Init+(H112-Locals_Base*(1-(1-EXP(-B112/Marketing_Saturation_Spend))))*F112</f>
        <v/>
      </c>
      <c r="K112" s="13">
        <f>AudioTourist_Base+J112</f>
        <v/>
      </c>
      <c r="L112" s="6">
        <f>MAX(0,ROUNDUP((K112-Device_Capacity)/Device_Block_Size,0))</f>
        <v/>
      </c>
      <c r="M112" s="6">
        <f>L112*Device_Block_Cost/Device_Amort_Days</f>
        <v/>
      </c>
      <c r="N112" s="17">
        <f>Fee_Keep*(Locals_Base*(1-(1-EXP(-B112/Marketing_Saturation_Spend)))*Local_AudioTour_Rate_Init*AudioTour_Price+(H112-Locals_Base*(1-(1-EXP(-B112/Marketing_Saturation_Spend))))*F112*E112-AudioLocal_Base*AudioTour_Price)</f>
        <v/>
      </c>
      <c r="O112" s="17">
        <f>(K112-Total_Daily_AudioTour)*Headset_Cost</f>
        <v/>
      </c>
      <c r="P112" s="17">
        <f>I112*D112+Locals_Base*(1-EXP(-B112/Marketing_Saturation_Spend))*F112*GiftShop_Spillover</f>
        <v/>
      </c>
      <c r="Q112" s="17">
        <f>N112-O112-M112+P112</f>
        <v/>
      </c>
      <c r="R112" s="17">
        <f>Q112*Campaign_Days-B112</f>
        <v/>
      </c>
    </row>
    <row r="113">
      <c r="A113" s="6" t="inlineStr">
        <is>
          <t>3. r5 c3</t>
        </is>
      </c>
      <c r="B113" s="17">
        <f>Sensitivity!$B$33</f>
        <v/>
      </c>
      <c r="C113" s="14">
        <f>Sensitivity!E$28</f>
        <v/>
      </c>
      <c r="D113" s="15">
        <f>GiftShop_Net_Spend_Local</f>
        <v/>
      </c>
      <c r="E113" s="15">
        <f>Average_PWYW</f>
        <v/>
      </c>
      <c r="F113" s="14">
        <f>Local_AudioTour_Rate_PWYW</f>
        <v/>
      </c>
      <c r="G113" s="14">
        <f>Percentage_Locals_Init+(C113-Percentage_Locals_Init)*(1-EXP(-B113/Marketing_Saturation_Spend))</f>
        <v/>
      </c>
      <c r="H113" s="13">
        <f>Tourists_Base*G113/(1-G113)</f>
        <v/>
      </c>
      <c r="I113" s="13">
        <f>H113-Locals_Base</f>
        <v/>
      </c>
      <c r="J113" s="13">
        <f>Locals_Base*(1-(1-EXP(-B113/Marketing_Saturation_Spend)))*Local_AudioTour_Rate_Init+(H113-Locals_Base*(1-(1-EXP(-B113/Marketing_Saturation_Spend))))*F113</f>
        <v/>
      </c>
      <c r="K113" s="13">
        <f>AudioTourist_Base+J113</f>
        <v/>
      </c>
      <c r="L113" s="6">
        <f>MAX(0,ROUNDUP((K113-Device_Capacity)/Device_Block_Size,0))</f>
        <v/>
      </c>
      <c r="M113" s="6">
        <f>L113*Device_Block_Cost/Device_Amort_Days</f>
        <v/>
      </c>
      <c r="N113" s="17">
        <f>Fee_Keep*(Locals_Base*(1-(1-EXP(-B113/Marketing_Saturation_Spend)))*Local_AudioTour_Rate_Init*AudioTour_Price+(H113-Locals_Base*(1-(1-EXP(-B113/Marketing_Saturation_Spend))))*F113*E113-AudioLocal_Base*AudioTour_Price)</f>
        <v/>
      </c>
      <c r="O113" s="17">
        <f>(K113-Total_Daily_AudioTour)*Headset_Cost</f>
        <v/>
      </c>
      <c r="P113" s="17">
        <f>I113*D113+Locals_Base*(1-EXP(-B113/Marketing_Saturation_Spend))*F113*GiftShop_Spillover</f>
        <v/>
      </c>
      <c r="Q113" s="17">
        <f>N113-O113-M113+P113</f>
        <v/>
      </c>
      <c r="R113" s="17">
        <f>Q113*Campaign_Days-B113</f>
        <v/>
      </c>
    </row>
    <row r="114">
      <c r="A114" s="6" t="inlineStr">
        <is>
          <t>3. r5 c4</t>
        </is>
      </c>
      <c r="B114" s="17">
        <f>Sensitivity!$B$33</f>
        <v/>
      </c>
      <c r="C114" s="14">
        <f>Sensitivity!F$28</f>
        <v/>
      </c>
      <c r="D114" s="15">
        <f>GiftShop_Net_Spend_Local</f>
        <v/>
      </c>
      <c r="E114" s="15">
        <f>Average_PWYW</f>
        <v/>
      </c>
      <c r="F114" s="14">
        <f>Local_AudioTour_Rate_PWYW</f>
        <v/>
      </c>
      <c r="G114" s="14">
        <f>Percentage_Locals_Init+(C114-Percentage_Locals_Init)*(1-EXP(-B114/Marketing_Saturation_Spend))</f>
        <v/>
      </c>
      <c r="H114" s="13">
        <f>Tourists_Base*G114/(1-G114)</f>
        <v/>
      </c>
      <c r="I114" s="13">
        <f>H114-Locals_Base</f>
        <v/>
      </c>
      <c r="J114" s="13">
        <f>Locals_Base*(1-(1-EXP(-B114/Marketing_Saturation_Spend)))*Local_AudioTour_Rate_Init+(H114-Locals_Base*(1-(1-EXP(-B114/Marketing_Saturation_Spend))))*F114</f>
        <v/>
      </c>
      <c r="K114" s="13">
        <f>AudioTourist_Base+J114</f>
        <v/>
      </c>
      <c r="L114" s="6">
        <f>MAX(0,ROUNDUP((K114-Device_Capacity)/Device_Block_Size,0))</f>
        <v/>
      </c>
      <c r="M114" s="6">
        <f>L114*Device_Block_Cost/Device_Amort_Days</f>
        <v/>
      </c>
      <c r="N114" s="17">
        <f>Fee_Keep*(Locals_Base*(1-(1-EXP(-B114/Marketing_Saturation_Spend)))*Local_AudioTour_Rate_Init*AudioTour_Price+(H114-Locals_Base*(1-(1-EXP(-B114/Marketing_Saturation_Spend))))*F114*E114-AudioLocal_Base*AudioTour_Price)</f>
        <v/>
      </c>
      <c r="O114" s="17">
        <f>(K114-Total_Daily_AudioTour)*Headset_Cost</f>
        <v/>
      </c>
      <c r="P114" s="17">
        <f>I114*D114+Locals_Base*(1-EXP(-B114/Marketing_Saturation_Spend))*F114*GiftShop_Spillover</f>
        <v/>
      </c>
      <c r="Q114" s="17">
        <f>N114-O114-M114+P114</f>
        <v/>
      </c>
      <c r="R114" s="17">
        <f>Q114*Campaign_Days-B114</f>
        <v/>
      </c>
    </row>
    <row r="115">
      <c r="A115" s="6" t="inlineStr">
        <is>
          <t>3. r5 c5</t>
        </is>
      </c>
      <c r="B115" s="17">
        <f>Sensitivity!$B$33</f>
        <v/>
      </c>
      <c r="C115" s="14">
        <f>Sensitivity!G$28</f>
        <v/>
      </c>
      <c r="D115" s="15">
        <f>GiftShop_Net_Spend_Local</f>
        <v/>
      </c>
      <c r="E115" s="15">
        <f>Average_PWYW</f>
        <v/>
      </c>
      <c r="F115" s="14">
        <f>Local_AudioTour_Rate_PWYW</f>
        <v/>
      </c>
      <c r="G115" s="14">
        <f>Percentage_Locals_Init+(C115-Percentage_Locals_Init)*(1-EXP(-B115/Marketing_Saturation_Spend))</f>
        <v/>
      </c>
      <c r="H115" s="13">
        <f>Tourists_Base*G115/(1-G115)</f>
        <v/>
      </c>
      <c r="I115" s="13">
        <f>H115-Locals_Base</f>
        <v/>
      </c>
      <c r="J115" s="13">
        <f>Locals_Base*(1-(1-EXP(-B115/Marketing_Saturation_Spend)))*Local_AudioTour_Rate_Init+(H115-Locals_Base*(1-(1-EXP(-B115/Marketing_Saturation_Spend))))*F115</f>
        <v/>
      </c>
      <c r="K115" s="13">
        <f>AudioTourist_Base+J115</f>
        <v/>
      </c>
      <c r="L115" s="6">
        <f>MAX(0,ROUNDUP((K115-Device_Capacity)/Device_Block_Size,0))</f>
        <v/>
      </c>
      <c r="M115" s="6">
        <f>L115*Device_Block_Cost/Device_Amort_Days</f>
        <v/>
      </c>
      <c r="N115" s="17">
        <f>Fee_Keep*(Locals_Base*(1-(1-EXP(-B115/Marketing_Saturation_Spend)))*Local_AudioTour_Rate_Init*AudioTour_Price+(H115-Locals_Base*(1-(1-EXP(-B115/Marketing_Saturation_Spend))))*F115*E115-AudioLocal_Base*AudioTour_Price)</f>
        <v/>
      </c>
      <c r="O115" s="17">
        <f>(K115-Total_Daily_AudioTour)*Headset_Cost</f>
        <v/>
      </c>
      <c r="P115" s="17">
        <f>I115*D115+Locals_Base*(1-EXP(-B115/Marketing_Saturation_Spend))*F115*GiftShop_Spillover</f>
        <v/>
      </c>
      <c r="Q115" s="17">
        <f>N115-O115-M115+P115</f>
        <v/>
      </c>
      <c r="R115" s="17">
        <f>Q115*Campaign_Days-B115</f>
        <v/>
      </c>
    </row>
    <row r="116">
      <c r="A116" s="6" t="inlineStr">
        <is>
          <t>3. r5 c6</t>
        </is>
      </c>
      <c r="B116" s="17">
        <f>Sensitivity!$B$33</f>
        <v/>
      </c>
      <c r="C116" s="14">
        <f>Sensitivity!H$28</f>
        <v/>
      </c>
      <c r="D116" s="15">
        <f>GiftShop_Net_Spend_Local</f>
        <v/>
      </c>
      <c r="E116" s="15">
        <f>Average_PWYW</f>
        <v/>
      </c>
      <c r="F116" s="14">
        <f>Local_AudioTour_Rate_PWYW</f>
        <v/>
      </c>
      <c r="G116" s="14">
        <f>Percentage_Locals_Init+(C116-Percentage_Locals_Init)*(1-EXP(-B116/Marketing_Saturation_Spend))</f>
        <v/>
      </c>
      <c r="H116" s="13">
        <f>Tourists_Base*G116/(1-G116)</f>
        <v/>
      </c>
      <c r="I116" s="13">
        <f>H116-Locals_Base</f>
        <v/>
      </c>
      <c r="J116" s="13">
        <f>Locals_Base*(1-(1-EXP(-B116/Marketing_Saturation_Spend)))*Local_AudioTour_Rate_Init+(H116-Locals_Base*(1-(1-EXP(-B116/Marketing_Saturation_Spend))))*F116</f>
        <v/>
      </c>
      <c r="K116" s="13">
        <f>AudioTourist_Base+J116</f>
        <v/>
      </c>
      <c r="L116" s="6">
        <f>MAX(0,ROUNDUP((K116-Device_Capacity)/Device_Block_Size,0))</f>
        <v/>
      </c>
      <c r="M116" s="6">
        <f>L116*Device_Block_Cost/Device_Amort_Days</f>
        <v/>
      </c>
      <c r="N116" s="17">
        <f>Fee_Keep*(Locals_Base*(1-(1-EXP(-B116/Marketing_Saturation_Spend)))*Local_AudioTour_Rate_Init*AudioTour_Price+(H116-Locals_Base*(1-(1-EXP(-B116/Marketing_Saturation_Spend))))*F116*E116-AudioLocal_Base*AudioTour_Price)</f>
        <v/>
      </c>
      <c r="O116" s="17">
        <f>(K116-Total_Daily_AudioTour)*Headset_Cost</f>
        <v/>
      </c>
      <c r="P116" s="17">
        <f>I116*D116+Locals_Base*(1-EXP(-B116/Marketing_Saturation_Spend))*F116*GiftShop_Spillover</f>
        <v/>
      </c>
      <c r="Q116" s="17">
        <f>N116-O116-M116+P116</f>
        <v/>
      </c>
      <c r="R116" s="17">
        <f>Q116*Campaign_Days-B116</f>
        <v/>
      </c>
    </row>
    <row r="117">
      <c r="A117" s="6" t="inlineStr">
        <is>
          <t>3. r6 c1</t>
        </is>
      </c>
      <c r="B117" s="17">
        <f>Sensitivity!$B$34</f>
        <v/>
      </c>
      <c r="C117" s="14">
        <f>Sensitivity!C$28</f>
        <v/>
      </c>
      <c r="D117" s="15">
        <f>GiftShop_Net_Spend_Local</f>
        <v/>
      </c>
      <c r="E117" s="15">
        <f>Average_PWYW</f>
        <v/>
      </c>
      <c r="F117" s="14">
        <f>Local_AudioTour_Rate_PWYW</f>
        <v/>
      </c>
      <c r="G117" s="14">
        <f>Percentage_Locals_Init+(C117-Percentage_Locals_Init)*(1-EXP(-B117/Marketing_Saturation_Spend))</f>
        <v/>
      </c>
      <c r="H117" s="13">
        <f>Tourists_Base*G117/(1-G117)</f>
        <v/>
      </c>
      <c r="I117" s="13">
        <f>H117-Locals_Base</f>
        <v/>
      </c>
      <c r="J117" s="13">
        <f>Locals_Base*(1-(1-EXP(-B117/Marketing_Saturation_Spend)))*Local_AudioTour_Rate_Init+(H117-Locals_Base*(1-(1-EXP(-B117/Marketing_Saturation_Spend))))*F117</f>
        <v/>
      </c>
      <c r="K117" s="13">
        <f>AudioTourist_Base+J117</f>
        <v/>
      </c>
      <c r="L117" s="6">
        <f>MAX(0,ROUNDUP((K117-Device_Capacity)/Device_Block_Size,0))</f>
        <v/>
      </c>
      <c r="M117" s="6">
        <f>L117*Device_Block_Cost/Device_Amort_Days</f>
        <v/>
      </c>
      <c r="N117" s="17">
        <f>Fee_Keep*(Locals_Base*(1-(1-EXP(-B117/Marketing_Saturation_Spend)))*Local_AudioTour_Rate_Init*AudioTour_Price+(H117-Locals_Base*(1-(1-EXP(-B117/Marketing_Saturation_Spend))))*F117*E117-AudioLocal_Base*AudioTour_Price)</f>
        <v/>
      </c>
      <c r="O117" s="17">
        <f>(K117-Total_Daily_AudioTour)*Headset_Cost</f>
        <v/>
      </c>
      <c r="P117" s="17">
        <f>I117*D117+Locals_Base*(1-EXP(-B117/Marketing_Saturation_Spend))*F117*GiftShop_Spillover</f>
        <v/>
      </c>
      <c r="Q117" s="17">
        <f>N117-O117-M117+P117</f>
        <v/>
      </c>
      <c r="R117" s="17">
        <f>Q117*Campaign_Days-B117</f>
        <v/>
      </c>
    </row>
    <row r="118">
      <c r="A118" s="6" t="inlineStr">
        <is>
          <t>3. r6 c2</t>
        </is>
      </c>
      <c r="B118" s="17">
        <f>Sensitivity!$B$34</f>
        <v/>
      </c>
      <c r="C118" s="14">
        <f>Sensitivity!D$28</f>
        <v/>
      </c>
      <c r="D118" s="15">
        <f>GiftShop_Net_Spend_Local</f>
        <v/>
      </c>
      <c r="E118" s="15">
        <f>Average_PWYW</f>
        <v/>
      </c>
      <c r="F118" s="14">
        <f>Local_AudioTour_Rate_PWYW</f>
        <v/>
      </c>
      <c r="G118" s="14">
        <f>Percentage_Locals_Init+(C118-Percentage_Locals_Init)*(1-EXP(-B118/Marketing_Saturation_Spend))</f>
        <v/>
      </c>
      <c r="H118" s="13">
        <f>Tourists_Base*G118/(1-G118)</f>
        <v/>
      </c>
      <c r="I118" s="13">
        <f>H118-Locals_Base</f>
        <v/>
      </c>
      <c r="J118" s="13">
        <f>Locals_Base*(1-(1-EXP(-B118/Marketing_Saturation_Spend)))*Local_AudioTour_Rate_Init+(H118-Locals_Base*(1-(1-EXP(-B118/Marketing_Saturation_Spend))))*F118</f>
        <v/>
      </c>
      <c r="K118" s="13">
        <f>AudioTourist_Base+J118</f>
        <v/>
      </c>
      <c r="L118" s="6">
        <f>MAX(0,ROUNDUP((K118-Device_Capacity)/Device_Block_Size,0))</f>
        <v/>
      </c>
      <c r="M118" s="6">
        <f>L118*Device_Block_Cost/Device_Amort_Days</f>
        <v/>
      </c>
      <c r="N118" s="17">
        <f>Fee_Keep*(Locals_Base*(1-(1-EXP(-B118/Marketing_Saturation_Spend)))*Local_AudioTour_Rate_Init*AudioTour_Price+(H118-Locals_Base*(1-(1-EXP(-B118/Marketing_Saturation_Spend))))*F118*E118-AudioLocal_Base*AudioTour_Price)</f>
        <v/>
      </c>
      <c r="O118" s="17">
        <f>(K118-Total_Daily_AudioTour)*Headset_Cost</f>
        <v/>
      </c>
      <c r="P118" s="17">
        <f>I118*D118+Locals_Base*(1-EXP(-B118/Marketing_Saturation_Spend))*F118*GiftShop_Spillover</f>
        <v/>
      </c>
      <c r="Q118" s="17">
        <f>N118-O118-M118+P118</f>
        <v/>
      </c>
      <c r="R118" s="17">
        <f>Q118*Campaign_Days-B118</f>
        <v/>
      </c>
    </row>
    <row r="119">
      <c r="A119" s="6" t="inlineStr">
        <is>
          <t>3. r6 c3</t>
        </is>
      </c>
      <c r="B119" s="17">
        <f>Sensitivity!$B$34</f>
        <v/>
      </c>
      <c r="C119" s="14">
        <f>Sensitivity!E$28</f>
        <v/>
      </c>
      <c r="D119" s="15">
        <f>GiftShop_Net_Spend_Local</f>
        <v/>
      </c>
      <c r="E119" s="15">
        <f>Average_PWYW</f>
        <v/>
      </c>
      <c r="F119" s="14">
        <f>Local_AudioTour_Rate_PWYW</f>
        <v/>
      </c>
      <c r="G119" s="14">
        <f>Percentage_Locals_Init+(C119-Percentage_Locals_Init)*(1-EXP(-B119/Marketing_Saturation_Spend))</f>
        <v/>
      </c>
      <c r="H119" s="13">
        <f>Tourists_Base*G119/(1-G119)</f>
        <v/>
      </c>
      <c r="I119" s="13">
        <f>H119-Locals_Base</f>
        <v/>
      </c>
      <c r="J119" s="13">
        <f>Locals_Base*(1-(1-EXP(-B119/Marketing_Saturation_Spend)))*Local_AudioTour_Rate_Init+(H119-Locals_Base*(1-(1-EXP(-B119/Marketing_Saturation_Spend))))*F119</f>
        <v/>
      </c>
      <c r="K119" s="13">
        <f>AudioTourist_Base+J119</f>
        <v/>
      </c>
      <c r="L119" s="6">
        <f>MAX(0,ROUNDUP((K119-Device_Capacity)/Device_Block_Size,0))</f>
        <v/>
      </c>
      <c r="M119" s="6">
        <f>L119*Device_Block_Cost/Device_Amort_Days</f>
        <v/>
      </c>
      <c r="N119" s="17">
        <f>Fee_Keep*(Locals_Base*(1-(1-EXP(-B119/Marketing_Saturation_Spend)))*Local_AudioTour_Rate_Init*AudioTour_Price+(H119-Locals_Base*(1-(1-EXP(-B119/Marketing_Saturation_Spend))))*F119*E119-AudioLocal_Base*AudioTour_Price)</f>
        <v/>
      </c>
      <c r="O119" s="17">
        <f>(K119-Total_Daily_AudioTour)*Headset_Cost</f>
        <v/>
      </c>
      <c r="P119" s="17">
        <f>I119*D119+Locals_Base*(1-EXP(-B119/Marketing_Saturation_Spend))*F119*GiftShop_Spillover</f>
        <v/>
      </c>
      <c r="Q119" s="17">
        <f>N119-O119-M119+P119</f>
        <v/>
      </c>
      <c r="R119" s="17">
        <f>Q119*Campaign_Days-B119</f>
        <v/>
      </c>
    </row>
    <row r="120">
      <c r="A120" s="6" t="inlineStr">
        <is>
          <t>3. r6 c4</t>
        </is>
      </c>
      <c r="B120" s="17">
        <f>Sensitivity!$B$34</f>
        <v/>
      </c>
      <c r="C120" s="14">
        <f>Sensitivity!F$28</f>
        <v/>
      </c>
      <c r="D120" s="15">
        <f>GiftShop_Net_Spend_Local</f>
        <v/>
      </c>
      <c r="E120" s="15">
        <f>Average_PWYW</f>
        <v/>
      </c>
      <c r="F120" s="14">
        <f>Local_AudioTour_Rate_PWYW</f>
        <v/>
      </c>
      <c r="G120" s="14">
        <f>Percentage_Locals_Init+(C120-Percentage_Locals_Init)*(1-EXP(-B120/Marketing_Saturation_Spend))</f>
        <v/>
      </c>
      <c r="H120" s="13">
        <f>Tourists_Base*G120/(1-G120)</f>
        <v/>
      </c>
      <c r="I120" s="13">
        <f>H120-Locals_Base</f>
        <v/>
      </c>
      <c r="J120" s="13">
        <f>Locals_Base*(1-(1-EXP(-B120/Marketing_Saturation_Spend)))*Local_AudioTour_Rate_Init+(H120-Locals_Base*(1-(1-EXP(-B120/Marketing_Saturation_Spend))))*F120</f>
        <v/>
      </c>
      <c r="K120" s="13">
        <f>AudioTourist_Base+J120</f>
        <v/>
      </c>
      <c r="L120" s="6">
        <f>MAX(0,ROUNDUP((K120-Device_Capacity)/Device_Block_Size,0))</f>
        <v/>
      </c>
      <c r="M120" s="6">
        <f>L120*Device_Block_Cost/Device_Amort_Days</f>
        <v/>
      </c>
      <c r="N120" s="17">
        <f>Fee_Keep*(Locals_Base*(1-(1-EXP(-B120/Marketing_Saturation_Spend)))*Local_AudioTour_Rate_Init*AudioTour_Price+(H120-Locals_Base*(1-(1-EXP(-B120/Marketing_Saturation_Spend))))*F120*E120-AudioLocal_Base*AudioTour_Price)</f>
        <v/>
      </c>
      <c r="O120" s="17">
        <f>(K120-Total_Daily_AudioTour)*Headset_Cost</f>
        <v/>
      </c>
      <c r="P120" s="17">
        <f>I120*D120+Locals_Base*(1-EXP(-B120/Marketing_Saturation_Spend))*F120*GiftShop_Spillover</f>
        <v/>
      </c>
      <c r="Q120" s="17">
        <f>N120-O120-M120+P120</f>
        <v/>
      </c>
      <c r="R120" s="17">
        <f>Q120*Campaign_Days-B120</f>
        <v/>
      </c>
    </row>
    <row r="121">
      <c r="A121" s="6" t="inlineStr">
        <is>
          <t>3. r6 c5</t>
        </is>
      </c>
      <c r="B121" s="17">
        <f>Sensitivity!$B$34</f>
        <v/>
      </c>
      <c r="C121" s="14">
        <f>Sensitivity!G$28</f>
        <v/>
      </c>
      <c r="D121" s="15">
        <f>GiftShop_Net_Spend_Local</f>
        <v/>
      </c>
      <c r="E121" s="15">
        <f>Average_PWYW</f>
        <v/>
      </c>
      <c r="F121" s="14">
        <f>Local_AudioTour_Rate_PWYW</f>
        <v/>
      </c>
      <c r="G121" s="14">
        <f>Percentage_Locals_Init+(C121-Percentage_Locals_Init)*(1-EXP(-B121/Marketing_Saturation_Spend))</f>
        <v/>
      </c>
      <c r="H121" s="13">
        <f>Tourists_Base*G121/(1-G121)</f>
        <v/>
      </c>
      <c r="I121" s="13">
        <f>H121-Locals_Base</f>
        <v/>
      </c>
      <c r="J121" s="13">
        <f>Locals_Base*(1-(1-EXP(-B121/Marketing_Saturation_Spend)))*Local_AudioTour_Rate_Init+(H121-Locals_Base*(1-(1-EXP(-B121/Marketing_Saturation_Spend))))*F121</f>
        <v/>
      </c>
      <c r="K121" s="13">
        <f>AudioTourist_Base+J121</f>
        <v/>
      </c>
      <c r="L121" s="6">
        <f>MAX(0,ROUNDUP((K121-Device_Capacity)/Device_Block_Size,0))</f>
        <v/>
      </c>
      <c r="M121" s="6">
        <f>L121*Device_Block_Cost/Device_Amort_Days</f>
        <v/>
      </c>
      <c r="N121" s="17">
        <f>Fee_Keep*(Locals_Base*(1-(1-EXP(-B121/Marketing_Saturation_Spend)))*Local_AudioTour_Rate_Init*AudioTour_Price+(H121-Locals_Base*(1-(1-EXP(-B121/Marketing_Saturation_Spend))))*F121*E121-AudioLocal_Base*AudioTour_Price)</f>
        <v/>
      </c>
      <c r="O121" s="17">
        <f>(K121-Total_Daily_AudioTour)*Headset_Cost</f>
        <v/>
      </c>
      <c r="P121" s="17">
        <f>I121*D121+Locals_Base*(1-EXP(-B121/Marketing_Saturation_Spend))*F121*GiftShop_Spillover</f>
        <v/>
      </c>
      <c r="Q121" s="17">
        <f>N121-O121-M121+P121</f>
        <v/>
      </c>
      <c r="R121" s="17">
        <f>Q121*Campaign_Days-B121</f>
        <v/>
      </c>
    </row>
    <row r="122">
      <c r="A122" s="6" t="inlineStr">
        <is>
          <t>3. r6 c6</t>
        </is>
      </c>
      <c r="B122" s="17">
        <f>Sensitivity!$B$34</f>
        <v/>
      </c>
      <c r="C122" s="14">
        <f>Sensitivity!H$28</f>
        <v/>
      </c>
      <c r="D122" s="15">
        <f>GiftShop_Net_Spend_Local</f>
        <v/>
      </c>
      <c r="E122" s="15">
        <f>Average_PWYW</f>
        <v/>
      </c>
      <c r="F122" s="14">
        <f>Local_AudioTour_Rate_PWYW</f>
        <v/>
      </c>
      <c r="G122" s="14">
        <f>Percentage_Locals_Init+(C122-Percentage_Locals_Init)*(1-EXP(-B122/Marketing_Saturation_Spend))</f>
        <v/>
      </c>
      <c r="H122" s="13">
        <f>Tourists_Base*G122/(1-G122)</f>
        <v/>
      </c>
      <c r="I122" s="13">
        <f>H122-Locals_Base</f>
        <v/>
      </c>
      <c r="J122" s="13">
        <f>Locals_Base*(1-(1-EXP(-B122/Marketing_Saturation_Spend)))*Local_AudioTour_Rate_Init+(H122-Locals_Base*(1-(1-EXP(-B122/Marketing_Saturation_Spend))))*F122</f>
        <v/>
      </c>
      <c r="K122" s="13">
        <f>AudioTourist_Base+J122</f>
        <v/>
      </c>
      <c r="L122" s="6">
        <f>MAX(0,ROUNDUP((K122-Device_Capacity)/Device_Block_Size,0))</f>
        <v/>
      </c>
      <c r="M122" s="6">
        <f>L122*Device_Block_Cost/Device_Amort_Days</f>
        <v/>
      </c>
      <c r="N122" s="17">
        <f>Fee_Keep*(Locals_Base*(1-(1-EXP(-B122/Marketing_Saturation_Spend)))*Local_AudioTour_Rate_Init*AudioTour_Price+(H122-Locals_Base*(1-(1-EXP(-B122/Marketing_Saturation_Spend))))*F122*E122-AudioLocal_Base*AudioTour_Price)</f>
        <v/>
      </c>
      <c r="O122" s="17">
        <f>(K122-Total_Daily_AudioTour)*Headset_Cost</f>
        <v/>
      </c>
      <c r="P122" s="17">
        <f>I122*D122+Locals_Base*(1-EXP(-B122/Marketing_Saturation_Spend))*F122*GiftShop_Spillover</f>
        <v/>
      </c>
      <c r="Q122" s="17">
        <f>N122-O122-M122+P122</f>
        <v/>
      </c>
      <c r="R122" s="17">
        <f>Q122*Campaign_Days-B122</f>
        <v/>
      </c>
    </row>
    <row r="123">
      <c r="A123" s="6" t="inlineStr">
        <is>
          <t>4. r1 c1</t>
        </is>
      </c>
      <c r="B123" s="17">
        <f>Marketing_Spend</f>
        <v/>
      </c>
      <c r="C123" s="14">
        <f>Sensitivity!$B$39</f>
        <v/>
      </c>
      <c r="D123" s="15">
        <f>Sensitivity!C$38</f>
        <v/>
      </c>
      <c r="E123" s="15">
        <f>Average_PWYW</f>
        <v/>
      </c>
      <c r="F123" s="14">
        <f>Local_AudioTour_Rate_PWYW</f>
        <v/>
      </c>
      <c r="G123" s="14">
        <f>Percentage_Locals_Init+(C123-Percentage_Locals_Init)*(1-EXP(-B123/Marketing_Saturation_Spend))</f>
        <v/>
      </c>
      <c r="H123" s="13">
        <f>Tourists_Base*G123/(1-G123)</f>
        <v/>
      </c>
      <c r="I123" s="13">
        <f>H123-Locals_Base</f>
        <v/>
      </c>
      <c r="J123" s="13">
        <f>Locals_Base*(1-(1-EXP(-B123/Marketing_Saturation_Spend)))*Local_AudioTour_Rate_Init+(H123-Locals_Base*(1-(1-EXP(-B123/Marketing_Saturation_Spend))))*F123</f>
        <v/>
      </c>
      <c r="K123" s="13">
        <f>AudioTourist_Base+J123</f>
        <v/>
      </c>
      <c r="L123" s="6">
        <f>MAX(0,ROUNDUP((K123-Device_Capacity)/Device_Block_Size,0))</f>
        <v/>
      </c>
      <c r="M123" s="6">
        <f>L123*Device_Block_Cost/Device_Amort_Days</f>
        <v/>
      </c>
      <c r="N123" s="17">
        <f>Fee_Keep*(Locals_Base*(1-(1-EXP(-B123/Marketing_Saturation_Spend)))*Local_AudioTour_Rate_Init*AudioTour_Price+(H123-Locals_Base*(1-(1-EXP(-B123/Marketing_Saturation_Spend))))*F123*E123-AudioLocal_Base*AudioTour_Price)</f>
        <v/>
      </c>
      <c r="O123" s="17">
        <f>(K123-Total_Daily_AudioTour)*Headset_Cost</f>
        <v/>
      </c>
      <c r="P123" s="17">
        <f>I123*D123+Locals_Base*(1-EXP(-B123/Marketing_Saturation_Spend))*F123*GiftShop_Spillover</f>
        <v/>
      </c>
      <c r="Q123" s="17">
        <f>N123-O123-M123+P123</f>
        <v/>
      </c>
      <c r="R123" s="17">
        <f>Q123*Campaign_Days-B123</f>
        <v/>
      </c>
    </row>
    <row r="124">
      <c r="A124" s="6" t="inlineStr">
        <is>
          <t>4. r1 c2</t>
        </is>
      </c>
      <c r="B124" s="17">
        <f>Marketing_Spend</f>
        <v/>
      </c>
      <c r="C124" s="14">
        <f>Sensitivity!$B$39</f>
        <v/>
      </c>
      <c r="D124" s="15">
        <f>Sensitivity!D$38</f>
        <v/>
      </c>
      <c r="E124" s="15">
        <f>Average_PWYW</f>
        <v/>
      </c>
      <c r="F124" s="14">
        <f>Local_AudioTour_Rate_PWYW</f>
        <v/>
      </c>
      <c r="G124" s="14">
        <f>Percentage_Locals_Init+(C124-Percentage_Locals_Init)*(1-EXP(-B124/Marketing_Saturation_Spend))</f>
        <v/>
      </c>
      <c r="H124" s="13">
        <f>Tourists_Base*G124/(1-G124)</f>
        <v/>
      </c>
      <c r="I124" s="13">
        <f>H124-Locals_Base</f>
        <v/>
      </c>
      <c r="J124" s="13">
        <f>Locals_Base*(1-(1-EXP(-B124/Marketing_Saturation_Spend)))*Local_AudioTour_Rate_Init+(H124-Locals_Base*(1-(1-EXP(-B124/Marketing_Saturation_Spend))))*F124</f>
        <v/>
      </c>
      <c r="K124" s="13">
        <f>AudioTourist_Base+J124</f>
        <v/>
      </c>
      <c r="L124" s="6">
        <f>MAX(0,ROUNDUP((K124-Device_Capacity)/Device_Block_Size,0))</f>
        <v/>
      </c>
      <c r="M124" s="6">
        <f>L124*Device_Block_Cost/Device_Amort_Days</f>
        <v/>
      </c>
      <c r="N124" s="17">
        <f>Fee_Keep*(Locals_Base*(1-(1-EXP(-B124/Marketing_Saturation_Spend)))*Local_AudioTour_Rate_Init*AudioTour_Price+(H124-Locals_Base*(1-(1-EXP(-B124/Marketing_Saturation_Spend))))*F124*E124-AudioLocal_Base*AudioTour_Price)</f>
        <v/>
      </c>
      <c r="O124" s="17">
        <f>(K124-Total_Daily_AudioTour)*Headset_Cost</f>
        <v/>
      </c>
      <c r="P124" s="17">
        <f>I124*D124+Locals_Base*(1-EXP(-B124/Marketing_Saturation_Spend))*F124*GiftShop_Spillover</f>
        <v/>
      </c>
      <c r="Q124" s="17">
        <f>N124-O124-M124+P124</f>
        <v/>
      </c>
      <c r="R124" s="17">
        <f>Q124*Campaign_Days-B124</f>
        <v/>
      </c>
    </row>
    <row r="125">
      <c r="A125" s="6" t="inlineStr">
        <is>
          <t>4. r1 c3</t>
        </is>
      </c>
      <c r="B125" s="17">
        <f>Marketing_Spend</f>
        <v/>
      </c>
      <c r="C125" s="14">
        <f>Sensitivity!$B$39</f>
        <v/>
      </c>
      <c r="D125" s="15">
        <f>Sensitivity!E$38</f>
        <v/>
      </c>
      <c r="E125" s="15">
        <f>Average_PWYW</f>
        <v/>
      </c>
      <c r="F125" s="14">
        <f>Local_AudioTour_Rate_PWYW</f>
        <v/>
      </c>
      <c r="G125" s="14">
        <f>Percentage_Locals_Init+(C125-Percentage_Locals_Init)*(1-EXP(-B125/Marketing_Saturation_Spend))</f>
        <v/>
      </c>
      <c r="H125" s="13">
        <f>Tourists_Base*G125/(1-G125)</f>
        <v/>
      </c>
      <c r="I125" s="13">
        <f>H125-Locals_Base</f>
        <v/>
      </c>
      <c r="J125" s="13">
        <f>Locals_Base*(1-(1-EXP(-B125/Marketing_Saturation_Spend)))*Local_AudioTour_Rate_Init+(H125-Locals_Base*(1-(1-EXP(-B125/Marketing_Saturation_Spend))))*F125</f>
        <v/>
      </c>
      <c r="K125" s="13">
        <f>AudioTourist_Base+J125</f>
        <v/>
      </c>
      <c r="L125" s="6">
        <f>MAX(0,ROUNDUP((K125-Device_Capacity)/Device_Block_Size,0))</f>
        <v/>
      </c>
      <c r="M125" s="6">
        <f>L125*Device_Block_Cost/Device_Amort_Days</f>
        <v/>
      </c>
      <c r="N125" s="17">
        <f>Fee_Keep*(Locals_Base*(1-(1-EXP(-B125/Marketing_Saturation_Spend)))*Local_AudioTour_Rate_Init*AudioTour_Price+(H125-Locals_Base*(1-(1-EXP(-B125/Marketing_Saturation_Spend))))*F125*E125-AudioLocal_Base*AudioTour_Price)</f>
        <v/>
      </c>
      <c r="O125" s="17">
        <f>(K125-Total_Daily_AudioTour)*Headset_Cost</f>
        <v/>
      </c>
      <c r="P125" s="17">
        <f>I125*D125+Locals_Base*(1-EXP(-B125/Marketing_Saturation_Spend))*F125*GiftShop_Spillover</f>
        <v/>
      </c>
      <c r="Q125" s="17">
        <f>N125-O125-M125+P125</f>
        <v/>
      </c>
      <c r="R125" s="17">
        <f>Q125*Campaign_Days-B125</f>
        <v/>
      </c>
    </row>
    <row r="126">
      <c r="A126" s="6" t="inlineStr">
        <is>
          <t>4. r1 c4</t>
        </is>
      </c>
      <c r="B126" s="17">
        <f>Marketing_Spend</f>
        <v/>
      </c>
      <c r="C126" s="14">
        <f>Sensitivity!$B$39</f>
        <v/>
      </c>
      <c r="D126" s="15">
        <f>Sensitivity!F$38</f>
        <v/>
      </c>
      <c r="E126" s="15">
        <f>Average_PWYW</f>
        <v/>
      </c>
      <c r="F126" s="14">
        <f>Local_AudioTour_Rate_PWYW</f>
        <v/>
      </c>
      <c r="G126" s="14">
        <f>Percentage_Locals_Init+(C126-Percentage_Locals_Init)*(1-EXP(-B126/Marketing_Saturation_Spend))</f>
        <v/>
      </c>
      <c r="H126" s="13">
        <f>Tourists_Base*G126/(1-G126)</f>
        <v/>
      </c>
      <c r="I126" s="13">
        <f>H126-Locals_Base</f>
        <v/>
      </c>
      <c r="J126" s="13">
        <f>Locals_Base*(1-(1-EXP(-B126/Marketing_Saturation_Spend)))*Local_AudioTour_Rate_Init+(H126-Locals_Base*(1-(1-EXP(-B126/Marketing_Saturation_Spend))))*F126</f>
        <v/>
      </c>
      <c r="K126" s="13">
        <f>AudioTourist_Base+J126</f>
        <v/>
      </c>
      <c r="L126" s="6">
        <f>MAX(0,ROUNDUP((K126-Device_Capacity)/Device_Block_Size,0))</f>
        <v/>
      </c>
      <c r="M126" s="6">
        <f>L126*Device_Block_Cost/Device_Amort_Days</f>
        <v/>
      </c>
      <c r="N126" s="17">
        <f>Fee_Keep*(Locals_Base*(1-(1-EXP(-B126/Marketing_Saturation_Spend)))*Local_AudioTour_Rate_Init*AudioTour_Price+(H126-Locals_Base*(1-(1-EXP(-B126/Marketing_Saturation_Spend))))*F126*E126-AudioLocal_Base*AudioTour_Price)</f>
        <v/>
      </c>
      <c r="O126" s="17">
        <f>(K126-Total_Daily_AudioTour)*Headset_Cost</f>
        <v/>
      </c>
      <c r="P126" s="17">
        <f>I126*D126+Locals_Base*(1-EXP(-B126/Marketing_Saturation_Spend))*F126*GiftShop_Spillover</f>
        <v/>
      </c>
      <c r="Q126" s="17">
        <f>N126-O126-M126+P126</f>
        <v/>
      </c>
      <c r="R126" s="17">
        <f>Q126*Campaign_Days-B126</f>
        <v/>
      </c>
    </row>
    <row r="127">
      <c r="A127" s="6" t="inlineStr">
        <is>
          <t>4. r1 c5</t>
        </is>
      </c>
      <c r="B127" s="17">
        <f>Marketing_Spend</f>
        <v/>
      </c>
      <c r="C127" s="14">
        <f>Sensitivity!$B$39</f>
        <v/>
      </c>
      <c r="D127" s="15">
        <f>Sensitivity!G$38</f>
        <v/>
      </c>
      <c r="E127" s="15">
        <f>Average_PWYW</f>
        <v/>
      </c>
      <c r="F127" s="14">
        <f>Local_AudioTour_Rate_PWYW</f>
        <v/>
      </c>
      <c r="G127" s="14">
        <f>Percentage_Locals_Init+(C127-Percentage_Locals_Init)*(1-EXP(-B127/Marketing_Saturation_Spend))</f>
        <v/>
      </c>
      <c r="H127" s="13">
        <f>Tourists_Base*G127/(1-G127)</f>
        <v/>
      </c>
      <c r="I127" s="13">
        <f>H127-Locals_Base</f>
        <v/>
      </c>
      <c r="J127" s="13">
        <f>Locals_Base*(1-(1-EXP(-B127/Marketing_Saturation_Spend)))*Local_AudioTour_Rate_Init+(H127-Locals_Base*(1-(1-EXP(-B127/Marketing_Saturation_Spend))))*F127</f>
        <v/>
      </c>
      <c r="K127" s="13">
        <f>AudioTourist_Base+J127</f>
        <v/>
      </c>
      <c r="L127" s="6">
        <f>MAX(0,ROUNDUP((K127-Device_Capacity)/Device_Block_Size,0))</f>
        <v/>
      </c>
      <c r="M127" s="6">
        <f>L127*Device_Block_Cost/Device_Amort_Days</f>
        <v/>
      </c>
      <c r="N127" s="17">
        <f>Fee_Keep*(Locals_Base*(1-(1-EXP(-B127/Marketing_Saturation_Spend)))*Local_AudioTour_Rate_Init*AudioTour_Price+(H127-Locals_Base*(1-(1-EXP(-B127/Marketing_Saturation_Spend))))*F127*E127-AudioLocal_Base*AudioTour_Price)</f>
        <v/>
      </c>
      <c r="O127" s="17">
        <f>(K127-Total_Daily_AudioTour)*Headset_Cost</f>
        <v/>
      </c>
      <c r="P127" s="17">
        <f>I127*D127+Locals_Base*(1-EXP(-B127/Marketing_Saturation_Spend))*F127*GiftShop_Spillover</f>
        <v/>
      </c>
      <c r="Q127" s="17">
        <f>N127-O127-M127+P127</f>
        <v/>
      </c>
      <c r="R127" s="17">
        <f>Q127*Campaign_Days-B127</f>
        <v/>
      </c>
    </row>
    <row r="128">
      <c r="A128" s="6" t="inlineStr">
        <is>
          <t>4. r1 c6</t>
        </is>
      </c>
      <c r="B128" s="17">
        <f>Marketing_Spend</f>
        <v/>
      </c>
      <c r="C128" s="14">
        <f>Sensitivity!$B$39</f>
        <v/>
      </c>
      <c r="D128" s="15">
        <f>Sensitivity!H$38</f>
        <v/>
      </c>
      <c r="E128" s="15">
        <f>Average_PWYW</f>
        <v/>
      </c>
      <c r="F128" s="14">
        <f>Local_AudioTour_Rate_PWYW</f>
        <v/>
      </c>
      <c r="G128" s="14">
        <f>Percentage_Locals_Init+(C128-Percentage_Locals_Init)*(1-EXP(-B128/Marketing_Saturation_Spend))</f>
        <v/>
      </c>
      <c r="H128" s="13">
        <f>Tourists_Base*G128/(1-G128)</f>
        <v/>
      </c>
      <c r="I128" s="13">
        <f>H128-Locals_Base</f>
        <v/>
      </c>
      <c r="J128" s="13">
        <f>Locals_Base*(1-(1-EXP(-B128/Marketing_Saturation_Spend)))*Local_AudioTour_Rate_Init+(H128-Locals_Base*(1-(1-EXP(-B128/Marketing_Saturation_Spend))))*F128</f>
        <v/>
      </c>
      <c r="K128" s="13">
        <f>AudioTourist_Base+J128</f>
        <v/>
      </c>
      <c r="L128" s="6">
        <f>MAX(0,ROUNDUP((K128-Device_Capacity)/Device_Block_Size,0))</f>
        <v/>
      </c>
      <c r="M128" s="6">
        <f>L128*Device_Block_Cost/Device_Amort_Days</f>
        <v/>
      </c>
      <c r="N128" s="17">
        <f>Fee_Keep*(Locals_Base*(1-(1-EXP(-B128/Marketing_Saturation_Spend)))*Local_AudioTour_Rate_Init*AudioTour_Price+(H128-Locals_Base*(1-(1-EXP(-B128/Marketing_Saturation_Spend))))*F128*E128-AudioLocal_Base*AudioTour_Price)</f>
        <v/>
      </c>
      <c r="O128" s="17">
        <f>(K128-Total_Daily_AudioTour)*Headset_Cost</f>
        <v/>
      </c>
      <c r="P128" s="17">
        <f>I128*D128+Locals_Base*(1-EXP(-B128/Marketing_Saturation_Spend))*F128*GiftShop_Spillover</f>
        <v/>
      </c>
      <c r="Q128" s="17">
        <f>N128-O128-M128+P128</f>
        <v/>
      </c>
      <c r="R128" s="17">
        <f>Q128*Campaign_Days-B128</f>
        <v/>
      </c>
    </row>
    <row r="129">
      <c r="A129" s="6" t="inlineStr">
        <is>
          <t>4. r1 c7</t>
        </is>
      </c>
      <c r="B129" s="17">
        <f>Marketing_Spend</f>
        <v/>
      </c>
      <c r="C129" s="14">
        <f>Sensitivity!$B$39</f>
        <v/>
      </c>
      <c r="D129" s="15">
        <f>Sensitivity!I$38</f>
        <v/>
      </c>
      <c r="E129" s="15">
        <f>Average_PWYW</f>
        <v/>
      </c>
      <c r="F129" s="14">
        <f>Local_AudioTour_Rate_PWYW</f>
        <v/>
      </c>
      <c r="G129" s="14">
        <f>Percentage_Locals_Init+(C129-Percentage_Locals_Init)*(1-EXP(-B129/Marketing_Saturation_Spend))</f>
        <v/>
      </c>
      <c r="H129" s="13">
        <f>Tourists_Base*G129/(1-G129)</f>
        <v/>
      </c>
      <c r="I129" s="13">
        <f>H129-Locals_Base</f>
        <v/>
      </c>
      <c r="J129" s="13">
        <f>Locals_Base*(1-(1-EXP(-B129/Marketing_Saturation_Spend)))*Local_AudioTour_Rate_Init+(H129-Locals_Base*(1-(1-EXP(-B129/Marketing_Saturation_Spend))))*F129</f>
        <v/>
      </c>
      <c r="K129" s="13">
        <f>AudioTourist_Base+J129</f>
        <v/>
      </c>
      <c r="L129" s="6">
        <f>MAX(0,ROUNDUP((K129-Device_Capacity)/Device_Block_Size,0))</f>
        <v/>
      </c>
      <c r="M129" s="6">
        <f>L129*Device_Block_Cost/Device_Amort_Days</f>
        <v/>
      </c>
      <c r="N129" s="17">
        <f>Fee_Keep*(Locals_Base*(1-(1-EXP(-B129/Marketing_Saturation_Spend)))*Local_AudioTour_Rate_Init*AudioTour_Price+(H129-Locals_Base*(1-(1-EXP(-B129/Marketing_Saturation_Spend))))*F129*E129-AudioLocal_Base*AudioTour_Price)</f>
        <v/>
      </c>
      <c r="O129" s="17">
        <f>(K129-Total_Daily_AudioTour)*Headset_Cost</f>
        <v/>
      </c>
      <c r="P129" s="17">
        <f>I129*D129+Locals_Base*(1-EXP(-B129/Marketing_Saturation_Spend))*F129*GiftShop_Spillover</f>
        <v/>
      </c>
      <c r="Q129" s="17">
        <f>N129-O129-M129+P129</f>
        <v/>
      </c>
      <c r="R129" s="17">
        <f>Q129*Campaign_Days-B129</f>
        <v/>
      </c>
    </row>
    <row r="130">
      <c r="A130" s="6" t="inlineStr">
        <is>
          <t>4. r2 c1</t>
        </is>
      </c>
      <c r="B130" s="17">
        <f>Marketing_Spend</f>
        <v/>
      </c>
      <c r="C130" s="14">
        <f>Sensitivity!$B$40</f>
        <v/>
      </c>
      <c r="D130" s="15">
        <f>Sensitivity!C$38</f>
        <v/>
      </c>
      <c r="E130" s="15">
        <f>Average_PWYW</f>
        <v/>
      </c>
      <c r="F130" s="14">
        <f>Local_AudioTour_Rate_PWYW</f>
        <v/>
      </c>
      <c r="G130" s="14">
        <f>Percentage_Locals_Init+(C130-Percentage_Locals_Init)*(1-EXP(-B130/Marketing_Saturation_Spend))</f>
        <v/>
      </c>
      <c r="H130" s="13">
        <f>Tourists_Base*G130/(1-G130)</f>
        <v/>
      </c>
      <c r="I130" s="13">
        <f>H130-Locals_Base</f>
        <v/>
      </c>
      <c r="J130" s="13">
        <f>Locals_Base*(1-(1-EXP(-B130/Marketing_Saturation_Spend)))*Local_AudioTour_Rate_Init+(H130-Locals_Base*(1-(1-EXP(-B130/Marketing_Saturation_Spend))))*F130</f>
        <v/>
      </c>
      <c r="K130" s="13">
        <f>AudioTourist_Base+J130</f>
        <v/>
      </c>
      <c r="L130" s="6">
        <f>MAX(0,ROUNDUP((K130-Device_Capacity)/Device_Block_Size,0))</f>
        <v/>
      </c>
      <c r="M130" s="6">
        <f>L130*Device_Block_Cost/Device_Amort_Days</f>
        <v/>
      </c>
      <c r="N130" s="17">
        <f>Fee_Keep*(Locals_Base*(1-(1-EXP(-B130/Marketing_Saturation_Spend)))*Local_AudioTour_Rate_Init*AudioTour_Price+(H130-Locals_Base*(1-(1-EXP(-B130/Marketing_Saturation_Spend))))*F130*E130-AudioLocal_Base*AudioTour_Price)</f>
        <v/>
      </c>
      <c r="O130" s="17">
        <f>(K130-Total_Daily_AudioTour)*Headset_Cost</f>
        <v/>
      </c>
      <c r="P130" s="17">
        <f>I130*D130+Locals_Base*(1-EXP(-B130/Marketing_Saturation_Spend))*F130*GiftShop_Spillover</f>
        <v/>
      </c>
      <c r="Q130" s="17">
        <f>N130-O130-M130+P130</f>
        <v/>
      </c>
      <c r="R130" s="17">
        <f>Q130*Campaign_Days-B130</f>
        <v/>
      </c>
    </row>
    <row r="131">
      <c r="A131" s="6" t="inlineStr">
        <is>
          <t>4. r2 c2</t>
        </is>
      </c>
      <c r="B131" s="17">
        <f>Marketing_Spend</f>
        <v/>
      </c>
      <c r="C131" s="14">
        <f>Sensitivity!$B$40</f>
        <v/>
      </c>
      <c r="D131" s="15">
        <f>Sensitivity!D$38</f>
        <v/>
      </c>
      <c r="E131" s="15">
        <f>Average_PWYW</f>
        <v/>
      </c>
      <c r="F131" s="14">
        <f>Local_AudioTour_Rate_PWYW</f>
        <v/>
      </c>
      <c r="G131" s="14">
        <f>Percentage_Locals_Init+(C131-Percentage_Locals_Init)*(1-EXP(-B131/Marketing_Saturation_Spend))</f>
        <v/>
      </c>
      <c r="H131" s="13">
        <f>Tourists_Base*G131/(1-G131)</f>
        <v/>
      </c>
      <c r="I131" s="13">
        <f>H131-Locals_Base</f>
        <v/>
      </c>
      <c r="J131" s="13">
        <f>Locals_Base*(1-(1-EXP(-B131/Marketing_Saturation_Spend)))*Local_AudioTour_Rate_Init+(H131-Locals_Base*(1-(1-EXP(-B131/Marketing_Saturation_Spend))))*F131</f>
        <v/>
      </c>
      <c r="K131" s="13">
        <f>AudioTourist_Base+J131</f>
        <v/>
      </c>
      <c r="L131" s="6">
        <f>MAX(0,ROUNDUP((K131-Device_Capacity)/Device_Block_Size,0))</f>
        <v/>
      </c>
      <c r="M131" s="6">
        <f>L131*Device_Block_Cost/Device_Amort_Days</f>
        <v/>
      </c>
      <c r="N131" s="17">
        <f>Fee_Keep*(Locals_Base*(1-(1-EXP(-B131/Marketing_Saturation_Spend)))*Local_AudioTour_Rate_Init*AudioTour_Price+(H131-Locals_Base*(1-(1-EXP(-B131/Marketing_Saturation_Spend))))*F131*E131-AudioLocal_Base*AudioTour_Price)</f>
        <v/>
      </c>
      <c r="O131" s="17">
        <f>(K131-Total_Daily_AudioTour)*Headset_Cost</f>
        <v/>
      </c>
      <c r="P131" s="17">
        <f>I131*D131+Locals_Base*(1-EXP(-B131/Marketing_Saturation_Spend))*F131*GiftShop_Spillover</f>
        <v/>
      </c>
      <c r="Q131" s="17">
        <f>N131-O131-M131+P131</f>
        <v/>
      </c>
      <c r="R131" s="17">
        <f>Q131*Campaign_Days-B131</f>
        <v/>
      </c>
    </row>
    <row r="132">
      <c r="A132" s="6" t="inlineStr">
        <is>
          <t>4. r2 c3</t>
        </is>
      </c>
      <c r="B132" s="17">
        <f>Marketing_Spend</f>
        <v/>
      </c>
      <c r="C132" s="14">
        <f>Sensitivity!$B$40</f>
        <v/>
      </c>
      <c r="D132" s="15">
        <f>Sensitivity!E$38</f>
        <v/>
      </c>
      <c r="E132" s="15">
        <f>Average_PWYW</f>
        <v/>
      </c>
      <c r="F132" s="14">
        <f>Local_AudioTour_Rate_PWYW</f>
        <v/>
      </c>
      <c r="G132" s="14">
        <f>Percentage_Locals_Init+(C132-Percentage_Locals_Init)*(1-EXP(-B132/Marketing_Saturation_Spend))</f>
        <v/>
      </c>
      <c r="H132" s="13">
        <f>Tourists_Base*G132/(1-G132)</f>
        <v/>
      </c>
      <c r="I132" s="13">
        <f>H132-Locals_Base</f>
        <v/>
      </c>
      <c r="J132" s="13">
        <f>Locals_Base*(1-(1-EXP(-B132/Marketing_Saturation_Spend)))*Local_AudioTour_Rate_Init+(H132-Locals_Base*(1-(1-EXP(-B132/Marketing_Saturation_Spend))))*F132</f>
        <v/>
      </c>
      <c r="K132" s="13">
        <f>AudioTourist_Base+J132</f>
        <v/>
      </c>
      <c r="L132" s="6">
        <f>MAX(0,ROUNDUP((K132-Device_Capacity)/Device_Block_Size,0))</f>
        <v/>
      </c>
      <c r="M132" s="6">
        <f>L132*Device_Block_Cost/Device_Amort_Days</f>
        <v/>
      </c>
      <c r="N132" s="17">
        <f>Fee_Keep*(Locals_Base*(1-(1-EXP(-B132/Marketing_Saturation_Spend)))*Local_AudioTour_Rate_Init*AudioTour_Price+(H132-Locals_Base*(1-(1-EXP(-B132/Marketing_Saturation_Spend))))*F132*E132-AudioLocal_Base*AudioTour_Price)</f>
        <v/>
      </c>
      <c r="O132" s="17">
        <f>(K132-Total_Daily_AudioTour)*Headset_Cost</f>
        <v/>
      </c>
      <c r="P132" s="17">
        <f>I132*D132+Locals_Base*(1-EXP(-B132/Marketing_Saturation_Spend))*F132*GiftShop_Spillover</f>
        <v/>
      </c>
      <c r="Q132" s="17">
        <f>N132-O132-M132+P132</f>
        <v/>
      </c>
      <c r="R132" s="17">
        <f>Q132*Campaign_Days-B132</f>
        <v/>
      </c>
    </row>
    <row r="133">
      <c r="A133" s="6" t="inlineStr">
        <is>
          <t>4. r2 c4</t>
        </is>
      </c>
      <c r="B133" s="17">
        <f>Marketing_Spend</f>
        <v/>
      </c>
      <c r="C133" s="14">
        <f>Sensitivity!$B$40</f>
        <v/>
      </c>
      <c r="D133" s="15">
        <f>Sensitivity!F$38</f>
        <v/>
      </c>
      <c r="E133" s="15">
        <f>Average_PWYW</f>
        <v/>
      </c>
      <c r="F133" s="14">
        <f>Local_AudioTour_Rate_PWYW</f>
        <v/>
      </c>
      <c r="G133" s="14">
        <f>Percentage_Locals_Init+(C133-Percentage_Locals_Init)*(1-EXP(-B133/Marketing_Saturation_Spend))</f>
        <v/>
      </c>
      <c r="H133" s="13">
        <f>Tourists_Base*G133/(1-G133)</f>
        <v/>
      </c>
      <c r="I133" s="13">
        <f>H133-Locals_Base</f>
        <v/>
      </c>
      <c r="J133" s="13">
        <f>Locals_Base*(1-(1-EXP(-B133/Marketing_Saturation_Spend)))*Local_AudioTour_Rate_Init+(H133-Locals_Base*(1-(1-EXP(-B133/Marketing_Saturation_Spend))))*F133</f>
        <v/>
      </c>
      <c r="K133" s="13">
        <f>AudioTourist_Base+J133</f>
        <v/>
      </c>
      <c r="L133" s="6">
        <f>MAX(0,ROUNDUP((K133-Device_Capacity)/Device_Block_Size,0))</f>
        <v/>
      </c>
      <c r="M133" s="6">
        <f>L133*Device_Block_Cost/Device_Amort_Days</f>
        <v/>
      </c>
      <c r="N133" s="17">
        <f>Fee_Keep*(Locals_Base*(1-(1-EXP(-B133/Marketing_Saturation_Spend)))*Local_AudioTour_Rate_Init*AudioTour_Price+(H133-Locals_Base*(1-(1-EXP(-B133/Marketing_Saturation_Spend))))*F133*E133-AudioLocal_Base*AudioTour_Price)</f>
        <v/>
      </c>
      <c r="O133" s="17">
        <f>(K133-Total_Daily_AudioTour)*Headset_Cost</f>
        <v/>
      </c>
      <c r="P133" s="17">
        <f>I133*D133+Locals_Base*(1-EXP(-B133/Marketing_Saturation_Spend))*F133*GiftShop_Spillover</f>
        <v/>
      </c>
      <c r="Q133" s="17">
        <f>N133-O133-M133+P133</f>
        <v/>
      </c>
      <c r="R133" s="17">
        <f>Q133*Campaign_Days-B133</f>
        <v/>
      </c>
    </row>
    <row r="134">
      <c r="A134" s="6" t="inlineStr">
        <is>
          <t>4. r2 c5</t>
        </is>
      </c>
      <c r="B134" s="17">
        <f>Marketing_Spend</f>
        <v/>
      </c>
      <c r="C134" s="14">
        <f>Sensitivity!$B$40</f>
        <v/>
      </c>
      <c r="D134" s="15">
        <f>Sensitivity!G$38</f>
        <v/>
      </c>
      <c r="E134" s="15">
        <f>Average_PWYW</f>
        <v/>
      </c>
      <c r="F134" s="14">
        <f>Local_AudioTour_Rate_PWYW</f>
        <v/>
      </c>
      <c r="G134" s="14">
        <f>Percentage_Locals_Init+(C134-Percentage_Locals_Init)*(1-EXP(-B134/Marketing_Saturation_Spend))</f>
        <v/>
      </c>
      <c r="H134" s="13">
        <f>Tourists_Base*G134/(1-G134)</f>
        <v/>
      </c>
      <c r="I134" s="13">
        <f>H134-Locals_Base</f>
        <v/>
      </c>
      <c r="J134" s="13">
        <f>Locals_Base*(1-(1-EXP(-B134/Marketing_Saturation_Spend)))*Local_AudioTour_Rate_Init+(H134-Locals_Base*(1-(1-EXP(-B134/Marketing_Saturation_Spend))))*F134</f>
        <v/>
      </c>
      <c r="K134" s="13">
        <f>AudioTourist_Base+J134</f>
        <v/>
      </c>
      <c r="L134" s="6">
        <f>MAX(0,ROUNDUP((K134-Device_Capacity)/Device_Block_Size,0))</f>
        <v/>
      </c>
      <c r="M134" s="6">
        <f>L134*Device_Block_Cost/Device_Amort_Days</f>
        <v/>
      </c>
      <c r="N134" s="17">
        <f>Fee_Keep*(Locals_Base*(1-(1-EXP(-B134/Marketing_Saturation_Spend)))*Local_AudioTour_Rate_Init*AudioTour_Price+(H134-Locals_Base*(1-(1-EXP(-B134/Marketing_Saturation_Spend))))*F134*E134-AudioLocal_Base*AudioTour_Price)</f>
        <v/>
      </c>
      <c r="O134" s="17">
        <f>(K134-Total_Daily_AudioTour)*Headset_Cost</f>
        <v/>
      </c>
      <c r="P134" s="17">
        <f>I134*D134+Locals_Base*(1-EXP(-B134/Marketing_Saturation_Spend))*F134*GiftShop_Spillover</f>
        <v/>
      </c>
      <c r="Q134" s="17">
        <f>N134-O134-M134+P134</f>
        <v/>
      </c>
      <c r="R134" s="17">
        <f>Q134*Campaign_Days-B134</f>
        <v/>
      </c>
    </row>
    <row r="135">
      <c r="A135" s="6" t="inlineStr">
        <is>
          <t>4. r2 c6</t>
        </is>
      </c>
      <c r="B135" s="17">
        <f>Marketing_Spend</f>
        <v/>
      </c>
      <c r="C135" s="14">
        <f>Sensitivity!$B$40</f>
        <v/>
      </c>
      <c r="D135" s="15">
        <f>Sensitivity!H$38</f>
        <v/>
      </c>
      <c r="E135" s="15">
        <f>Average_PWYW</f>
        <v/>
      </c>
      <c r="F135" s="14">
        <f>Local_AudioTour_Rate_PWYW</f>
        <v/>
      </c>
      <c r="G135" s="14">
        <f>Percentage_Locals_Init+(C135-Percentage_Locals_Init)*(1-EXP(-B135/Marketing_Saturation_Spend))</f>
        <v/>
      </c>
      <c r="H135" s="13">
        <f>Tourists_Base*G135/(1-G135)</f>
        <v/>
      </c>
      <c r="I135" s="13">
        <f>H135-Locals_Base</f>
        <v/>
      </c>
      <c r="J135" s="13">
        <f>Locals_Base*(1-(1-EXP(-B135/Marketing_Saturation_Spend)))*Local_AudioTour_Rate_Init+(H135-Locals_Base*(1-(1-EXP(-B135/Marketing_Saturation_Spend))))*F135</f>
        <v/>
      </c>
      <c r="K135" s="13">
        <f>AudioTourist_Base+J135</f>
        <v/>
      </c>
      <c r="L135" s="6">
        <f>MAX(0,ROUNDUP((K135-Device_Capacity)/Device_Block_Size,0))</f>
        <v/>
      </c>
      <c r="M135" s="6">
        <f>L135*Device_Block_Cost/Device_Amort_Days</f>
        <v/>
      </c>
      <c r="N135" s="17">
        <f>Fee_Keep*(Locals_Base*(1-(1-EXP(-B135/Marketing_Saturation_Spend)))*Local_AudioTour_Rate_Init*AudioTour_Price+(H135-Locals_Base*(1-(1-EXP(-B135/Marketing_Saturation_Spend))))*F135*E135-AudioLocal_Base*AudioTour_Price)</f>
        <v/>
      </c>
      <c r="O135" s="17">
        <f>(K135-Total_Daily_AudioTour)*Headset_Cost</f>
        <v/>
      </c>
      <c r="P135" s="17">
        <f>I135*D135+Locals_Base*(1-EXP(-B135/Marketing_Saturation_Spend))*F135*GiftShop_Spillover</f>
        <v/>
      </c>
      <c r="Q135" s="17">
        <f>N135-O135-M135+P135</f>
        <v/>
      </c>
      <c r="R135" s="17">
        <f>Q135*Campaign_Days-B135</f>
        <v/>
      </c>
    </row>
    <row r="136">
      <c r="A136" s="6" t="inlineStr">
        <is>
          <t>4. r2 c7</t>
        </is>
      </c>
      <c r="B136" s="17">
        <f>Marketing_Spend</f>
        <v/>
      </c>
      <c r="C136" s="14">
        <f>Sensitivity!$B$40</f>
        <v/>
      </c>
      <c r="D136" s="15">
        <f>Sensitivity!I$38</f>
        <v/>
      </c>
      <c r="E136" s="15">
        <f>Average_PWYW</f>
        <v/>
      </c>
      <c r="F136" s="14">
        <f>Local_AudioTour_Rate_PWYW</f>
        <v/>
      </c>
      <c r="G136" s="14">
        <f>Percentage_Locals_Init+(C136-Percentage_Locals_Init)*(1-EXP(-B136/Marketing_Saturation_Spend))</f>
        <v/>
      </c>
      <c r="H136" s="13">
        <f>Tourists_Base*G136/(1-G136)</f>
        <v/>
      </c>
      <c r="I136" s="13">
        <f>H136-Locals_Base</f>
        <v/>
      </c>
      <c r="J136" s="13">
        <f>Locals_Base*(1-(1-EXP(-B136/Marketing_Saturation_Spend)))*Local_AudioTour_Rate_Init+(H136-Locals_Base*(1-(1-EXP(-B136/Marketing_Saturation_Spend))))*F136</f>
        <v/>
      </c>
      <c r="K136" s="13">
        <f>AudioTourist_Base+J136</f>
        <v/>
      </c>
      <c r="L136" s="6">
        <f>MAX(0,ROUNDUP((K136-Device_Capacity)/Device_Block_Size,0))</f>
        <v/>
      </c>
      <c r="M136" s="6">
        <f>L136*Device_Block_Cost/Device_Amort_Days</f>
        <v/>
      </c>
      <c r="N136" s="17">
        <f>Fee_Keep*(Locals_Base*(1-(1-EXP(-B136/Marketing_Saturation_Spend)))*Local_AudioTour_Rate_Init*AudioTour_Price+(H136-Locals_Base*(1-(1-EXP(-B136/Marketing_Saturation_Spend))))*F136*E136-AudioLocal_Base*AudioTour_Price)</f>
        <v/>
      </c>
      <c r="O136" s="17">
        <f>(K136-Total_Daily_AudioTour)*Headset_Cost</f>
        <v/>
      </c>
      <c r="P136" s="17">
        <f>I136*D136+Locals_Base*(1-EXP(-B136/Marketing_Saturation_Spend))*F136*GiftShop_Spillover</f>
        <v/>
      </c>
      <c r="Q136" s="17">
        <f>N136-O136-M136+P136</f>
        <v/>
      </c>
      <c r="R136" s="17">
        <f>Q136*Campaign_Days-B136</f>
        <v/>
      </c>
    </row>
    <row r="137">
      <c r="A137" s="6" t="inlineStr">
        <is>
          <t>4. r3 c1</t>
        </is>
      </c>
      <c r="B137" s="17">
        <f>Marketing_Spend</f>
        <v/>
      </c>
      <c r="C137" s="14">
        <f>Sensitivity!$B$41</f>
        <v/>
      </c>
      <c r="D137" s="15">
        <f>Sensitivity!C$38</f>
        <v/>
      </c>
      <c r="E137" s="15">
        <f>Average_PWYW</f>
        <v/>
      </c>
      <c r="F137" s="14">
        <f>Local_AudioTour_Rate_PWYW</f>
        <v/>
      </c>
      <c r="G137" s="14">
        <f>Percentage_Locals_Init+(C137-Percentage_Locals_Init)*(1-EXP(-B137/Marketing_Saturation_Spend))</f>
        <v/>
      </c>
      <c r="H137" s="13">
        <f>Tourists_Base*G137/(1-G137)</f>
        <v/>
      </c>
      <c r="I137" s="13">
        <f>H137-Locals_Base</f>
        <v/>
      </c>
      <c r="J137" s="13">
        <f>Locals_Base*(1-(1-EXP(-B137/Marketing_Saturation_Spend)))*Local_AudioTour_Rate_Init+(H137-Locals_Base*(1-(1-EXP(-B137/Marketing_Saturation_Spend))))*F137</f>
        <v/>
      </c>
      <c r="K137" s="13">
        <f>AudioTourist_Base+J137</f>
        <v/>
      </c>
      <c r="L137" s="6">
        <f>MAX(0,ROUNDUP((K137-Device_Capacity)/Device_Block_Size,0))</f>
        <v/>
      </c>
      <c r="M137" s="6">
        <f>L137*Device_Block_Cost/Device_Amort_Days</f>
        <v/>
      </c>
      <c r="N137" s="17">
        <f>Fee_Keep*(Locals_Base*(1-(1-EXP(-B137/Marketing_Saturation_Spend)))*Local_AudioTour_Rate_Init*AudioTour_Price+(H137-Locals_Base*(1-(1-EXP(-B137/Marketing_Saturation_Spend))))*F137*E137-AudioLocal_Base*AudioTour_Price)</f>
        <v/>
      </c>
      <c r="O137" s="17">
        <f>(K137-Total_Daily_AudioTour)*Headset_Cost</f>
        <v/>
      </c>
      <c r="P137" s="17">
        <f>I137*D137+Locals_Base*(1-EXP(-B137/Marketing_Saturation_Spend))*F137*GiftShop_Spillover</f>
        <v/>
      </c>
      <c r="Q137" s="17">
        <f>N137-O137-M137+P137</f>
        <v/>
      </c>
      <c r="R137" s="17">
        <f>Q137*Campaign_Days-B137</f>
        <v/>
      </c>
    </row>
    <row r="138">
      <c r="A138" s="6" t="inlineStr">
        <is>
          <t>4. r3 c2</t>
        </is>
      </c>
      <c r="B138" s="17">
        <f>Marketing_Spend</f>
        <v/>
      </c>
      <c r="C138" s="14">
        <f>Sensitivity!$B$41</f>
        <v/>
      </c>
      <c r="D138" s="15">
        <f>Sensitivity!D$38</f>
        <v/>
      </c>
      <c r="E138" s="15">
        <f>Average_PWYW</f>
        <v/>
      </c>
      <c r="F138" s="14">
        <f>Local_AudioTour_Rate_PWYW</f>
        <v/>
      </c>
      <c r="G138" s="14">
        <f>Percentage_Locals_Init+(C138-Percentage_Locals_Init)*(1-EXP(-B138/Marketing_Saturation_Spend))</f>
        <v/>
      </c>
      <c r="H138" s="13">
        <f>Tourists_Base*G138/(1-G138)</f>
        <v/>
      </c>
      <c r="I138" s="13">
        <f>H138-Locals_Base</f>
        <v/>
      </c>
      <c r="J138" s="13">
        <f>Locals_Base*(1-(1-EXP(-B138/Marketing_Saturation_Spend)))*Local_AudioTour_Rate_Init+(H138-Locals_Base*(1-(1-EXP(-B138/Marketing_Saturation_Spend))))*F138</f>
        <v/>
      </c>
      <c r="K138" s="13">
        <f>AudioTourist_Base+J138</f>
        <v/>
      </c>
      <c r="L138" s="6">
        <f>MAX(0,ROUNDUP((K138-Device_Capacity)/Device_Block_Size,0))</f>
        <v/>
      </c>
      <c r="M138" s="6">
        <f>L138*Device_Block_Cost/Device_Amort_Days</f>
        <v/>
      </c>
      <c r="N138" s="17">
        <f>Fee_Keep*(Locals_Base*(1-(1-EXP(-B138/Marketing_Saturation_Spend)))*Local_AudioTour_Rate_Init*AudioTour_Price+(H138-Locals_Base*(1-(1-EXP(-B138/Marketing_Saturation_Spend))))*F138*E138-AudioLocal_Base*AudioTour_Price)</f>
        <v/>
      </c>
      <c r="O138" s="17">
        <f>(K138-Total_Daily_AudioTour)*Headset_Cost</f>
        <v/>
      </c>
      <c r="P138" s="17">
        <f>I138*D138+Locals_Base*(1-EXP(-B138/Marketing_Saturation_Spend))*F138*GiftShop_Spillover</f>
        <v/>
      </c>
      <c r="Q138" s="17">
        <f>N138-O138-M138+P138</f>
        <v/>
      </c>
      <c r="R138" s="17">
        <f>Q138*Campaign_Days-B138</f>
        <v/>
      </c>
    </row>
    <row r="139">
      <c r="A139" s="6" t="inlineStr">
        <is>
          <t>4. r3 c3</t>
        </is>
      </c>
      <c r="B139" s="17">
        <f>Marketing_Spend</f>
        <v/>
      </c>
      <c r="C139" s="14">
        <f>Sensitivity!$B$41</f>
        <v/>
      </c>
      <c r="D139" s="15">
        <f>Sensitivity!E$38</f>
        <v/>
      </c>
      <c r="E139" s="15">
        <f>Average_PWYW</f>
        <v/>
      </c>
      <c r="F139" s="14">
        <f>Local_AudioTour_Rate_PWYW</f>
        <v/>
      </c>
      <c r="G139" s="14">
        <f>Percentage_Locals_Init+(C139-Percentage_Locals_Init)*(1-EXP(-B139/Marketing_Saturation_Spend))</f>
        <v/>
      </c>
      <c r="H139" s="13">
        <f>Tourists_Base*G139/(1-G139)</f>
        <v/>
      </c>
      <c r="I139" s="13">
        <f>H139-Locals_Base</f>
        <v/>
      </c>
      <c r="J139" s="13">
        <f>Locals_Base*(1-(1-EXP(-B139/Marketing_Saturation_Spend)))*Local_AudioTour_Rate_Init+(H139-Locals_Base*(1-(1-EXP(-B139/Marketing_Saturation_Spend))))*F139</f>
        <v/>
      </c>
      <c r="K139" s="13">
        <f>AudioTourist_Base+J139</f>
        <v/>
      </c>
      <c r="L139" s="6">
        <f>MAX(0,ROUNDUP((K139-Device_Capacity)/Device_Block_Size,0))</f>
        <v/>
      </c>
      <c r="M139" s="6">
        <f>L139*Device_Block_Cost/Device_Amort_Days</f>
        <v/>
      </c>
      <c r="N139" s="17">
        <f>Fee_Keep*(Locals_Base*(1-(1-EXP(-B139/Marketing_Saturation_Spend)))*Local_AudioTour_Rate_Init*AudioTour_Price+(H139-Locals_Base*(1-(1-EXP(-B139/Marketing_Saturation_Spend))))*F139*E139-AudioLocal_Base*AudioTour_Price)</f>
        <v/>
      </c>
      <c r="O139" s="17">
        <f>(K139-Total_Daily_AudioTour)*Headset_Cost</f>
        <v/>
      </c>
      <c r="P139" s="17">
        <f>I139*D139+Locals_Base*(1-EXP(-B139/Marketing_Saturation_Spend))*F139*GiftShop_Spillover</f>
        <v/>
      </c>
      <c r="Q139" s="17">
        <f>N139-O139-M139+P139</f>
        <v/>
      </c>
      <c r="R139" s="17">
        <f>Q139*Campaign_Days-B139</f>
        <v/>
      </c>
    </row>
    <row r="140">
      <c r="A140" s="6" t="inlineStr">
        <is>
          <t>4. r3 c4</t>
        </is>
      </c>
      <c r="B140" s="17">
        <f>Marketing_Spend</f>
        <v/>
      </c>
      <c r="C140" s="14">
        <f>Sensitivity!$B$41</f>
        <v/>
      </c>
      <c r="D140" s="15">
        <f>Sensitivity!F$38</f>
        <v/>
      </c>
      <c r="E140" s="15">
        <f>Average_PWYW</f>
        <v/>
      </c>
      <c r="F140" s="14">
        <f>Local_AudioTour_Rate_PWYW</f>
        <v/>
      </c>
      <c r="G140" s="14">
        <f>Percentage_Locals_Init+(C140-Percentage_Locals_Init)*(1-EXP(-B140/Marketing_Saturation_Spend))</f>
        <v/>
      </c>
      <c r="H140" s="13">
        <f>Tourists_Base*G140/(1-G140)</f>
        <v/>
      </c>
      <c r="I140" s="13">
        <f>H140-Locals_Base</f>
        <v/>
      </c>
      <c r="J140" s="13">
        <f>Locals_Base*(1-(1-EXP(-B140/Marketing_Saturation_Spend)))*Local_AudioTour_Rate_Init+(H140-Locals_Base*(1-(1-EXP(-B140/Marketing_Saturation_Spend))))*F140</f>
        <v/>
      </c>
      <c r="K140" s="13">
        <f>AudioTourist_Base+J140</f>
        <v/>
      </c>
      <c r="L140" s="6">
        <f>MAX(0,ROUNDUP((K140-Device_Capacity)/Device_Block_Size,0))</f>
        <v/>
      </c>
      <c r="M140" s="6">
        <f>L140*Device_Block_Cost/Device_Amort_Days</f>
        <v/>
      </c>
      <c r="N140" s="17">
        <f>Fee_Keep*(Locals_Base*(1-(1-EXP(-B140/Marketing_Saturation_Spend)))*Local_AudioTour_Rate_Init*AudioTour_Price+(H140-Locals_Base*(1-(1-EXP(-B140/Marketing_Saturation_Spend))))*F140*E140-AudioLocal_Base*AudioTour_Price)</f>
        <v/>
      </c>
      <c r="O140" s="17">
        <f>(K140-Total_Daily_AudioTour)*Headset_Cost</f>
        <v/>
      </c>
      <c r="P140" s="17">
        <f>I140*D140+Locals_Base*(1-EXP(-B140/Marketing_Saturation_Spend))*F140*GiftShop_Spillover</f>
        <v/>
      </c>
      <c r="Q140" s="17">
        <f>N140-O140-M140+P140</f>
        <v/>
      </c>
      <c r="R140" s="17">
        <f>Q140*Campaign_Days-B140</f>
        <v/>
      </c>
    </row>
    <row r="141">
      <c r="A141" s="6" t="inlineStr">
        <is>
          <t>4. r3 c5</t>
        </is>
      </c>
      <c r="B141" s="17">
        <f>Marketing_Spend</f>
        <v/>
      </c>
      <c r="C141" s="14">
        <f>Sensitivity!$B$41</f>
        <v/>
      </c>
      <c r="D141" s="15">
        <f>Sensitivity!G$38</f>
        <v/>
      </c>
      <c r="E141" s="15">
        <f>Average_PWYW</f>
        <v/>
      </c>
      <c r="F141" s="14">
        <f>Local_AudioTour_Rate_PWYW</f>
        <v/>
      </c>
      <c r="G141" s="14">
        <f>Percentage_Locals_Init+(C141-Percentage_Locals_Init)*(1-EXP(-B141/Marketing_Saturation_Spend))</f>
        <v/>
      </c>
      <c r="H141" s="13">
        <f>Tourists_Base*G141/(1-G141)</f>
        <v/>
      </c>
      <c r="I141" s="13">
        <f>H141-Locals_Base</f>
        <v/>
      </c>
      <c r="J141" s="13">
        <f>Locals_Base*(1-(1-EXP(-B141/Marketing_Saturation_Spend)))*Local_AudioTour_Rate_Init+(H141-Locals_Base*(1-(1-EXP(-B141/Marketing_Saturation_Spend))))*F141</f>
        <v/>
      </c>
      <c r="K141" s="13">
        <f>AudioTourist_Base+J141</f>
        <v/>
      </c>
      <c r="L141" s="6">
        <f>MAX(0,ROUNDUP((K141-Device_Capacity)/Device_Block_Size,0))</f>
        <v/>
      </c>
      <c r="M141" s="6">
        <f>L141*Device_Block_Cost/Device_Amort_Days</f>
        <v/>
      </c>
      <c r="N141" s="17">
        <f>Fee_Keep*(Locals_Base*(1-(1-EXP(-B141/Marketing_Saturation_Spend)))*Local_AudioTour_Rate_Init*AudioTour_Price+(H141-Locals_Base*(1-(1-EXP(-B141/Marketing_Saturation_Spend))))*F141*E141-AudioLocal_Base*AudioTour_Price)</f>
        <v/>
      </c>
      <c r="O141" s="17">
        <f>(K141-Total_Daily_AudioTour)*Headset_Cost</f>
        <v/>
      </c>
      <c r="P141" s="17">
        <f>I141*D141+Locals_Base*(1-EXP(-B141/Marketing_Saturation_Spend))*F141*GiftShop_Spillover</f>
        <v/>
      </c>
      <c r="Q141" s="17">
        <f>N141-O141-M141+P141</f>
        <v/>
      </c>
      <c r="R141" s="17">
        <f>Q141*Campaign_Days-B141</f>
        <v/>
      </c>
    </row>
    <row r="142">
      <c r="A142" s="6" t="inlineStr">
        <is>
          <t>4. r3 c6</t>
        </is>
      </c>
      <c r="B142" s="17">
        <f>Marketing_Spend</f>
        <v/>
      </c>
      <c r="C142" s="14">
        <f>Sensitivity!$B$41</f>
        <v/>
      </c>
      <c r="D142" s="15">
        <f>Sensitivity!H$38</f>
        <v/>
      </c>
      <c r="E142" s="15">
        <f>Average_PWYW</f>
        <v/>
      </c>
      <c r="F142" s="14">
        <f>Local_AudioTour_Rate_PWYW</f>
        <v/>
      </c>
      <c r="G142" s="14">
        <f>Percentage_Locals_Init+(C142-Percentage_Locals_Init)*(1-EXP(-B142/Marketing_Saturation_Spend))</f>
        <v/>
      </c>
      <c r="H142" s="13">
        <f>Tourists_Base*G142/(1-G142)</f>
        <v/>
      </c>
      <c r="I142" s="13">
        <f>H142-Locals_Base</f>
        <v/>
      </c>
      <c r="J142" s="13">
        <f>Locals_Base*(1-(1-EXP(-B142/Marketing_Saturation_Spend)))*Local_AudioTour_Rate_Init+(H142-Locals_Base*(1-(1-EXP(-B142/Marketing_Saturation_Spend))))*F142</f>
        <v/>
      </c>
      <c r="K142" s="13">
        <f>AudioTourist_Base+J142</f>
        <v/>
      </c>
      <c r="L142" s="6">
        <f>MAX(0,ROUNDUP((K142-Device_Capacity)/Device_Block_Size,0))</f>
        <v/>
      </c>
      <c r="M142" s="6">
        <f>L142*Device_Block_Cost/Device_Amort_Days</f>
        <v/>
      </c>
      <c r="N142" s="17">
        <f>Fee_Keep*(Locals_Base*(1-(1-EXP(-B142/Marketing_Saturation_Spend)))*Local_AudioTour_Rate_Init*AudioTour_Price+(H142-Locals_Base*(1-(1-EXP(-B142/Marketing_Saturation_Spend))))*F142*E142-AudioLocal_Base*AudioTour_Price)</f>
        <v/>
      </c>
      <c r="O142" s="17">
        <f>(K142-Total_Daily_AudioTour)*Headset_Cost</f>
        <v/>
      </c>
      <c r="P142" s="17">
        <f>I142*D142+Locals_Base*(1-EXP(-B142/Marketing_Saturation_Spend))*F142*GiftShop_Spillover</f>
        <v/>
      </c>
      <c r="Q142" s="17">
        <f>N142-O142-M142+P142</f>
        <v/>
      </c>
      <c r="R142" s="17">
        <f>Q142*Campaign_Days-B142</f>
        <v/>
      </c>
    </row>
    <row r="143">
      <c r="A143" s="6" t="inlineStr">
        <is>
          <t>4. r3 c7</t>
        </is>
      </c>
      <c r="B143" s="17">
        <f>Marketing_Spend</f>
        <v/>
      </c>
      <c r="C143" s="14">
        <f>Sensitivity!$B$41</f>
        <v/>
      </c>
      <c r="D143" s="15">
        <f>Sensitivity!I$38</f>
        <v/>
      </c>
      <c r="E143" s="15">
        <f>Average_PWYW</f>
        <v/>
      </c>
      <c r="F143" s="14">
        <f>Local_AudioTour_Rate_PWYW</f>
        <v/>
      </c>
      <c r="G143" s="14">
        <f>Percentage_Locals_Init+(C143-Percentage_Locals_Init)*(1-EXP(-B143/Marketing_Saturation_Spend))</f>
        <v/>
      </c>
      <c r="H143" s="13">
        <f>Tourists_Base*G143/(1-G143)</f>
        <v/>
      </c>
      <c r="I143" s="13">
        <f>H143-Locals_Base</f>
        <v/>
      </c>
      <c r="J143" s="13">
        <f>Locals_Base*(1-(1-EXP(-B143/Marketing_Saturation_Spend)))*Local_AudioTour_Rate_Init+(H143-Locals_Base*(1-(1-EXP(-B143/Marketing_Saturation_Spend))))*F143</f>
        <v/>
      </c>
      <c r="K143" s="13">
        <f>AudioTourist_Base+J143</f>
        <v/>
      </c>
      <c r="L143" s="6">
        <f>MAX(0,ROUNDUP((K143-Device_Capacity)/Device_Block_Size,0))</f>
        <v/>
      </c>
      <c r="M143" s="6">
        <f>L143*Device_Block_Cost/Device_Amort_Days</f>
        <v/>
      </c>
      <c r="N143" s="17">
        <f>Fee_Keep*(Locals_Base*(1-(1-EXP(-B143/Marketing_Saturation_Spend)))*Local_AudioTour_Rate_Init*AudioTour_Price+(H143-Locals_Base*(1-(1-EXP(-B143/Marketing_Saturation_Spend))))*F143*E143-AudioLocal_Base*AudioTour_Price)</f>
        <v/>
      </c>
      <c r="O143" s="17">
        <f>(K143-Total_Daily_AudioTour)*Headset_Cost</f>
        <v/>
      </c>
      <c r="P143" s="17">
        <f>I143*D143+Locals_Base*(1-EXP(-B143/Marketing_Saturation_Spend))*F143*GiftShop_Spillover</f>
        <v/>
      </c>
      <c r="Q143" s="17">
        <f>N143-O143-M143+P143</f>
        <v/>
      </c>
      <c r="R143" s="17">
        <f>Q143*Campaign_Days-B143</f>
        <v/>
      </c>
    </row>
    <row r="144">
      <c r="A144" s="6" t="inlineStr">
        <is>
          <t>4. r4 c1</t>
        </is>
      </c>
      <c r="B144" s="17">
        <f>Marketing_Spend</f>
        <v/>
      </c>
      <c r="C144" s="14">
        <f>Sensitivity!$B$42</f>
        <v/>
      </c>
      <c r="D144" s="15">
        <f>Sensitivity!C$38</f>
        <v/>
      </c>
      <c r="E144" s="15">
        <f>Average_PWYW</f>
        <v/>
      </c>
      <c r="F144" s="14">
        <f>Local_AudioTour_Rate_PWYW</f>
        <v/>
      </c>
      <c r="G144" s="14">
        <f>Percentage_Locals_Init+(C144-Percentage_Locals_Init)*(1-EXP(-B144/Marketing_Saturation_Spend))</f>
        <v/>
      </c>
      <c r="H144" s="13">
        <f>Tourists_Base*G144/(1-G144)</f>
        <v/>
      </c>
      <c r="I144" s="13">
        <f>H144-Locals_Base</f>
        <v/>
      </c>
      <c r="J144" s="13">
        <f>Locals_Base*(1-(1-EXP(-B144/Marketing_Saturation_Spend)))*Local_AudioTour_Rate_Init+(H144-Locals_Base*(1-(1-EXP(-B144/Marketing_Saturation_Spend))))*F144</f>
        <v/>
      </c>
      <c r="K144" s="13">
        <f>AudioTourist_Base+J144</f>
        <v/>
      </c>
      <c r="L144" s="6">
        <f>MAX(0,ROUNDUP((K144-Device_Capacity)/Device_Block_Size,0))</f>
        <v/>
      </c>
      <c r="M144" s="6">
        <f>L144*Device_Block_Cost/Device_Amort_Days</f>
        <v/>
      </c>
      <c r="N144" s="17">
        <f>Fee_Keep*(Locals_Base*(1-(1-EXP(-B144/Marketing_Saturation_Spend)))*Local_AudioTour_Rate_Init*AudioTour_Price+(H144-Locals_Base*(1-(1-EXP(-B144/Marketing_Saturation_Spend))))*F144*E144-AudioLocal_Base*AudioTour_Price)</f>
        <v/>
      </c>
      <c r="O144" s="17">
        <f>(K144-Total_Daily_AudioTour)*Headset_Cost</f>
        <v/>
      </c>
      <c r="P144" s="17">
        <f>I144*D144+Locals_Base*(1-EXP(-B144/Marketing_Saturation_Spend))*F144*GiftShop_Spillover</f>
        <v/>
      </c>
      <c r="Q144" s="17">
        <f>N144-O144-M144+P144</f>
        <v/>
      </c>
      <c r="R144" s="17">
        <f>Q144*Campaign_Days-B144</f>
        <v/>
      </c>
    </row>
    <row r="145">
      <c r="A145" s="6" t="inlineStr">
        <is>
          <t>4. r4 c2</t>
        </is>
      </c>
      <c r="B145" s="17">
        <f>Marketing_Spend</f>
        <v/>
      </c>
      <c r="C145" s="14">
        <f>Sensitivity!$B$42</f>
        <v/>
      </c>
      <c r="D145" s="15">
        <f>Sensitivity!D$38</f>
        <v/>
      </c>
      <c r="E145" s="15">
        <f>Average_PWYW</f>
        <v/>
      </c>
      <c r="F145" s="14">
        <f>Local_AudioTour_Rate_PWYW</f>
        <v/>
      </c>
      <c r="G145" s="14">
        <f>Percentage_Locals_Init+(C145-Percentage_Locals_Init)*(1-EXP(-B145/Marketing_Saturation_Spend))</f>
        <v/>
      </c>
      <c r="H145" s="13">
        <f>Tourists_Base*G145/(1-G145)</f>
        <v/>
      </c>
      <c r="I145" s="13">
        <f>H145-Locals_Base</f>
        <v/>
      </c>
      <c r="J145" s="13">
        <f>Locals_Base*(1-(1-EXP(-B145/Marketing_Saturation_Spend)))*Local_AudioTour_Rate_Init+(H145-Locals_Base*(1-(1-EXP(-B145/Marketing_Saturation_Spend))))*F145</f>
        <v/>
      </c>
      <c r="K145" s="13">
        <f>AudioTourist_Base+J145</f>
        <v/>
      </c>
      <c r="L145" s="6">
        <f>MAX(0,ROUNDUP((K145-Device_Capacity)/Device_Block_Size,0))</f>
        <v/>
      </c>
      <c r="M145" s="6">
        <f>L145*Device_Block_Cost/Device_Amort_Days</f>
        <v/>
      </c>
      <c r="N145" s="17">
        <f>Fee_Keep*(Locals_Base*(1-(1-EXP(-B145/Marketing_Saturation_Spend)))*Local_AudioTour_Rate_Init*AudioTour_Price+(H145-Locals_Base*(1-(1-EXP(-B145/Marketing_Saturation_Spend))))*F145*E145-AudioLocal_Base*AudioTour_Price)</f>
        <v/>
      </c>
      <c r="O145" s="17">
        <f>(K145-Total_Daily_AudioTour)*Headset_Cost</f>
        <v/>
      </c>
      <c r="P145" s="17">
        <f>I145*D145+Locals_Base*(1-EXP(-B145/Marketing_Saturation_Spend))*F145*GiftShop_Spillover</f>
        <v/>
      </c>
      <c r="Q145" s="17">
        <f>N145-O145-M145+P145</f>
        <v/>
      </c>
      <c r="R145" s="17">
        <f>Q145*Campaign_Days-B145</f>
        <v/>
      </c>
    </row>
    <row r="146">
      <c r="A146" s="6" t="inlineStr">
        <is>
          <t>4. r4 c3</t>
        </is>
      </c>
      <c r="B146" s="17">
        <f>Marketing_Spend</f>
        <v/>
      </c>
      <c r="C146" s="14">
        <f>Sensitivity!$B$42</f>
        <v/>
      </c>
      <c r="D146" s="15">
        <f>Sensitivity!E$38</f>
        <v/>
      </c>
      <c r="E146" s="15">
        <f>Average_PWYW</f>
        <v/>
      </c>
      <c r="F146" s="14">
        <f>Local_AudioTour_Rate_PWYW</f>
        <v/>
      </c>
      <c r="G146" s="14">
        <f>Percentage_Locals_Init+(C146-Percentage_Locals_Init)*(1-EXP(-B146/Marketing_Saturation_Spend))</f>
        <v/>
      </c>
      <c r="H146" s="13">
        <f>Tourists_Base*G146/(1-G146)</f>
        <v/>
      </c>
      <c r="I146" s="13">
        <f>H146-Locals_Base</f>
        <v/>
      </c>
      <c r="J146" s="13">
        <f>Locals_Base*(1-(1-EXP(-B146/Marketing_Saturation_Spend)))*Local_AudioTour_Rate_Init+(H146-Locals_Base*(1-(1-EXP(-B146/Marketing_Saturation_Spend))))*F146</f>
        <v/>
      </c>
      <c r="K146" s="13">
        <f>AudioTourist_Base+J146</f>
        <v/>
      </c>
      <c r="L146" s="6">
        <f>MAX(0,ROUNDUP((K146-Device_Capacity)/Device_Block_Size,0))</f>
        <v/>
      </c>
      <c r="M146" s="6">
        <f>L146*Device_Block_Cost/Device_Amort_Days</f>
        <v/>
      </c>
      <c r="N146" s="17">
        <f>Fee_Keep*(Locals_Base*(1-(1-EXP(-B146/Marketing_Saturation_Spend)))*Local_AudioTour_Rate_Init*AudioTour_Price+(H146-Locals_Base*(1-(1-EXP(-B146/Marketing_Saturation_Spend))))*F146*E146-AudioLocal_Base*AudioTour_Price)</f>
        <v/>
      </c>
      <c r="O146" s="17">
        <f>(K146-Total_Daily_AudioTour)*Headset_Cost</f>
        <v/>
      </c>
      <c r="P146" s="17">
        <f>I146*D146+Locals_Base*(1-EXP(-B146/Marketing_Saturation_Spend))*F146*GiftShop_Spillover</f>
        <v/>
      </c>
      <c r="Q146" s="17">
        <f>N146-O146-M146+P146</f>
        <v/>
      </c>
      <c r="R146" s="17">
        <f>Q146*Campaign_Days-B146</f>
        <v/>
      </c>
    </row>
    <row r="147">
      <c r="A147" s="6" t="inlineStr">
        <is>
          <t>4. r4 c4</t>
        </is>
      </c>
      <c r="B147" s="17">
        <f>Marketing_Spend</f>
        <v/>
      </c>
      <c r="C147" s="14">
        <f>Sensitivity!$B$42</f>
        <v/>
      </c>
      <c r="D147" s="15">
        <f>Sensitivity!F$38</f>
        <v/>
      </c>
      <c r="E147" s="15">
        <f>Average_PWYW</f>
        <v/>
      </c>
      <c r="F147" s="14">
        <f>Local_AudioTour_Rate_PWYW</f>
        <v/>
      </c>
      <c r="G147" s="14">
        <f>Percentage_Locals_Init+(C147-Percentage_Locals_Init)*(1-EXP(-B147/Marketing_Saturation_Spend))</f>
        <v/>
      </c>
      <c r="H147" s="13">
        <f>Tourists_Base*G147/(1-G147)</f>
        <v/>
      </c>
      <c r="I147" s="13">
        <f>H147-Locals_Base</f>
        <v/>
      </c>
      <c r="J147" s="13">
        <f>Locals_Base*(1-(1-EXP(-B147/Marketing_Saturation_Spend)))*Local_AudioTour_Rate_Init+(H147-Locals_Base*(1-(1-EXP(-B147/Marketing_Saturation_Spend))))*F147</f>
        <v/>
      </c>
      <c r="K147" s="13">
        <f>AudioTourist_Base+J147</f>
        <v/>
      </c>
      <c r="L147" s="6">
        <f>MAX(0,ROUNDUP((K147-Device_Capacity)/Device_Block_Size,0))</f>
        <v/>
      </c>
      <c r="M147" s="6">
        <f>L147*Device_Block_Cost/Device_Amort_Days</f>
        <v/>
      </c>
      <c r="N147" s="17">
        <f>Fee_Keep*(Locals_Base*(1-(1-EXP(-B147/Marketing_Saturation_Spend)))*Local_AudioTour_Rate_Init*AudioTour_Price+(H147-Locals_Base*(1-(1-EXP(-B147/Marketing_Saturation_Spend))))*F147*E147-AudioLocal_Base*AudioTour_Price)</f>
        <v/>
      </c>
      <c r="O147" s="17">
        <f>(K147-Total_Daily_AudioTour)*Headset_Cost</f>
        <v/>
      </c>
      <c r="P147" s="17">
        <f>I147*D147+Locals_Base*(1-EXP(-B147/Marketing_Saturation_Spend))*F147*GiftShop_Spillover</f>
        <v/>
      </c>
      <c r="Q147" s="17">
        <f>N147-O147-M147+P147</f>
        <v/>
      </c>
      <c r="R147" s="17">
        <f>Q147*Campaign_Days-B147</f>
        <v/>
      </c>
    </row>
    <row r="148">
      <c r="A148" s="6" t="inlineStr">
        <is>
          <t>4. r4 c5</t>
        </is>
      </c>
      <c r="B148" s="17">
        <f>Marketing_Spend</f>
        <v/>
      </c>
      <c r="C148" s="14">
        <f>Sensitivity!$B$42</f>
        <v/>
      </c>
      <c r="D148" s="15">
        <f>Sensitivity!G$38</f>
        <v/>
      </c>
      <c r="E148" s="15">
        <f>Average_PWYW</f>
        <v/>
      </c>
      <c r="F148" s="14">
        <f>Local_AudioTour_Rate_PWYW</f>
        <v/>
      </c>
      <c r="G148" s="14">
        <f>Percentage_Locals_Init+(C148-Percentage_Locals_Init)*(1-EXP(-B148/Marketing_Saturation_Spend))</f>
        <v/>
      </c>
      <c r="H148" s="13">
        <f>Tourists_Base*G148/(1-G148)</f>
        <v/>
      </c>
      <c r="I148" s="13">
        <f>H148-Locals_Base</f>
        <v/>
      </c>
      <c r="J148" s="13">
        <f>Locals_Base*(1-(1-EXP(-B148/Marketing_Saturation_Spend)))*Local_AudioTour_Rate_Init+(H148-Locals_Base*(1-(1-EXP(-B148/Marketing_Saturation_Spend))))*F148</f>
        <v/>
      </c>
      <c r="K148" s="13">
        <f>AudioTourist_Base+J148</f>
        <v/>
      </c>
      <c r="L148" s="6">
        <f>MAX(0,ROUNDUP((K148-Device_Capacity)/Device_Block_Size,0))</f>
        <v/>
      </c>
      <c r="M148" s="6">
        <f>L148*Device_Block_Cost/Device_Amort_Days</f>
        <v/>
      </c>
      <c r="N148" s="17">
        <f>Fee_Keep*(Locals_Base*(1-(1-EXP(-B148/Marketing_Saturation_Spend)))*Local_AudioTour_Rate_Init*AudioTour_Price+(H148-Locals_Base*(1-(1-EXP(-B148/Marketing_Saturation_Spend))))*F148*E148-AudioLocal_Base*AudioTour_Price)</f>
        <v/>
      </c>
      <c r="O148" s="17">
        <f>(K148-Total_Daily_AudioTour)*Headset_Cost</f>
        <v/>
      </c>
      <c r="P148" s="17">
        <f>I148*D148+Locals_Base*(1-EXP(-B148/Marketing_Saturation_Spend))*F148*GiftShop_Spillover</f>
        <v/>
      </c>
      <c r="Q148" s="17">
        <f>N148-O148-M148+P148</f>
        <v/>
      </c>
      <c r="R148" s="17">
        <f>Q148*Campaign_Days-B148</f>
        <v/>
      </c>
    </row>
    <row r="149">
      <c r="A149" s="6" t="inlineStr">
        <is>
          <t>4. r4 c6</t>
        </is>
      </c>
      <c r="B149" s="17">
        <f>Marketing_Spend</f>
        <v/>
      </c>
      <c r="C149" s="14">
        <f>Sensitivity!$B$42</f>
        <v/>
      </c>
      <c r="D149" s="15">
        <f>Sensitivity!H$38</f>
        <v/>
      </c>
      <c r="E149" s="15">
        <f>Average_PWYW</f>
        <v/>
      </c>
      <c r="F149" s="14">
        <f>Local_AudioTour_Rate_PWYW</f>
        <v/>
      </c>
      <c r="G149" s="14">
        <f>Percentage_Locals_Init+(C149-Percentage_Locals_Init)*(1-EXP(-B149/Marketing_Saturation_Spend))</f>
        <v/>
      </c>
      <c r="H149" s="13">
        <f>Tourists_Base*G149/(1-G149)</f>
        <v/>
      </c>
      <c r="I149" s="13">
        <f>H149-Locals_Base</f>
        <v/>
      </c>
      <c r="J149" s="13">
        <f>Locals_Base*(1-(1-EXP(-B149/Marketing_Saturation_Spend)))*Local_AudioTour_Rate_Init+(H149-Locals_Base*(1-(1-EXP(-B149/Marketing_Saturation_Spend))))*F149</f>
        <v/>
      </c>
      <c r="K149" s="13">
        <f>AudioTourist_Base+J149</f>
        <v/>
      </c>
      <c r="L149" s="6">
        <f>MAX(0,ROUNDUP((K149-Device_Capacity)/Device_Block_Size,0))</f>
        <v/>
      </c>
      <c r="M149" s="6">
        <f>L149*Device_Block_Cost/Device_Amort_Days</f>
        <v/>
      </c>
      <c r="N149" s="17">
        <f>Fee_Keep*(Locals_Base*(1-(1-EXP(-B149/Marketing_Saturation_Spend)))*Local_AudioTour_Rate_Init*AudioTour_Price+(H149-Locals_Base*(1-(1-EXP(-B149/Marketing_Saturation_Spend))))*F149*E149-AudioLocal_Base*AudioTour_Price)</f>
        <v/>
      </c>
      <c r="O149" s="17">
        <f>(K149-Total_Daily_AudioTour)*Headset_Cost</f>
        <v/>
      </c>
      <c r="P149" s="17">
        <f>I149*D149+Locals_Base*(1-EXP(-B149/Marketing_Saturation_Spend))*F149*GiftShop_Spillover</f>
        <v/>
      </c>
      <c r="Q149" s="17">
        <f>N149-O149-M149+P149</f>
        <v/>
      </c>
      <c r="R149" s="17">
        <f>Q149*Campaign_Days-B149</f>
        <v/>
      </c>
    </row>
    <row r="150">
      <c r="A150" s="6" t="inlineStr">
        <is>
          <t>4. r4 c7</t>
        </is>
      </c>
      <c r="B150" s="17">
        <f>Marketing_Spend</f>
        <v/>
      </c>
      <c r="C150" s="14">
        <f>Sensitivity!$B$42</f>
        <v/>
      </c>
      <c r="D150" s="15">
        <f>Sensitivity!I$38</f>
        <v/>
      </c>
      <c r="E150" s="15">
        <f>Average_PWYW</f>
        <v/>
      </c>
      <c r="F150" s="14">
        <f>Local_AudioTour_Rate_PWYW</f>
        <v/>
      </c>
      <c r="G150" s="14">
        <f>Percentage_Locals_Init+(C150-Percentage_Locals_Init)*(1-EXP(-B150/Marketing_Saturation_Spend))</f>
        <v/>
      </c>
      <c r="H150" s="13">
        <f>Tourists_Base*G150/(1-G150)</f>
        <v/>
      </c>
      <c r="I150" s="13">
        <f>H150-Locals_Base</f>
        <v/>
      </c>
      <c r="J150" s="13">
        <f>Locals_Base*(1-(1-EXP(-B150/Marketing_Saturation_Spend)))*Local_AudioTour_Rate_Init+(H150-Locals_Base*(1-(1-EXP(-B150/Marketing_Saturation_Spend))))*F150</f>
        <v/>
      </c>
      <c r="K150" s="13">
        <f>AudioTourist_Base+J150</f>
        <v/>
      </c>
      <c r="L150" s="6">
        <f>MAX(0,ROUNDUP((K150-Device_Capacity)/Device_Block_Size,0))</f>
        <v/>
      </c>
      <c r="M150" s="6">
        <f>L150*Device_Block_Cost/Device_Amort_Days</f>
        <v/>
      </c>
      <c r="N150" s="17">
        <f>Fee_Keep*(Locals_Base*(1-(1-EXP(-B150/Marketing_Saturation_Spend)))*Local_AudioTour_Rate_Init*AudioTour_Price+(H150-Locals_Base*(1-(1-EXP(-B150/Marketing_Saturation_Spend))))*F150*E150-AudioLocal_Base*AudioTour_Price)</f>
        <v/>
      </c>
      <c r="O150" s="17">
        <f>(K150-Total_Daily_AudioTour)*Headset_Cost</f>
        <v/>
      </c>
      <c r="P150" s="17">
        <f>I150*D150+Locals_Base*(1-EXP(-B150/Marketing_Saturation_Spend))*F150*GiftShop_Spillover</f>
        <v/>
      </c>
      <c r="Q150" s="17">
        <f>N150-O150-M150+P150</f>
        <v/>
      </c>
      <c r="R150" s="17">
        <f>Q150*Campaign_Days-B150</f>
        <v/>
      </c>
    </row>
    <row r="151">
      <c r="A151" s="6" t="inlineStr">
        <is>
          <t>4. r5 c1</t>
        </is>
      </c>
      <c r="B151" s="17">
        <f>Marketing_Spend</f>
        <v/>
      </c>
      <c r="C151" s="14">
        <f>Sensitivity!$B$43</f>
        <v/>
      </c>
      <c r="D151" s="15">
        <f>Sensitivity!C$38</f>
        <v/>
      </c>
      <c r="E151" s="15">
        <f>Average_PWYW</f>
        <v/>
      </c>
      <c r="F151" s="14">
        <f>Local_AudioTour_Rate_PWYW</f>
        <v/>
      </c>
      <c r="G151" s="14">
        <f>Percentage_Locals_Init+(C151-Percentage_Locals_Init)*(1-EXP(-B151/Marketing_Saturation_Spend))</f>
        <v/>
      </c>
      <c r="H151" s="13">
        <f>Tourists_Base*G151/(1-G151)</f>
        <v/>
      </c>
      <c r="I151" s="13">
        <f>H151-Locals_Base</f>
        <v/>
      </c>
      <c r="J151" s="13">
        <f>Locals_Base*(1-(1-EXP(-B151/Marketing_Saturation_Spend)))*Local_AudioTour_Rate_Init+(H151-Locals_Base*(1-(1-EXP(-B151/Marketing_Saturation_Spend))))*F151</f>
        <v/>
      </c>
      <c r="K151" s="13">
        <f>AudioTourist_Base+J151</f>
        <v/>
      </c>
      <c r="L151" s="6">
        <f>MAX(0,ROUNDUP((K151-Device_Capacity)/Device_Block_Size,0))</f>
        <v/>
      </c>
      <c r="M151" s="6">
        <f>L151*Device_Block_Cost/Device_Amort_Days</f>
        <v/>
      </c>
      <c r="N151" s="17">
        <f>Fee_Keep*(Locals_Base*(1-(1-EXP(-B151/Marketing_Saturation_Spend)))*Local_AudioTour_Rate_Init*AudioTour_Price+(H151-Locals_Base*(1-(1-EXP(-B151/Marketing_Saturation_Spend))))*F151*E151-AudioLocal_Base*AudioTour_Price)</f>
        <v/>
      </c>
      <c r="O151" s="17">
        <f>(K151-Total_Daily_AudioTour)*Headset_Cost</f>
        <v/>
      </c>
      <c r="P151" s="17">
        <f>I151*D151+Locals_Base*(1-EXP(-B151/Marketing_Saturation_Spend))*F151*GiftShop_Spillover</f>
        <v/>
      </c>
      <c r="Q151" s="17">
        <f>N151-O151-M151+P151</f>
        <v/>
      </c>
      <c r="R151" s="17">
        <f>Q151*Campaign_Days-B151</f>
        <v/>
      </c>
    </row>
    <row r="152">
      <c r="A152" s="6" t="inlineStr">
        <is>
          <t>4. r5 c2</t>
        </is>
      </c>
      <c r="B152" s="17">
        <f>Marketing_Spend</f>
        <v/>
      </c>
      <c r="C152" s="14">
        <f>Sensitivity!$B$43</f>
        <v/>
      </c>
      <c r="D152" s="15">
        <f>Sensitivity!D$38</f>
        <v/>
      </c>
      <c r="E152" s="15">
        <f>Average_PWYW</f>
        <v/>
      </c>
      <c r="F152" s="14">
        <f>Local_AudioTour_Rate_PWYW</f>
        <v/>
      </c>
      <c r="G152" s="14">
        <f>Percentage_Locals_Init+(C152-Percentage_Locals_Init)*(1-EXP(-B152/Marketing_Saturation_Spend))</f>
        <v/>
      </c>
      <c r="H152" s="13">
        <f>Tourists_Base*G152/(1-G152)</f>
        <v/>
      </c>
      <c r="I152" s="13">
        <f>H152-Locals_Base</f>
        <v/>
      </c>
      <c r="J152" s="13">
        <f>Locals_Base*(1-(1-EXP(-B152/Marketing_Saturation_Spend)))*Local_AudioTour_Rate_Init+(H152-Locals_Base*(1-(1-EXP(-B152/Marketing_Saturation_Spend))))*F152</f>
        <v/>
      </c>
      <c r="K152" s="13">
        <f>AudioTourist_Base+J152</f>
        <v/>
      </c>
      <c r="L152" s="6">
        <f>MAX(0,ROUNDUP((K152-Device_Capacity)/Device_Block_Size,0))</f>
        <v/>
      </c>
      <c r="M152" s="6">
        <f>L152*Device_Block_Cost/Device_Amort_Days</f>
        <v/>
      </c>
      <c r="N152" s="17">
        <f>Fee_Keep*(Locals_Base*(1-(1-EXP(-B152/Marketing_Saturation_Spend)))*Local_AudioTour_Rate_Init*AudioTour_Price+(H152-Locals_Base*(1-(1-EXP(-B152/Marketing_Saturation_Spend))))*F152*E152-AudioLocal_Base*AudioTour_Price)</f>
        <v/>
      </c>
      <c r="O152" s="17">
        <f>(K152-Total_Daily_AudioTour)*Headset_Cost</f>
        <v/>
      </c>
      <c r="P152" s="17">
        <f>I152*D152+Locals_Base*(1-EXP(-B152/Marketing_Saturation_Spend))*F152*GiftShop_Spillover</f>
        <v/>
      </c>
      <c r="Q152" s="17">
        <f>N152-O152-M152+P152</f>
        <v/>
      </c>
      <c r="R152" s="17">
        <f>Q152*Campaign_Days-B152</f>
        <v/>
      </c>
    </row>
    <row r="153">
      <c r="A153" s="6" t="inlineStr">
        <is>
          <t>4. r5 c3</t>
        </is>
      </c>
      <c r="B153" s="17">
        <f>Marketing_Spend</f>
        <v/>
      </c>
      <c r="C153" s="14">
        <f>Sensitivity!$B$43</f>
        <v/>
      </c>
      <c r="D153" s="15">
        <f>Sensitivity!E$38</f>
        <v/>
      </c>
      <c r="E153" s="15">
        <f>Average_PWYW</f>
        <v/>
      </c>
      <c r="F153" s="14">
        <f>Local_AudioTour_Rate_PWYW</f>
        <v/>
      </c>
      <c r="G153" s="14">
        <f>Percentage_Locals_Init+(C153-Percentage_Locals_Init)*(1-EXP(-B153/Marketing_Saturation_Spend))</f>
        <v/>
      </c>
      <c r="H153" s="13">
        <f>Tourists_Base*G153/(1-G153)</f>
        <v/>
      </c>
      <c r="I153" s="13">
        <f>H153-Locals_Base</f>
        <v/>
      </c>
      <c r="J153" s="13">
        <f>Locals_Base*(1-(1-EXP(-B153/Marketing_Saturation_Spend)))*Local_AudioTour_Rate_Init+(H153-Locals_Base*(1-(1-EXP(-B153/Marketing_Saturation_Spend))))*F153</f>
        <v/>
      </c>
      <c r="K153" s="13">
        <f>AudioTourist_Base+J153</f>
        <v/>
      </c>
      <c r="L153" s="6">
        <f>MAX(0,ROUNDUP((K153-Device_Capacity)/Device_Block_Size,0))</f>
        <v/>
      </c>
      <c r="M153" s="6">
        <f>L153*Device_Block_Cost/Device_Amort_Days</f>
        <v/>
      </c>
      <c r="N153" s="17">
        <f>Fee_Keep*(Locals_Base*(1-(1-EXP(-B153/Marketing_Saturation_Spend)))*Local_AudioTour_Rate_Init*AudioTour_Price+(H153-Locals_Base*(1-(1-EXP(-B153/Marketing_Saturation_Spend))))*F153*E153-AudioLocal_Base*AudioTour_Price)</f>
        <v/>
      </c>
      <c r="O153" s="17">
        <f>(K153-Total_Daily_AudioTour)*Headset_Cost</f>
        <v/>
      </c>
      <c r="P153" s="17">
        <f>I153*D153+Locals_Base*(1-EXP(-B153/Marketing_Saturation_Spend))*F153*GiftShop_Spillover</f>
        <v/>
      </c>
      <c r="Q153" s="17">
        <f>N153-O153-M153+P153</f>
        <v/>
      </c>
      <c r="R153" s="17">
        <f>Q153*Campaign_Days-B153</f>
        <v/>
      </c>
    </row>
    <row r="154">
      <c r="A154" s="6" t="inlineStr">
        <is>
          <t>4. r5 c4</t>
        </is>
      </c>
      <c r="B154" s="17">
        <f>Marketing_Spend</f>
        <v/>
      </c>
      <c r="C154" s="14">
        <f>Sensitivity!$B$43</f>
        <v/>
      </c>
      <c r="D154" s="15">
        <f>Sensitivity!F$38</f>
        <v/>
      </c>
      <c r="E154" s="15">
        <f>Average_PWYW</f>
        <v/>
      </c>
      <c r="F154" s="14">
        <f>Local_AudioTour_Rate_PWYW</f>
        <v/>
      </c>
      <c r="G154" s="14">
        <f>Percentage_Locals_Init+(C154-Percentage_Locals_Init)*(1-EXP(-B154/Marketing_Saturation_Spend))</f>
        <v/>
      </c>
      <c r="H154" s="13">
        <f>Tourists_Base*G154/(1-G154)</f>
        <v/>
      </c>
      <c r="I154" s="13">
        <f>H154-Locals_Base</f>
        <v/>
      </c>
      <c r="J154" s="13">
        <f>Locals_Base*(1-(1-EXP(-B154/Marketing_Saturation_Spend)))*Local_AudioTour_Rate_Init+(H154-Locals_Base*(1-(1-EXP(-B154/Marketing_Saturation_Spend))))*F154</f>
        <v/>
      </c>
      <c r="K154" s="13">
        <f>AudioTourist_Base+J154</f>
        <v/>
      </c>
      <c r="L154" s="6">
        <f>MAX(0,ROUNDUP((K154-Device_Capacity)/Device_Block_Size,0))</f>
        <v/>
      </c>
      <c r="M154" s="6">
        <f>L154*Device_Block_Cost/Device_Amort_Days</f>
        <v/>
      </c>
      <c r="N154" s="17">
        <f>Fee_Keep*(Locals_Base*(1-(1-EXP(-B154/Marketing_Saturation_Spend)))*Local_AudioTour_Rate_Init*AudioTour_Price+(H154-Locals_Base*(1-(1-EXP(-B154/Marketing_Saturation_Spend))))*F154*E154-AudioLocal_Base*AudioTour_Price)</f>
        <v/>
      </c>
      <c r="O154" s="17">
        <f>(K154-Total_Daily_AudioTour)*Headset_Cost</f>
        <v/>
      </c>
      <c r="P154" s="17">
        <f>I154*D154+Locals_Base*(1-EXP(-B154/Marketing_Saturation_Spend))*F154*GiftShop_Spillover</f>
        <v/>
      </c>
      <c r="Q154" s="17">
        <f>N154-O154-M154+P154</f>
        <v/>
      </c>
      <c r="R154" s="17">
        <f>Q154*Campaign_Days-B154</f>
        <v/>
      </c>
    </row>
    <row r="155">
      <c r="A155" s="6" t="inlineStr">
        <is>
          <t>4. r5 c5</t>
        </is>
      </c>
      <c r="B155" s="17">
        <f>Marketing_Spend</f>
        <v/>
      </c>
      <c r="C155" s="14">
        <f>Sensitivity!$B$43</f>
        <v/>
      </c>
      <c r="D155" s="15">
        <f>Sensitivity!G$38</f>
        <v/>
      </c>
      <c r="E155" s="15">
        <f>Average_PWYW</f>
        <v/>
      </c>
      <c r="F155" s="14">
        <f>Local_AudioTour_Rate_PWYW</f>
        <v/>
      </c>
      <c r="G155" s="14">
        <f>Percentage_Locals_Init+(C155-Percentage_Locals_Init)*(1-EXP(-B155/Marketing_Saturation_Spend))</f>
        <v/>
      </c>
      <c r="H155" s="13">
        <f>Tourists_Base*G155/(1-G155)</f>
        <v/>
      </c>
      <c r="I155" s="13">
        <f>H155-Locals_Base</f>
        <v/>
      </c>
      <c r="J155" s="13">
        <f>Locals_Base*(1-(1-EXP(-B155/Marketing_Saturation_Spend)))*Local_AudioTour_Rate_Init+(H155-Locals_Base*(1-(1-EXP(-B155/Marketing_Saturation_Spend))))*F155</f>
        <v/>
      </c>
      <c r="K155" s="13">
        <f>AudioTourist_Base+J155</f>
        <v/>
      </c>
      <c r="L155" s="6">
        <f>MAX(0,ROUNDUP((K155-Device_Capacity)/Device_Block_Size,0))</f>
        <v/>
      </c>
      <c r="M155" s="6">
        <f>L155*Device_Block_Cost/Device_Amort_Days</f>
        <v/>
      </c>
      <c r="N155" s="17">
        <f>Fee_Keep*(Locals_Base*(1-(1-EXP(-B155/Marketing_Saturation_Spend)))*Local_AudioTour_Rate_Init*AudioTour_Price+(H155-Locals_Base*(1-(1-EXP(-B155/Marketing_Saturation_Spend))))*F155*E155-AudioLocal_Base*AudioTour_Price)</f>
        <v/>
      </c>
      <c r="O155" s="17">
        <f>(K155-Total_Daily_AudioTour)*Headset_Cost</f>
        <v/>
      </c>
      <c r="P155" s="17">
        <f>I155*D155+Locals_Base*(1-EXP(-B155/Marketing_Saturation_Spend))*F155*GiftShop_Spillover</f>
        <v/>
      </c>
      <c r="Q155" s="17">
        <f>N155-O155-M155+P155</f>
        <v/>
      </c>
      <c r="R155" s="17">
        <f>Q155*Campaign_Days-B155</f>
        <v/>
      </c>
    </row>
    <row r="156">
      <c r="A156" s="6" t="inlineStr">
        <is>
          <t>4. r5 c6</t>
        </is>
      </c>
      <c r="B156" s="17">
        <f>Marketing_Spend</f>
        <v/>
      </c>
      <c r="C156" s="14">
        <f>Sensitivity!$B$43</f>
        <v/>
      </c>
      <c r="D156" s="15">
        <f>Sensitivity!H$38</f>
        <v/>
      </c>
      <c r="E156" s="15">
        <f>Average_PWYW</f>
        <v/>
      </c>
      <c r="F156" s="14">
        <f>Local_AudioTour_Rate_PWYW</f>
        <v/>
      </c>
      <c r="G156" s="14">
        <f>Percentage_Locals_Init+(C156-Percentage_Locals_Init)*(1-EXP(-B156/Marketing_Saturation_Spend))</f>
        <v/>
      </c>
      <c r="H156" s="13">
        <f>Tourists_Base*G156/(1-G156)</f>
        <v/>
      </c>
      <c r="I156" s="13">
        <f>H156-Locals_Base</f>
        <v/>
      </c>
      <c r="J156" s="13">
        <f>Locals_Base*(1-(1-EXP(-B156/Marketing_Saturation_Spend)))*Local_AudioTour_Rate_Init+(H156-Locals_Base*(1-(1-EXP(-B156/Marketing_Saturation_Spend))))*F156</f>
        <v/>
      </c>
      <c r="K156" s="13">
        <f>AudioTourist_Base+J156</f>
        <v/>
      </c>
      <c r="L156" s="6">
        <f>MAX(0,ROUNDUP((K156-Device_Capacity)/Device_Block_Size,0))</f>
        <v/>
      </c>
      <c r="M156" s="6">
        <f>L156*Device_Block_Cost/Device_Amort_Days</f>
        <v/>
      </c>
      <c r="N156" s="17">
        <f>Fee_Keep*(Locals_Base*(1-(1-EXP(-B156/Marketing_Saturation_Spend)))*Local_AudioTour_Rate_Init*AudioTour_Price+(H156-Locals_Base*(1-(1-EXP(-B156/Marketing_Saturation_Spend))))*F156*E156-AudioLocal_Base*AudioTour_Price)</f>
        <v/>
      </c>
      <c r="O156" s="17">
        <f>(K156-Total_Daily_AudioTour)*Headset_Cost</f>
        <v/>
      </c>
      <c r="P156" s="17">
        <f>I156*D156+Locals_Base*(1-EXP(-B156/Marketing_Saturation_Spend))*F156*GiftShop_Spillover</f>
        <v/>
      </c>
      <c r="Q156" s="17">
        <f>N156-O156-M156+P156</f>
        <v/>
      </c>
      <c r="R156" s="17">
        <f>Q156*Campaign_Days-B156</f>
        <v/>
      </c>
    </row>
    <row r="157">
      <c r="A157" s="6" t="inlineStr">
        <is>
          <t>4. r5 c7</t>
        </is>
      </c>
      <c r="B157" s="17">
        <f>Marketing_Spend</f>
        <v/>
      </c>
      <c r="C157" s="14">
        <f>Sensitivity!$B$43</f>
        <v/>
      </c>
      <c r="D157" s="15">
        <f>Sensitivity!I$38</f>
        <v/>
      </c>
      <c r="E157" s="15">
        <f>Average_PWYW</f>
        <v/>
      </c>
      <c r="F157" s="14">
        <f>Local_AudioTour_Rate_PWYW</f>
        <v/>
      </c>
      <c r="G157" s="14">
        <f>Percentage_Locals_Init+(C157-Percentage_Locals_Init)*(1-EXP(-B157/Marketing_Saturation_Spend))</f>
        <v/>
      </c>
      <c r="H157" s="13">
        <f>Tourists_Base*G157/(1-G157)</f>
        <v/>
      </c>
      <c r="I157" s="13">
        <f>H157-Locals_Base</f>
        <v/>
      </c>
      <c r="J157" s="13">
        <f>Locals_Base*(1-(1-EXP(-B157/Marketing_Saturation_Spend)))*Local_AudioTour_Rate_Init+(H157-Locals_Base*(1-(1-EXP(-B157/Marketing_Saturation_Spend))))*F157</f>
        <v/>
      </c>
      <c r="K157" s="13">
        <f>AudioTourist_Base+J157</f>
        <v/>
      </c>
      <c r="L157" s="6">
        <f>MAX(0,ROUNDUP((K157-Device_Capacity)/Device_Block_Size,0))</f>
        <v/>
      </c>
      <c r="M157" s="6">
        <f>L157*Device_Block_Cost/Device_Amort_Days</f>
        <v/>
      </c>
      <c r="N157" s="17">
        <f>Fee_Keep*(Locals_Base*(1-(1-EXP(-B157/Marketing_Saturation_Spend)))*Local_AudioTour_Rate_Init*AudioTour_Price+(H157-Locals_Base*(1-(1-EXP(-B157/Marketing_Saturation_Spend))))*F157*E157-AudioLocal_Base*AudioTour_Price)</f>
        <v/>
      </c>
      <c r="O157" s="17">
        <f>(K157-Total_Daily_AudioTour)*Headset_Cost</f>
        <v/>
      </c>
      <c r="P157" s="17">
        <f>I157*D157+Locals_Base*(1-EXP(-B157/Marketing_Saturation_Spend))*F157*GiftShop_Spillover</f>
        <v/>
      </c>
      <c r="Q157" s="17">
        <f>N157-O157-M157+P157</f>
        <v/>
      </c>
      <c r="R157" s="17">
        <f>Q157*Campaign_Days-B157</f>
        <v/>
      </c>
    </row>
    <row r="158">
      <c r="A158" s="6" t="inlineStr">
        <is>
          <t>4. r6 c1</t>
        </is>
      </c>
      <c r="B158" s="17">
        <f>Marketing_Spend</f>
        <v/>
      </c>
      <c r="C158" s="14">
        <f>Sensitivity!$B$44</f>
        <v/>
      </c>
      <c r="D158" s="15">
        <f>Sensitivity!C$38</f>
        <v/>
      </c>
      <c r="E158" s="15">
        <f>Average_PWYW</f>
        <v/>
      </c>
      <c r="F158" s="14">
        <f>Local_AudioTour_Rate_PWYW</f>
        <v/>
      </c>
      <c r="G158" s="14">
        <f>Percentage_Locals_Init+(C158-Percentage_Locals_Init)*(1-EXP(-B158/Marketing_Saturation_Spend))</f>
        <v/>
      </c>
      <c r="H158" s="13">
        <f>Tourists_Base*G158/(1-G158)</f>
        <v/>
      </c>
      <c r="I158" s="13">
        <f>H158-Locals_Base</f>
        <v/>
      </c>
      <c r="J158" s="13">
        <f>Locals_Base*(1-(1-EXP(-B158/Marketing_Saturation_Spend)))*Local_AudioTour_Rate_Init+(H158-Locals_Base*(1-(1-EXP(-B158/Marketing_Saturation_Spend))))*F158</f>
        <v/>
      </c>
      <c r="K158" s="13">
        <f>AudioTourist_Base+J158</f>
        <v/>
      </c>
      <c r="L158" s="6">
        <f>MAX(0,ROUNDUP((K158-Device_Capacity)/Device_Block_Size,0))</f>
        <v/>
      </c>
      <c r="M158" s="6">
        <f>L158*Device_Block_Cost/Device_Amort_Days</f>
        <v/>
      </c>
      <c r="N158" s="17">
        <f>Fee_Keep*(Locals_Base*(1-(1-EXP(-B158/Marketing_Saturation_Spend)))*Local_AudioTour_Rate_Init*AudioTour_Price+(H158-Locals_Base*(1-(1-EXP(-B158/Marketing_Saturation_Spend))))*F158*E158-AudioLocal_Base*AudioTour_Price)</f>
        <v/>
      </c>
      <c r="O158" s="17">
        <f>(K158-Total_Daily_AudioTour)*Headset_Cost</f>
        <v/>
      </c>
      <c r="P158" s="17">
        <f>I158*D158+Locals_Base*(1-EXP(-B158/Marketing_Saturation_Spend))*F158*GiftShop_Spillover</f>
        <v/>
      </c>
      <c r="Q158" s="17">
        <f>N158-O158-M158+P158</f>
        <v/>
      </c>
      <c r="R158" s="17">
        <f>Q158*Campaign_Days-B158</f>
        <v/>
      </c>
    </row>
    <row r="159">
      <c r="A159" s="6" t="inlineStr">
        <is>
          <t>4. r6 c2</t>
        </is>
      </c>
      <c r="B159" s="17">
        <f>Marketing_Spend</f>
        <v/>
      </c>
      <c r="C159" s="14">
        <f>Sensitivity!$B$44</f>
        <v/>
      </c>
      <c r="D159" s="15">
        <f>Sensitivity!D$38</f>
        <v/>
      </c>
      <c r="E159" s="15">
        <f>Average_PWYW</f>
        <v/>
      </c>
      <c r="F159" s="14">
        <f>Local_AudioTour_Rate_PWYW</f>
        <v/>
      </c>
      <c r="G159" s="14">
        <f>Percentage_Locals_Init+(C159-Percentage_Locals_Init)*(1-EXP(-B159/Marketing_Saturation_Spend))</f>
        <v/>
      </c>
      <c r="H159" s="13">
        <f>Tourists_Base*G159/(1-G159)</f>
        <v/>
      </c>
      <c r="I159" s="13">
        <f>H159-Locals_Base</f>
        <v/>
      </c>
      <c r="J159" s="13">
        <f>Locals_Base*(1-(1-EXP(-B159/Marketing_Saturation_Spend)))*Local_AudioTour_Rate_Init+(H159-Locals_Base*(1-(1-EXP(-B159/Marketing_Saturation_Spend))))*F159</f>
        <v/>
      </c>
      <c r="K159" s="13">
        <f>AudioTourist_Base+J159</f>
        <v/>
      </c>
      <c r="L159" s="6">
        <f>MAX(0,ROUNDUP((K159-Device_Capacity)/Device_Block_Size,0))</f>
        <v/>
      </c>
      <c r="M159" s="6">
        <f>L159*Device_Block_Cost/Device_Amort_Days</f>
        <v/>
      </c>
      <c r="N159" s="17">
        <f>Fee_Keep*(Locals_Base*(1-(1-EXP(-B159/Marketing_Saturation_Spend)))*Local_AudioTour_Rate_Init*AudioTour_Price+(H159-Locals_Base*(1-(1-EXP(-B159/Marketing_Saturation_Spend))))*F159*E159-AudioLocal_Base*AudioTour_Price)</f>
        <v/>
      </c>
      <c r="O159" s="17">
        <f>(K159-Total_Daily_AudioTour)*Headset_Cost</f>
        <v/>
      </c>
      <c r="P159" s="17">
        <f>I159*D159+Locals_Base*(1-EXP(-B159/Marketing_Saturation_Spend))*F159*GiftShop_Spillover</f>
        <v/>
      </c>
      <c r="Q159" s="17">
        <f>N159-O159-M159+P159</f>
        <v/>
      </c>
      <c r="R159" s="17">
        <f>Q159*Campaign_Days-B159</f>
        <v/>
      </c>
    </row>
    <row r="160">
      <c r="A160" s="6" t="inlineStr">
        <is>
          <t>4. r6 c3</t>
        </is>
      </c>
      <c r="B160" s="17">
        <f>Marketing_Spend</f>
        <v/>
      </c>
      <c r="C160" s="14">
        <f>Sensitivity!$B$44</f>
        <v/>
      </c>
      <c r="D160" s="15">
        <f>Sensitivity!E$38</f>
        <v/>
      </c>
      <c r="E160" s="15">
        <f>Average_PWYW</f>
        <v/>
      </c>
      <c r="F160" s="14">
        <f>Local_AudioTour_Rate_PWYW</f>
        <v/>
      </c>
      <c r="G160" s="14">
        <f>Percentage_Locals_Init+(C160-Percentage_Locals_Init)*(1-EXP(-B160/Marketing_Saturation_Spend))</f>
        <v/>
      </c>
      <c r="H160" s="13">
        <f>Tourists_Base*G160/(1-G160)</f>
        <v/>
      </c>
      <c r="I160" s="13">
        <f>H160-Locals_Base</f>
        <v/>
      </c>
      <c r="J160" s="13">
        <f>Locals_Base*(1-(1-EXP(-B160/Marketing_Saturation_Spend)))*Local_AudioTour_Rate_Init+(H160-Locals_Base*(1-(1-EXP(-B160/Marketing_Saturation_Spend))))*F160</f>
        <v/>
      </c>
      <c r="K160" s="13">
        <f>AudioTourist_Base+J160</f>
        <v/>
      </c>
      <c r="L160" s="6">
        <f>MAX(0,ROUNDUP((K160-Device_Capacity)/Device_Block_Size,0))</f>
        <v/>
      </c>
      <c r="M160" s="6">
        <f>L160*Device_Block_Cost/Device_Amort_Days</f>
        <v/>
      </c>
      <c r="N160" s="17">
        <f>Fee_Keep*(Locals_Base*(1-(1-EXP(-B160/Marketing_Saturation_Spend)))*Local_AudioTour_Rate_Init*AudioTour_Price+(H160-Locals_Base*(1-(1-EXP(-B160/Marketing_Saturation_Spend))))*F160*E160-AudioLocal_Base*AudioTour_Price)</f>
        <v/>
      </c>
      <c r="O160" s="17">
        <f>(K160-Total_Daily_AudioTour)*Headset_Cost</f>
        <v/>
      </c>
      <c r="P160" s="17">
        <f>I160*D160+Locals_Base*(1-EXP(-B160/Marketing_Saturation_Spend))*F160*GiftShop_Spillover</f>
        <v/>
      </c>
      <c r="Q160" s="17">
        <f>N160-O160-M160+P160</f>
        <v/>
      </c>
      <c r="R160" s="17">
        <f>Q160*Campaign_Days-B160</f>
        <v/>
      </c>
    </row>
    <row r="161">
      <c r="A161" s="6" t="inlineStr">
        <is>
          <t>4. r6 c4</t>
        </is>
      </c>
      <c r="B161" s="17">
        <f>Marketing_Spend</f>
        <v/>
      </c>
      <c r="C161" s="14">
        <f>Sensitivity!$B$44</f>
        <v/>
      </c>
      <c r="D161" s="15">
        <f>Sensitivity!F$38</f>
        <v/>
      </c>
      <c r="E161" s="15">
        <f>Average_PWYW</f>
        <v/>
      </c>
      <c r="F161" s="14">
        <f>Local_AudioTour_Rate_PWYW</f>
        <v/>
      </c>
      <c r="G161" s="14">
        <f>Percentage_Locals_Init+(C161-Percentage_Locals_Init)*(1-EXP(-B161/Marketing_Saturation_Spend))</f>
        <v/>
      </c>
      <c r="H161" s="13">
        <f>Tourists_Base*G161/(1-G161)</f>
        <v/>
      </c>
      <c r="I161" s="13">
        <f>H161-Locals_Base</f>
        <v/>
      </c>
      <c r="J161" s="13">
        <f>Locals_Base*(1-(1-EXP(-B161/Marketing_Saturation_Spend)))*Local_AudioTour_Rate_Init+(H161-Locals_Base*(1-(1-EXP(-B161/Marketing_Saturation_Spend))))*F161</f>
        <v/>
      </c>
      <c r="K161" s="13">
        <f>AudioTourist_Base+J161</f>
        <v/>
      </c>
      <c r="L161" s="6">
        <f>MAX(0,ROUNDUP((K161-Device_Capacity)/Device_Block_Size,0))</f>
        <v/>
      </c>
      <c r="M161" s="6">
        <f>L161*Device_Block_Cost/Device_Amort_Days</f>
        <v/>
      </c>
      <c r="N161" s="17">
        <f>Fee_Keep*(Locals_Base*(1-(1-EXP(-B161/Marketing_Saturation_Spend)))*Local_AudioTour_Rate_Init*AudioTour_Price+(H161-Locals_Base*(1-(1-EXP(-B161/Marketing_Saturation_Spend))))*F161*E161-AudioLocal_Base*AudioTour_Price)</f>
        <v/>
      </c>
      <c r="O161" s="17">
        <f>(K161-Total_Daily_AudioTour)*Headset_Cost</f>
        <v/>
      </c>
      <c r="P161" s="17">
        <f>I161*D161+Locals_Base*(1-EXP(-B161/Marketing_Saturation_Spend))*F161*GiftShop_Spillover</f>
        <v/>
      </c>
      <c r="Q161" s="17">
        <f>N161-O161-M161+P161</f>
        <v/>
      </c>
      <c r="R161" s="17">
        <f>Q161*Campaign_Days-B161</f>
        <v/>
      </c>
    </row>
    <row r="162">
      <c r="A162" s="6" t="inlineStr">
        <is>
          <t>4. r6 c5</t>
        </is>
      </c>
      <c r="B162" s="17">
        <f>Marketing_Spend</f>
        <v/>
      </c>
      <c r="C162" s="14">
        <f>Sensitivity!$B$44</f>
        <v/>
      </c>
      <c r="D162" s="15">
        <f>Sensitivity!G$38</f>
        <v/>
      </c>
      <c r="E162" s="15">
        <f>Average_PWYW</f>
        <v/>
      </c>
      <c r="F162" s="14">
        <f>Local_AudioTour_Rate_PWYW</f>
        <v/>
      </c>
      <c r="G162" s="14">
        <f>Percentage_Locals_Init+(C162-Percentage_Locals_Init)*(1-EXP(-B162/Marketing_Saturation_Spend))</f>
        <v/>
      </c>
      <c r="H162" s="13">
        <f>Tourists_Base*G162/(1-G162)</f>
        <v/>
      </c>
      <c r="I162" s="13">
        <f>H162-Locals_Base</f>
        <v/>
      </c>
      <c r="J162" s="13">
        <f>Locals_Base*(1-(1-EXP(-B162/Marketing_Saturation_Spend)))*Local_AudioTour_Rate_Init+(H162-Locals_Base*(1-(1-EXP(-B162/Marketing_Saturation_Spend))))*F162</f>
        <v/>
      </c>
      <c r="K162" s="13">
        <f>AudioTourist_Base+J162</f>
        <v/>
      </c>
      <c r="L162" s="6">
        <f>MAX(0,ROUNDUP((K162-Device_Capacity)/Device_Block_Size,0))</f>
        <v/>
      </c>
      <c r="M162" s="6">
        <f>L162*Device_Block_Cost/Device_Amort_Days</f>
        <v/>
      </c>
      <c r="N162" s="17">
        <f>Fee_Keep*(Locals_Base*(1-(1-EXP(-B162/Marketing_Saturation_Spend)))*Local_AudioTour_Rate_Init*AudioTour_Price+(H162-Locals_Base*(1-(1-EXP(-B162/Marketing_Saturation_Spend))))*F162*E162-AudioLocal_Base*AudioTour_Price)</f>
        <v/>
      </c>
      <c r="O162" s="17">
        <f>(K162-Total_Daily_AudioTour)*Headset_Cost</f>
        <v/>
      </c>
      <c r="P162" s="17">
        <f>I162*D162+Locals_Base*(1-EXP(-B162/Marketing_Saturation_Spend))*F162*GiftShop_Spillover</f>
        <v/>
      </c>
      <c r="Q162" s="17">
        <f>N162-O162-M162+P162</f>
        <v/>
      </c>
      <c r="R162" s="17">
        <f>Q162*Campaign_Days-B162</f>
        <v/>
      </c>
    </row>
    <row r="163">
      <c r="A163" s="6" t="inlineStr">
        <is>
          <t>4. r6 c6</t>
        </is>
      </c>
      <c r="B163" s="17">
        <f>Marketing_Spend</f>
        <v/>
      </c>
      <c r="C163" s="14">
        <f>Sensitivity!$B$44</f>
        <v/>
      </c>
      <c r="D163" s="15">
        <f>Sensitivity!H$38</f>
        <v/>
      </c>
      <c r="E163" s="15">
        <f>Average_PWYW</f>
        <v/>
      </c>
      <c r="F163" s="14">
        <f>Local_AudioTour_Rate_PWYW</f>
        <v/>
      </c>
      <c r="G163" s="14">
        <f>Percentage_Locals_Init+(C163-Percentage_Locals_Init)*(1-EXP(-B163/Marketing_Saturation_Spend))</f>
        <v/>
      </c>
      <c r="H163" s="13">
        <f>Tourists_Base*G163/(1-G163)</f>
        <v/>
      </c>
      <c r="I163" s="13">
        <f>H163-Locals_Base</f>
        <v/>
      </c>
      <c r="J163" s="13">
        <f>Locals_Base*(1-(1-EXP(-B163/Marketing_Saturation_Spend)))*Local_AudioTour_Rate_Init+(H163-Locals_Base*(1-(1-EXP(-B163/Marketing_Saturation_Spend))))*F163</f>
        <v/>
      </c>
      <c r="K163" s="13">
        <f>AudioTourist_Base+J163</f>
        <v/>
      </c>
      <c r="L163" s="6">
        <f>MAX(0,ROUNDUP((K163-Device_Capacity)/Device_Block_Size,0))</f>
        <v/>
      </c>
      <c r="M163" s="6">
        <f>L163*Device_Block_Cost/Device_Amort_Days</f>
        <v/>
      </c>
      <c r="N163" s="17">
        <f>Fee_Keep*(Locals_Base*(1-(1-EXP(-B163/Marketing_Saturation_Spend)))*Local_AudioTour_Rate_Init*AudioTour_Price+(H163-Locals_Base*(1-(1-EXP(-B163/Marketing_Saturation_Spend))))*F163*E163-AudioLocal_Base*AudioTour_Price)</f>
        <v/>
      </c>
      <c r="O163" s="17">
        <f>(K163-Total_Daily_AudioTour)*Headset_Cost</f>
        <v/>
      </c>
      <c r="P163" s="17">
        <f>I163*D163+Locals_Base*(1-EXP(-B163/Marketing_Saturation_Spend))*F163*GiftShop_Spillover</f>
        <v/>
      </c>
      <c r="Q163" s="17">
        <f>N163-O163-M163+P163</f>
        <v/>
      </c>
      <c r="R163" s="17">
        <f>Q163*Campaign_Days-B163</f>
        <v/>
      </c>
    </row>
    <row r="164">
      <c r="A164" s="6" t="inlineStr">
        <is>
          <t>4. r6 c7</t>
        </is>
      </c>
      <c r="B164" s="17">
        <f>Marketing_Spend</f>
        <v/>
      </c>
      <c r="C164" s="14">
        <f>Sensitivity!$B$44</f>
        <v/>
      </c>
      <c r="D164" s="15">
        <f>Sensitivity!I$38</f>
        <v/>
      </c>
      <c r="E164" s="15">
        <f>Average_PWYW</f>
        <v/>
      </c>
      <c r="F164" s="14">
        <f>Local_AudioTour_Rate_PWYW</f>
        <v/>
      </c>
      <c r="G164" s="14">
        <f>Percentage_Locals_Init+(C164-Percentage_Locals_Init)*(1-EXP(-B164/Marketing_Saturation_Spend))</f>
        <v/>
      </c>
      <c r="H164" s="13">
        <f>Tourists_Base*G164/(1-G164)</f>
        <v/>
      </c>
      <c r="I164" s="13">
        <f>H164-Locals_Base</f>
        <v/>
      </c>
      <c r="J164" s="13">
        <f>Locals_Base*(1-(1-EXP(-B164/Marketing_Saturation_Spend)))*Local_AudioTour_Rate_Init+(H164-Locals_Base*(1-(1-EXP(-B164/Marketing_Saturation_Spend))))*F164</f>
        <v/>
      </c>
      <c r="K164" s="13">
        <f>AudioTourist_Base+J164</f>
        <v/>
      </c>
      <c r="L164" s="6">
        <f>MAX(0,ROUNDUP((K164-Device_Capacity)/Device_Block_Size,0))</f>
        <v/>
      </c>
      <c r="M164" s="6">
        <f>L164*Device_Block_Cost/Device_Amort_Days</f>
        <v/>
      </c>
      <c r="N164" s="17">
        <f>Fee_Keep*(Locals_Base*(1-(1-EXP(-B164/Marketing_Saturation_Spend)))*Local_AudioTour_Rate_Init*AudioTour_Price+(H164-Locals_Base*(1-(1-EXP(-B164/Marketing_Saturation_Spend))))*F164*E164-AudioLocal_Base*AudioTour_Price)</f>
        <v/>
      </c>
      <c r="O164" s="17">
        <f>(K164-Total_Daily_AudioTour)*Headset_Cost</f>
        <v/>
      </c>
      <c r="P164" s="17">
        <f>I164*D164+Locals_Base*(1-EXP(-B164/Marketing_Saturation_Spend))*F164*GiftShop_Spillover</f>
        <v/>
      </c>
      <c r="Q164" s="17">
        <f>N164-O164-M164+P164</f>
        <v/>
      </c>
      <c r="R164" s="17">
        <f>Q164*Campaign_Days-B164</f>
        <v/>
      </c>
    </row>
    <row r="165">
      <c r="A165" s="6" t="inlineStr">
        <is>
          <t>S5 r1</t>
        </is>
      </c>
      <c r="B165" s="17">
        <f>Marketing_Spend</f>
        <v/>
      </c>
      <c r="C165" s="14">
        <f>Locals_Share_Ceiling</f>
        <v/>
      </c>
      <c r="D165" s="15">
        <f>GiftShop_Net_Spend_Local</f>
        <v/>
      </c>
      <c r="E165" s="15">
        <f>Sensitivity!$E$49</f>
        <v/>
      </c>
      <c r="F165" s="14">
        <f>Sensitivity!$D$49</f>
        <v/>
      </c>
      <c r="G165" s="14">
        <f>Percentage_Locals_Init+(C165-Percentage_Locals_Init)*(1-EXP(-B165/Marketing_Saturation_Spend))</f>
        <v/>
      </c>
      <c r="H165" s="13">
        <f>Tourists_Base*G165/(1-G165)</f>
        <v/>
      </c>
      <c r="I165" s="13">
        <f>H165-Locals_Base</f>
        <v/>
      </c>
      <c r="J165" s="13">
        <f>Locals_Base*(1-(1-EXP(-B165/Marketing_Saturation_Spend)))*Local_AudioTour_Rate_Init+(H165-Locals_Base*(1-(1-EXP(-B165/Marketing_Saturation_Spend))))*F165</f>
        <v/>
      </c>
      <c r="K165" s="13">
        <f>AudioTourist_Base+J165</f>
        <v/>
      </c>
      <c r="L165" s="6">
        <f>MAX(0,ROUNDUP((K165-Device_Capacity)/Device_Block_Size,0))</f>
        <v/>
      </c>
      <c r="M165" s="6">
        <f>L165*Device_Block_Cost/Device_Amort_Days</f>
        <v/>
      </c>
      <c r="N165" s="17">
        <f>Fee_Keep*(Locals_Base*(1-(1-EXP(-B165/Marketing_Saturation_Spend)))*Local_AudioTour_Rate_Init*AudioTour_Price+(H165-Locals_Base*(1-(1-EXP(-B165/Marketing_Saturation_Spend))))*F165*E165-AudioLocal_Base*AudioTour_Price)</f>
        <v/>
      </c>
      <c r="O165" s="17">
        <f>(K165-Total_Daily_AudioTour)*Headset_Cost</f>
        <v/>
      </c>
      <c r="P165" s="17">
        <f>I165*D165+Locals_Base*(1-EXP(-B165/Marketing_Saturation_Spend))*F165*GiftShop_Spillover</f>
        <v/>
      </c>
      <c r="Q165" s="17">
        <f>N165-O165-M165+P165</f>
        <v/>
      </c>
      <c r="R165" s="17">
        <f>Q165*Campaign_Days-B165</f>
        <v/>
      </c>
    </row>
    <row r="166">
      <c r="A166" s="6" t="inlineStr">
        <is>
          <t>S5 r2</t>
        </is>
      </c>
      <c r="B166" s="17">
        <f>Marketing_Spend</f>
        <v/>
      </c>
      <c r="C166" s="14">
        <f>Locals_Share_Ceiling</f>
        <v/>
      </c>
      <c r="D166" s="15">
        <f>GiftShop_Net_Spend_Local</f>
        <v/>
      </c>
      <c r="E166" s="15">
        <f>Sensitivity!$E$50</f>
        <v/>
      </c>
      <c r="F166" s="14">
        <f>Sensitivity!$D$50</f>
        <v/>
      </c>
      <c r="G166" s="14">
        <f>Percentage_Locals_Init+(C166-Percentage_Locals_Init)*(1-EXP(-B166/Marketing_Saturation_Spend))</f>
        <v/>
      </c>
      <c r="H166" s="13">
        <f>Tourists_Base*G166/(1-G166)</f>
        <v/>
      </c>
      <c r="I166" s="13">
        <f>H166-Locals_Base</f>
        <v/>
      </c>
      <c r="J166" s="13">
        <f>Locals_Base*(1-(1-EXP(-B166/Marketing_Saturation_Spend)))*Local_AudioTour_Rate_Init+(H166-Locals_Base*(1-(1-EXP(-B166/Marketing_Saturation_Spend))))*F166</f>
        <v/>
      </c>
      <c r="K166" s="13">
        <f>AudioTourist_Base+J166</f>
        <v/>
      </c>
      <c r="L166" s="6">
        <f>MAX(0,ROUNDUP((K166-Device_Capacity)/Device_Block_Size,0))</f>
        <v/>
      </c>
      <c r="M166" s="6">
        <f>L166*Device_Block_Cost/Device_Amort_Days</f>
        <v/>
      </c>
      <c r="N166" s="17">
        <f>Fee_Keep*(Locals_Base*(1-(1-EXP(-B166/Marketing_Saturation_Spend)))*Local_AudioTour_Rate_Init*AudioTour_Price+(H166-Locals_Base*(1-(1-EXP(-B166/Marketing_Saturation_Spend))))*F166*E166-AudioLocal_Base*AudioTour_Price)</f>
        <v/>
      </c>
      <c r="O166" s="17">
        <f>(K166-Total_Daily_AudioTour)*Headset_Cost</f>
        <v/>
      </c>
      <c r="P166" s="17">
        <f>I166*D166+Locals_Base*(1-EXP(-B166/Marketing_Saturation_Spend))*F166*GiftShop_Spillover</f>
        <v/>
      </c>
      <c r="Q166" s="17">
        <f>N166-O166-M166+P166</f>
        <v/>
      </c>
      <c r="R166" s="17">
        <f>Q166*Campaign_Days-B166</f>
        <v/>
      </c>
    </row>
    <row r="167">
      <c r="A167" s="6" t="inlineStr">
        <is>
          <t>S5 r3</t>
        </is>
      </c>
      <c r="B167" s="17">
        <f>Marketing_Spend</f>
        <v/>
      </c>
      <c r="C167" s="14">
        <f>Locals_Share_Ceiling</f>
        <v/>
      </c>
      <c r="D167" s="15">
        <f>GiftShop_Net_Spend_Local</f>
        <v/>
      </c>
      <c r="E167" s="15">
        <f>Sensitivity!$E$51</f>
        <v/>
      </c>
      <c r="F167" s="14">
        <f>Sensitivity!$D$51</f>
        <v/>
      </c>
      <c r="G167" s="14">
        <f>Percentage_Locals_Init+(C167-Percentage_Locals_Init)*(1-EXP(-B167/Marketing_Saturation_Spend))</f>
        <v/>
      </c>
      <c r="H167" s="13">
        <f>Tourists_Base*G167/(1-G167)</f>
        <v/>
      </c>
      <c r="I167" s="13">
        <f>H167-Locals_Base</f>
        <v/>
      </c>
      <c r="J167" s="13">
        <f>Locals_Base*(1-(1-EXP(-B167/Marketing_Saturation_Spend)))*Local_AudioTour_Rate_Init+(H167-Locals_Base*(1-(1-EXP(-B167/Marketing_Saturation_Spend))))*F167</f>
        <v/>
      </c>
      <c r="K167" s="13">
        <f>AudioTourist_Base+J167</f>
        <v/>
      </c>
      <c r="L167" s="6">
        <f>MAX(0,ROUNDUP((K167-Device_Capacity)/Device_Block_Size,0))</f>
        <v/>
      </c>
      <c r="M167" s="6">
        <f>L167*Device_Block_Cost/Device_Amort_Days</f>
        <v/>
      </c>
      <c r="N167" s="17">
        <f>Fee_Keep*(Locals_Base*(1-(1-EXP(-B167/Marketing_Saturation_Spend)))*Local_AudioTour_Rate_Init*AudioTour_Price+(H167-Locals_Base*(1-(1-EXP(-B167/Marketing_Saturation_Spend))))*F167*E167-AudioLocal_Base*AudioTour_Price)</f>
        <v/>
      </c>
      <c r="O167" s="17">
        <f>(K167-Total_Daily_AudioTour)*Headset_Cost</f>
        <v/>
      </c>
      <c r="P167" s="17">
        <f>I167*D167+Locals_Base*(1-EXP(-B167/Marketing_Saturation_Spend))*F167*GiftShop_Spillover</f>
        <v/>
      </c>
      <c r="Q167" s="17">
        <f>N167-O167-M167+P167</f>
        <v/>
      </c>
      <c r="R167" s="17">
        <f>Q167*Campaign_Days-B167</f>
        <v/>
      </c>
    </row>
    <row r="168">
      <c r="A168" s="6" t="inlineStr">
        <is>
          <t>S5 r4</t>
        </is>
      </c>
      <c r="B168" s="17">
        <f>Marketing_Spend</f>
        <v/>
      </c>
      <c r="C168" s="14">
        <f>Locals_Share_Ceiling</f>
        <v/>
      </c>
      <c r="D168" s="15">
        <f>GiftShop_Net_Spend_Local</f>
        <v/>
      </c>
      <c r="E168" s="15">
        <f>Sensitivity!$E$52</f>
        <v/>
      </c>
      <c r="F168" s="14">
        <f>Sensitivity!$D$52</f>
        <v/>
      </c>
      <c r="G168" s="14">
        <f>Percentage_Locals_Init+(C168-Percentage_Locals_Init)*(1-EXP(-B168/Marketing_Saturation_Spend))</f>
        <v/>
      </c>
      <c r="H168" s="13">
        <f>Tourists_Base*G168/(1-G168)</f>
        <v/>
      </c>
      <c r="I168" s="13">
        <f>H168-Locals_Base</f>
        <v/>
      </c>
      <c r="J168" s="13">
        <f>Locals_Base*(1-(1-EXP(-B168/Marketing_Saturation_Spend)))*Local_AudioTour_Rate_Init+(H168-Locals_Base*(1-(1-EXP(-B168/Marketing_Saturation_Spend))))*F168</f>
        <v/>
      </c>
      <c r="K168" s="13">
        <f>AudioTourist_Base+J168</f>
        <v/>
      </c>
      <c r="L168" s="6">
        <f>MAX(0,ROUNDUP((K168-Device_Capacity)/Device_Block_Size,0))</f>
        <v/>
      </c>
      <c r="M168" s="6">
        <f>L168*Device_Block_Cost/Device_Amort_Days</f>
        <v/>
      </c>
      <c r="N168" s="17">
        <f>Fee_Keep*(Locals_Base*(1-(1-EXP(-B168/Marketing_Saturation_Spend)))*Local_AudioTour_Rate_Init*AudioTour_Price+(H168-Locals_Base*(1-(1-EXP(-B168/Marketing_Saturation_Spend))))*F168*E168-AudioLocal_Base*AudioTour_Price)</f>
        <v/>
      </c>
      <c r="O168" s="17">
        <f>(K168-Total_Daily_AudioTour)*Headset_Cost</f>
        <v/>
      </c>
      <c r="P168" s="17">
        <f>I168*D168+Locals_Base*(1-EXP(-B168/Marketing_Saturation_Spend))*F168*GiftShop_Spillover</f>
        <v/>
      </c>
      <c r="Q168" s="17">
        <f>N168-O168-M168+P168</f>
        <v/>
      </c>
      <c r="R168" s="17">
        <f>Q168*Campaign_Days-B168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Marketing ($)</t>
        </is>
      </c>
    </row>
    <row r="2">
      <c r="A2" t="n">
        <v>0</v>
      </c>
    </row>
    <row r="3">
      <c r="A3" t="n">
        <v>2500</v>
      </c>
    </row>
    <row r="4">
      <c r="A4" t="n">
        <v>5000</v>
      </c>
    </row>
    <row r="5">
      <c r="A5" t="n">
        <v>7500</v>
      </c>
    </row>
    <row r="6">
      <c r="A6" t="n">
        <v>10000</v>
      </c>
    </row>
    <row r="7">
      <c r="A7" t="n">
        <v>12500</v>
      </c>
    </row>
    <row r="8">
      <c r="A8" t="n">
        <v>15000</v>
      </c>
    </row>
    <row r="9">
      <c r="A9" t="n">
        <v>17500</v>
      </c>
    </row>
    <row r="10">
      <c r="A10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2026-10-09T06:45:08Z</dcterms:created>
  <dcterms:modified xsi:type="dcterms:W3CDTF">2026-10-09T06:45:09Z</dcterms:modified>
</cp:coreProperties>
</file>